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ha do Tempo" sheetId="1" state="visible" r:id="rId1"/>
    <sheet xmlns:r="http://schemas.openxmlformats.org/officeDocument/2006/relationships" name="Mensal Ano 1" sheetId="2" state="visible" r:id="rId2"/>
    <sheet xmlns:r="http://schemas.openxmlformats.org/officeDocument/2006/relationships" name="Anual 12 anos" sheetId="3" state="visible" r:id="rId3"/>
    <sheet xmlns:r="http://schemas.openxmlformats.org/officeDocument/2006/relationships" name="Sazonalidade" sheetId="4" state="visible" r:id="rId4"/>
    <sheet xmlns:r="http://schemas.openxmlformats.org/officeDocument/2006/relationships" name="Conferê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"/>
    <numFmt numFmtId="165" formatCode="0.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b val="1"/>
      <sz val="11"/>
    </font>
    <font>
      <name val="Arial"/>
      <b val="1"/>
      <color rgb="00C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4" fontId="4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4" fontId="4" fillId="3" borderId="1" pivotButton="0" quotePrefix="0" xfId="0"/>
    <xf numFmtId="165" fontId="4" fillId="0" borderId="1" pivotButton="0" quotePrefix="0" xfId="0"/>
    <xf numFmtId="166" fontId="4" fillId="0" borderId="1" pivotButton="0" quotePrefix="0" xfId="0"/>
    <xf numFmtId="0" fontId="5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pivotButton="0" quotePrefix="0" xfId="0"/>
    <xf numFmtId="164" fontId="4" fillId="5" borderId="1" pivotButton="0" quotePrefix="0" xfId="0"/>
    <xf numFmtId="0" fontId="6" fillId="0" borderId="1" pivotButton="0" quotePrefix="0" xfId="0"/>
    <xf numFmtId="2" fontId="7" fillId="0" borderId="1" pivotButton="0" quotePrefix="0" xfId="0"/>
    <xf numFmtId="166" fontId="7" fillId="0" borderId="1" pivotButton="0" quotePrefix="0" xfId="0"/>
    <xf numFmtId="2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62" customWidth="1" min="4" max="4"/>
  </cols>
  <sheetData>
    <row r="1">
      <c r="A1" s="1" t="inlineStr">
        <is>
          <t>PREVISÃO DE FATURAMENTO — LINHA DO TEMPO A PARTIR DE AGOSTO/2026</t>
        </is>
      </c>
    </row>
    <row r="2">
      <c r="A2" s="2" t="inlineStr">
        <is>
          <t>Implantação sem faturamento (ago–dez/2026) e 12 meses do ano 1 de operação (jan–dez/2027). Valores constantes de ago/2026.</t>
        </is>
      </c>
    </row>
    <row r="4">
      <c r="A4" s="3" t="inlineStr">
        <is>
          <t>Mês</t>
        </is>
      </c>
      <c r="B4" s="3" t="inlineStr">
        <is>
          <t>Fase</t>
        </is>
      </c>
      <c r="C4" s="3" t="inlineStr">
        <is>
          <t>Faturamento (R$)</t>
        </is>
      </c>
      <c r="D4" s="3" t="inlineStr">
        <is>
          <t>Marcos do período</t>
        </is>
      </c>
    </row>
    <row r="5">
      <c r="A5" s="4" t="inlineStr">
        <is>
          <t>ago/2026</t>
        </is>
      </c>
      <c r="B5" s="4" t="inlineStr">
        <is>
          <t>Implantação</t>
        </is>
      </c>
      <c r="C5" s="5" t="n">
        <v>0</v>
      </c>
      <c r="D5" s="6" t="inlineStr">
        <is>
          <t>Protocolo FNE; licença ambiental (IEMA) e ligação EDP; contratação do galpão</t>
        </is>
      </c>
    </row>
    <row r="6">
      <c r="A6" s="4" t="inlineStr">
        <is>
          <t>set/2026</t>
        </is>
      </c>
      <c r="B6" s="4" t="inlineStr">
        <is>
          <t>Implantação</t>
        </is>
      </c>
      <c r="C6" s="5" t="n">
        <v>0</v>
      </c>
      <c r="D6" s="6" t="inlineStr">
        <is>
          <t>Terraplanagem e fundações; encomenda de bandejas (prazo 3–4 meses)</t>
        </is>
      </c>
    </row>
    <row r="7">
      <c r="A7" s="4" t="inlineStr">
        <is>
          <t>out/2026</t>
        </is>
      </c>
      <c r="B7" s="4" t="inlineStr">
        <is>
          <t>Implantação</t>
        </is>
      </c>
      <c r="C7" s="5" t="n">
        <v>0</v>
      </c>
      <c r="D7" s="6" t="inlineStr">
        <is>
          <t>Estrutura e cobertura do galpão; entrega Gervasi (150–180 dias da proposta)</t>
        </is>
      </c>
    </row>
    <row r="8">
      <c r="A8" s="4" t="inlineStr">
        <is>
          <t>nov/2026</t>
        </is>
      </c>
      <c r="B8" s="4" t="inlineStr">
        <is>
          <t>Implantação</t>
        </is>
      </c>
      <c r="C8" s="5" t="n">
        <v>0</v>
      </c>
      <c r="D8" s="6" t="inlineStr">
        <is>
          <t>Montagem dos equipamentos (~10 dias); piso industrial; energia MT</t>
        </is>
      </c>
    </row>
    <row r="9">
      <c r="A9" s="4" t="inlineStr">
        <is>
          <t>dez/2026</t>
        </is>
      </c>
      <c r="B9" s="4" t="inlineStr">
        <is>
          <t>Implantação</t>
        </is>
      </c>
      <c r="C9" s="5" t="n">
        <v>0</v>
      </c>
      <c r="D9" s="6" t="inlineStr">
        <is>
          <t>Startup assistido, formulação de traços, ensaios NBR 6136/9781; pré-venda</t>
        </is>
      </c>
    </row>
    <row r="10">
      <c r="A10" s="4" t="inlineStr">
        <is>
          <t>jan/2027</t>
        </is>
      </c>
      <c r="B10" s="4" t="inlineStr">
        <is>
          <t>Operação — ano 1</t>
        </is>
      </c>
      <c r="C10" s="5" t="n">
        <v>35574.95</v>
      </c>
      <c r="D10" s="6" t="inlineStr">
        <is>
          <t>Início das vendas: vedação no varejo/revendas</t>
        </is>
      </c>
    </row>
    <row r="11">
      <c r="A11" s="4" t="inlineStr">
        <is>
          <t>fev/2027</t>
        </is>
      </c>
      <c r="B11" s="4" t="inlineStr">
        <is>
          <t>Operação — ano 1</t>
        </is>
      </c>
      <c r="C11" s="5" t="n">
        <v>60477.41</v>
      </c>
      <c r="D11" s="6" t="inlineStr"/>
    </row>
    <row r="12">
      <c r="A12" s="4" t="inlineStr">
        <is>
          <t>mar/2027</t>
        </is>
      </c>
      <c r="B12" s="4" t="inlineStr">
        <is>
          <t>Operação — ano 1</t>
        </is>
      </c>
      <c r="C12" s="5" t="n">
        <v>114324.08</v>
      </c>
      <c r="D12" s="6" t="inlineStr">
        <is>
          <t>Entra bloco estrutural (laudo NBR emitido)</t>
        </is>
      </c>
    </row>
    <row r="13">
      <c r="A13" s="4" t="inlineStr">
        <is>
          <t>abr/2027</t>
        </is>
      </c>
      <c r="B13" s="4" t="inlineStr">
        <is>
          <t>Operação — ano 1</t>
        </is>
      </c>
      <c r="C13" s="5" t="n">
        <v>172061.83</v>
      </c>
      <c r="D13" s="6" t="inlineStr">
        <is>
          <t>Entra paver — obras privadas</t>
        </is>
      </c>
    </row>
    <row r="14">
      <c r="A14" s="4" t="inlineStr">
        <is>
          <t>mai/2027</t>
        </is>
      </c>
      <c r="B14" s="4" t="inlineStr">
        <is>
          <t>Operação — ano 1</t>
        </is>
      </c>
      <c r="C14" s="5" t="n">
        <v>228025.11</v>
      </c>
      <c r="D14" s="6" t="inlineStr"/>
    </row>
    <row r="15">
      <c r="A15" s="4" t="inlineStr">
        <is>
          <t>jun/2027</t>
        </is>
      </c>
      <c r="B15" s="4" t="inlineStr">
        <is>
          <t>Operação — ano 1</t>
        </is>
      </c>
      <c r="C15" s="5" t="n">
        <v>265671.99</v>
      </c>
      <c r="D15" s="6" t="inlineStr">
        <is>
          <t>Entra paver B2G (cadastros e atas municipais)</t>
        </is>
      </c>
    </row>
    <row r="16">
      <c r="A16" s="4" t="inlineStr">
        <is>
          <t>jul/2027</t>
        </is>
      </c>
      <c r="B16" s="4" t="inlineStr">
        <is>
          <t>Operação — ano 1</t>
        </is>
      </c>
      <c r="C16" s="5" t="n">
        <v>296439.78</v>
      </c>
      <c r="D16" s="6" t="inlineStr"/>
    </row>
    <row r="17">
      <c r="A17" s="4" t="inlineStr">
        <is>
          <t>ago/2027</t>
        </is>
      </c>
      <c r="B17" s="4" t="inlineStr">
        <is>
          <t>Operação — ano 1</t>
        </is>
      </c>
      <c r="C17" s="5" t="n">
        <v>339634.09</v>
      </c>
      <c r="D17" s="6" t="inlineStr">
        <is>
          <t>Entram bloco 19 e canaletas (alvenaria estrutural)</t>
        </is>
      </c>
    </row>
    <row r="18">
      <c r="A18" s="4" t="inlineStr">
        <is>
          <t>set/2027</t>
        </is>
      </c>
      <c r="B18" s="4" t="inlineStr">
        <is>
          <t>Operação — ano 1</t>
        </is>
      </c>
      <c r="C18" s="5" t="n">
        <v>361896.34</v>
      </c>
      <c r="D18" s="6" t="inlineStr"/>
    </row>
    <row r="19">
      <c r="A19" s="4" t="inlineStr">
        <is>
          <t>out/2027</t>
        </is>
      </c>
      <c r="B19" s="4" t="inlineStr">
        <is>
          <t>Operação — ano 1</t>
        </is>
      </c>
      <c r="C19" s="5" t="n">
        <v>366283.12</v>
      </c>
      <c r="D19" s="6" t="inlineStr"/>
    </row>
    <row r="20">
      <c r="A20" s="4" t="inlineStr">
        <is>
          <t>nov/2027</t>
        </is>
      </c>
      <c r="B20" s="4" t="inlineStr">
        <is>
          <t>Operação — ano 1</t>
        </is>
      </c>
      <c r="C20" s="5" t="n">
        <v>318507.06</v>
      </c>
      <c r="D20" s="6" t="inlineStr"/>
    </row>
    <row r="21">
      <c r="A21" s="4" t="inlineStr">
        <is>
          <t>dez/2027</t>
        </is>
      </c>
      <c r="B21" s="4" t="inlineStr">
        <is>
          <t>Operação — ano 1</t>
        </is>
      </c>
      <c r="C21" s="5" t="n">
        <v>191104.24</v>
      </c>
      <c r="D21" s="6" t="inlineStr">
        <is>
          <t>Férias coletivas + parada anual de revisão</t>
        </is>
      </c>
    </row>
    <row r="22">
      <c r="A22" s="7" t="inlineStr">
        <is>
          <t>TOTAL ANO 1 (jan–dez/2027)</t>
        </is>
      </c>
      <c r="C22" s="8">
        <f>SUM(C10:C21)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ANO 1 — RECEITA E QUANTIDADE POR PRODUTO, MÊS A MÊS (jan–dez/2027)</t>
        </is>
      </c>
    </row>
    <row r="2">
      <c r="A2" s="2" t="inlineStr">
        <is>
          <t>Curva = entrada escalonada de cada produto × ramp-up comercial × sazonalidade (aba Sazonalidade). Total do ano fixado em R$ 2.750.000 (plano auditado).</t>
        </is>
      </c>
    </row>
    <row r="4">
      <c r="A4" s="3" t="inlineStr">
        <is>
          <t>Mês</t>
        </is>
      </c>
      <c r="B4" s="3" t="inlineStr">
        <is>
          <t>14x19x39 - vedação</t>
        </is>
      </c>
      <c r="C4" s="3" t="inlineStr">
        <is>
          <t>14x19x39 - estrutural</t>
        </is>
      </c>
      <c r="D4" s="3" t="inlineStr">
        <is>
          <t>9x19x39 - vedação</t>
        </is>
      </c>
      <c r="E4" s="3" t="inlineStr">
        <is>
          <t>Bloco 19x19x39 e canaletas</t>
        </is>
      </c>
      <c r="F4" s="3" t="inlineStr">
        <is>
          <t>Paver 35 MPa</t>
        </is>
      </c>
      <c r="G4" s="3" t="inlineStr">
        <is>
          <t>Receita do mês (R$)</t>
        </is>
      </c>
      <c r="H4" s="3" t="inlineStr">
        <is>
          <t>Dias de produção</t>
        </is>
      </c>
      <c r="I4" s="3" t="inlineStr">
        <is>
          <t>% da capacidade mensal</t>
        </is>
      </c>
      <c r="J4" s="3" t="inlineStr">
        <is>
          <t>Acumulado (R$)</t>
        </is>
      </c>
    </row>
    <row r="5">
      <c r="A5" s="4" t="inlineStr">
        <is>
          <t>jan/2027</t>
        </is>
      </c>
      <c r="B5" s="5" t="n">
        <v>28587.01</v>
      </c>
      <c r="C5" s="5" t="n">
        <v>0</v>
      </c>
      <c r="D5" s="5" t="n">
        <v>6987.94</v>
      </c>
      <c r="E5" s="5" t="n">
        <v>0</v>
      </c>
      <c r="F5" s="5" t="n">
        <v>0</v>
      </c>
      <c r="G5" s="5" t="n">
        <v>35574.95</v>
      </c>
      <c r="H5" s="9" t="n">
        <v>1.5</v>
      </c>
      <c r="I5" s="10" t="n">
        <v>0.07415793503528434</v>
      </c>
      <c r="J5" s="5" t="n">
        <v>35574.95</v>
      </c>
    </row>
    <row r="6">
      <c r="A6" s="4" t="inlineStr">
        <is>
          <t>fev/2027</t>
        </is>
      </c>
      <c r="B6" s="5" t="n">
        <v>48597.92</v>
      </c>
      <c r="C6" s="5" t="n">
        <v>0</v>
      </c>
      <c r="D6" s="5" t="n">
        <v>11879.49</v>
      </c>
      <c r="E6" s="5" t="n">
        <v>0</v>
      </c>
      <c r="F6" s="5" t="n">
        <v>0</v>
      </c>
      <c r="G6" s="5" t="n">
        <v>60477.41</v>
      </c>
      <c r="H6" s="9" t="n">
        <v>2.5</v>
      </c>
      <c r="I6" s="10" t="n">
        <v>0.1260684895599834</v>
      </c>
      <c r="J6" s="5" t="n">
        <v>96052.36</v>
      </c>
    </row>
    <row r="7">
      <c r="A7" s="4" t="inlineStr">
        <is>
          <t>mar/2027</t>
        </is>
      </c>
      <c r="B7" s="5" t="n">
        <v>76232.03</v>
      </c>
      <c r="C7" s="5" t="n">
        <v>19457.55</v>
      </c>
      <c r="D7" s="5" t="n">
        <v>18634.5</v>
      </c>
      <c r="E7" s="5" t="n">
        <v>0</v>
      </c>
      <c r="F7" s="5" t="n">
        <v>0</v>
      </c>
      <c r="G7" s="5" t="n">
        <v>114324.08</v>
      </c>
      <c r="H7" s="9" t="n">
        <v>4.5</v>
      </c>
      <c r="I7" s="10" t="n">
        <v>0.2383148195305061</v>
      </c>
      <c r="J7" s="5" t="n">
        <v>210376.44</v>
      </c>
    </row>
    <row r="8">
      <c r="A8" s="4" t="inlineStr">
        <is>
          <t>abr/2027</t>
        </is>
      </c>
      <c r="B8" s="5" t="n">
        <v>93384.24000000001</v>
      </c>
      <c r="C8" s="5" t="n">
        <v>33369.69</v>
      </c>
      <c r="D8" s="5" t="n">
        <v>22827.26</v>
      </c>
      <c r="E8" s="5" t="n">
        <v>0</v>
      </c>
      <c r="F8" s="5" t="n">
        <v>22480.64</v>
      </c>
      <c r="G8" s="5" t="n">
        <v>172061.83</v>
      </c>
      <c r="H8" s="9" t="n">
        <v>6.6</v>
      </c>
      <c r="I8" s="10" t="n">
        <v>0.3586723336424765</v>
      </c>
      <c r="J8" s="5" t="n">
        <v>382438.27</v>
      </c>
    </row>
    <row r="9">
      <c r="A9" s="4" t="inlineStr">
        <is>
          <t>mai/2027</t>
        </is>
      </c>
      <c r="B9" s="5" t="n">
        <v>111806.98</v>
      </c>
      <c r="C9" s="5" t="n">
        <v>48514.15</v>
      </c>
      <c r="D9" s="5" t="n">
        <v>27330.6</v>
      </c>
      <c r="E9" s="5" t="n">
        <v>0</v>
      </c>
      <c r="F9" s="5" t="n">
        <v>40373.39</v>
      </c>
      <c r="G9" s="5" t="n">
        <v>228025.11</v>
      </c>
      <c r="H9" s="9" t="n">
        <v>8.6</v>
      </c>
      <c r="I9" s="10" t="n">
        <v>0.475330878687127</v>
      </c>
      <c r="J9" s="5" t="n">
        <v>610463.38</v>
      </c>
    </row>
    <row r="10">
      <c r="A10" s="4" t="inlineStr">
        <is>
          <t>jun/2027</t>
        </is>
      </c>
      <c r="B10" s="5" t="n">
        <v>118794.92</v>
      </c>
      <c r="C10" s="5" t="n">
        <v>60642.69</v>
      </c>
      <c r="D10" s="5" t="n">
        <v>29038.76</v>
      </c>
      <c r="E10" s="5" t="n">
        <v>0</v>
      </c>
      <c r="F10" s="5" t="n">
        <v>57195.63</v>
      </c>
      <c r="G10" s="5" t="n">
        <v>265671.99</v>
      </c>
      <c r="H10" s="9" t="n">
        <v>9.9</v>
      </c>
      <c r="I10" s="10" t="n">
        <v>0.5538078696513483</v>
      </c>
      <c r="J10" s="5" t="n">
        <v>876135.38</v>
      </c>
    </row>
    <row r="11">
      <c r="A11" s="4" t="inlineStr">
        <is>
          <t>jul/2027</t>
        </is>
      </c>
      <c r="B11" s="5" t="n">
        <v>125782.85</v>
      </c>
      <c r="C11" s="5" t="n">
        <v>64209.91</v>
      </c>
      <c r="D11" s="5" t="n">
        <v>30746.92</v>
      </c>
      <c r="E11" s="5" t="n">
        <v>0</v>
      </c>
      <c r="F11" s="5" t="n">
        <v>75700.10000000001</v>
      </c>
      <c r="G11" s="5" t="n">
        <v>296439.78</v>
      </c>
      <c r="H11" s="9" t="n">
        <v>11</v>
      </c>
      <c r="I11" s="10" t="n">
        <v>0.6179450063764591</v>
      </c>
      <c r="J11" s="5" t="n">
        <v>1172575.15</v>
      </c>
    </row>
    <row r="12">
      <c r="A12" s="4" t="inlineStr">
        <is>
          <t>ago/2027</t>
        </is>
      </c>
      <c r="B12" s="5" t="n">
        <v>138805.83</v>
      </c>
      <c r="C12" s="5" t="n">
        <v>70857.89999999999</v>
      </c>
      <c r="D12" s="5" t="n">
        <v>33930.31</v>
      </c>
      <c r="E12" s="5" t="n">
        <v>12502.31</v>
      </c>
      <c r="F12" s="5" t="n">
        <v>83537.74000000001</v>
      </c>
      <c r="G12" s="5" t="n">
        <v>339634.09</v>
      </c>
      <c r="H12" s="9" t="n">
        <v>12.6</v>
      </c>
      <c r="I12" s="10" t="n">
        <v>0.70798591706938</v>
      </c>
      <c r="J12" s="5" t="n">
        <v>1512209.24</v>
      </c>
    </row>
    <row r="13">
      <c r="A13" s="4" t="inlineStr">
        <is>
          <t>set/2027</t>
        </is>
      </c>
      <c r="B13" s="5" t="n">
        <v>146111.4</v>
      </c>
      <c r="C13" s="5" t="n">
        <v>74587.25999999999</v>
      </c>
      <c r="D13" s="5" t="n">
        <v>35716.12</v>
      </c>
      <c r="E13" s="5" t="n">
        <v>17547.1</v>
      </c>
      <c r="F13" s="5" t="n">
        <v>87934.46000000001</v>
      </c>
      <c r="G13" s="5" t="n">
        <v>361896.34</v>
      </c>
      <c r="H13" s="9" t="n">
        <v>13.4</v>
      </c>
      <c r="I13" s="10" t="n">
        <v>0.7543928095440242</v>
      </c>
      <c r="J13" s="5" t="n">
        <v>1874105.59</v>
      </c>
    </row>
    <row r="14">
      <c r="A14" s="4" t="inlineStr">
        <is>
          <t>out/2027</t>
        </is>
      </c>
      <c r="B14" s="5" t="n">
        <v>146111.4</v>
      </c>
      <c r="C14" s="5" t="n">
        <v>74587.25999999999</v>
      </c>
      <c r="D14" s="5" t="n">
        <v>35716.12</v>
      </c>
      <c r="E14" s="5" t="n">
        <v>21933.88</v>
      </c>
      <c r="F14" s="5" t="n">
        <v>87934.46000000001</v>
      </c>
      <c r="G14" s="5" t="n">
        <v>366283.12</v>
      </c>
      <c r="H14" s="9" t="n">
        <v>13.5</v>
      </c>
      <c r="I14" s="10" t="n">
        <v>0.763537285330806</v>
      </c>
      <c r="J14" s="5" t="n">
        <v>2240388.7</v>
      </c>
    </row>
    <row r="15">
      <c r="A15" s="4" t="inlineStr">
        <is>
          <t>nov/2027</t>
        </is>
      </c>
      <c r="B15" s="5" t="n">
        <v>127053.39</v>
      </c>
      <c r="C15" s="5" t="n">
        <v>64858.49</v>
      </c>
      <c r="D15" s="5" t="n">
        <v>31057.49</v>
      </c>
      <c r="E15" s="5" t="n">
        <v>19072.94</v>
      </c>
      <c r="F15" s="5" t="n">
        <v>76464.75</v>
      </c>
      <c r="G15" s="5" t="n">
        <v>318507.06</v>
      </c>
      <c r="H15" s="9" t="n">
        <v>11.8</v>
      </c>
      <c r="I15" s="10" t="n">
        <v>0.6639454655050485</v>
      </c>
      <c r="J15" s="5" t="n">
        <v>2558895.76</v>
      </c>
    </row>
    <row r="16">
      <c r="A16" s="4" t="inlineStr">
        <is>
          <t>dez/2027</t>
        </is>
      </c>
      <c r="B16" s="5" t="n">
        <v>76232.03</v>
      </c>
      <c r="C16" s="5" t="n">
        <v>38915.09</v>
      </c>
      <c r="D16" s="5" t="n">
        <v>18634.5</v>
      </c>
      <c r="E16" s="5" t="n">
        <v>11443.76</v>
      </c>
      <c r="F16" s="5" t="n">
        <v>45878.85</v>
      </c>
      <c r="G16" s="5" t="n">
        <v>191104.24</v>
      </c>
      <c r="H16" s="9" t="n">
        <v>7.1</v>
      </c>
      <c r="I16" s="10" t="n">
        <v>0.3983672793030292</v>
      </c>
      <c r="J16" s="5" t="n">
        <v>2750000</v>
      </c>
    </row>
    <row r="17">
      <c r="A17" s="7" t="inlineStr">
        <is>
          <t>TOTAL</t>
        </is>
      </c>
      <c r="B17" s="5">
        <f>SUM(B5:B16)</f>
        <v/>
      </c>
      <c r="C17" s="5">
        <f>SUM(C5:C16)</f>
        <v/>
      </c>
      <c r="D17" s="5">
        <f>SUM(D5:D16)</f>
        <v/>
      </c>
      <c r="E17" s="5">
        <f>SUM(E5:E16)</f>
        <v/>
      </c>
      <c r="F17" s="5">
        <f>SUM(F5:F16)</f>
        <v/>
      </c>
      <c r="G17" s="8">
        <f>SUM(G5:G16)</f>
        <v/>
      </c>
      <c r="H17" s="9">
        <f>SUM(H5:H16)</f>
        <v/>
      </c>
    </row>
    <row r="19">
      <c r="A19" s="11" t="inlineStr">
        <is>
          <t>Quantidades vendidas por mês (un / m²)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 t="n"/>
    </row>
    <row r="20">
      <c r="A20" s="3" t="inlineStr">
        <is>
          <t>Mês</t>
        </is>
      </c>
      <c r="B20" s="3" t="inlineStr">
        <is>
          <t>Bloco de concreto 14x19x39 -</t>
        </is>
      </c>
      <c r="C20" s="3" t="inlineStr">
        <is>
          <t>Bloco de concreto 14x19x39 -</t>
        </is>
      </c>
      <c r="D20" s="3" t="inlineStr">
        <is>
          <t xml:space="preserve">Bloco de concreto 9x19x39 - </t>
        </is>
      </c>
      <c r="E20" s="3" t="inlineStr">
        <is>
          <t>Bloco 19x19x39 e canaletas</t>
        </is>
      </c>
      <c r="F20" s="3" t="inlineStr">
        <is>
          <t>Piso intertravado (paver) 35</t>
        </is>
      </c>
      <c r="G20" s="3" t="inlineStr">
        <is>
          <t>—</t>
        </is>
      </c>
      <c r="H20" s="3" t="inlineStr">
        <is>
          <t>—</t>
        </is>
      </c>
      <c r="I20" s="3" t="inlineStr">
        <is>
          <t>—</t>
        </is>
      </c>
      <c r="J20" s="3" t="inlineStr">
        <is>
          <t>—</t>
        </is>
      </c>
    </row>
    <row r="21">
      <c r="A21" s="4" t="inlineStr">
        <is>
          <t>jan/2027</t>
        </is>
      </c>
      <c r="B21" s="14" t="n">
        <v>8663</v>
      </c>
      <c r="C21" s="14" t="n">
        <v>0</v>
      </c>
      <c r="D21" s="14" t="n">
        <v>2496</v>
      </c>
      <c r="E21" s="14" t="n">
        <v>0</v>
      </c>
      <c r="F21" s="14" t="n">
        <v>0</v>
      </c>
    </row>
    <row r="22">
      <c r="A22" s="4" t="inlineStr">
        <is>
          <t>fev/2027</t>
        </is>
      </c>
      <c r="B22" s="14" t="n">
        <v>14727</v>
      </c>
      <c r="C22" s="14" t="n">
        <v>0</v>
      </c>
      <c r="D22" s="14" t="n">
        <v>4243</v>
      </c>
      <c r="E22" s="14" t="n">
        <v>0</v>
      </c>
      <c r="F22" s="14" t="n">
        <v>0</v>
      </c>
    </row>
    <row r="23">
      <c r="A23" s="4" t="inlineStr">
        <is>
          <t>mar/2027</t>
        </is>
      </c>
      <c r="B23" s="14" t="n">
        <v>23101</v>
      </c>
      <c r="C23" s="14" t="n">
        <v>4324</v>
      </c>
      <c r="D23" s="14" t="n">
        <v>6655</v>
      </c>
      <c r="E23" s="14" t="n">
        <v>0</v>
      </c>
      <c r="F23" s="14" t="n">
        <v>0</v>
      </c>
    </row>
    <row r="24">
      <c r="A24" s="4" t="inlineStr">
        <is>
          <t>abr/2027</t>
        </is>
      </c>
      <c r="B24" s="14" t="n">
        <v>28298</v>
      </c>
      <c r="C24" s="14" t="n">
        <v>7415</v>
      </c>
      <c r="D24" s="14" t="n">
        <v>8153</v>
      </c>
      <c r="E24" s="14" t="n">
        <v>0</v>
      </c>
      <c r="F24" s="14" t="n">
        <v>394</v>
      </c>
    </row>
    <row r="25">
      <c r="A25" s="4" t="inlineStr">
        <is>
          <t>mai/2027</t>
        </is>
      </c>
      <c r="B25" s="14" t="n">
        <v>33881</v>
      </c>
      <c r="C25" s="14" t="n">
        <v>10781</v>
      </c>
      <c r="D25" s="14" t="n">
        <v>9761</v>
      </c>
      <c r="E25" s="14" t="n">
        <v>0</v>
      </c>
      <c r="F25" s="14" t="n">
        <v>708</v>
      </c>
    </row>
    <row r="26">
      <c r="A26" s="4" t="inlineStr">
        <is>
          <t>jun/2027</t>
        </is>
      </c>
      <c r="B26" s="14" t="n">
        <v>35998</v>
      </c>
      <c r="C26" s="14" t="n">
        <v>13476</v>
      </c>
      <c r="D26" s="14" t="n">
        <v>10371</v>
      </c>
      <c r="E26" s="14" t="n">
        <v>0</v>
      </c>
      <c r="F26" s="14" t="n">
        <v>1003</v>
      </c>
    </row>
    <row r="27">
      <c r="A27" s="4" t="inlineStr">
        <is>
          <t>jul/2027</t>
        </is>
      </c>
      <c r="B27" s="14" t="n">
        <v>38116</v>
      </c>
      <c r="C27" s="14" t="n">
        <v>14269</v>
      </c>
      <c r="D27" s="14" t="n">
        <v>10981</v>
      </c>
      <c r="E27" s="14" t="n">
        <v>0</v>
      </c>
      <c r="F27" s="14" t="n">
        <v>1328</v>
      </c>
    </row>
    <row r="28">
      <c r="A28" s="4" t="inlineStr">
        <is>
          <t>ago/2027</t>
        </is>
      </c>
      <c r="B28" s="14" t="n">
        <v>42062</v>
      </c>
      <c r="C28" s="14" t="n">
        <v>15746</v>
      </c>
      <c r="D28" s="14" t="n">
        <v>12118</v>
      </c>
      <c r="E28" s="14" t="n">
        <v>2273</v>
      </c>
      <c r="F28" s="14" t="n">
        <v>1466</v>
      </c>
    </row>
    <row r="29">
      <c r="A29" s="4" t="inlineStr">
        <is>
          <t>set/2027</t>
        </is>
      </c>
      <c r="B29" s="14" t="n">
        <v>44276</v>
      </c>
      <c r="C29" s="14" t="n">
        <v>16575</v>
      </c>
      <c r="D29" s="14" t="n">
        <v>12756</v>
      </c>
      <c r="E29" s="14" t="n">
        <v>3190</v>
      </c>
      <c r="F29" s="14" t="n">
        <v>1543</v>
      </c>
    </row>
    <row r="30">
      <c r="A30" s="4" t="inlineStr">
        <is>
          <t>out/2027</t>
        </is>
      </c>
      <c r="B30" s="14" t="n">
        <v>44276</v>
      </c>
      <c r="C30" s="14" t="n">
        <v>16575</v>
      </c>
      <c r="D30" s="14" t="n">
        <v>12756</v>
      </c>
      <c r="E30" s="14" t="n">
        <v>3988</v>
      </c>
      <c r="F30" s="14" t="n">
        <v>1543</v>
      </c>
    </row>
    <row r="31">
      <c r="A31" s="4" t="inlineStr">
        <is>
          <t>nov/2027</t>
        </is>
      </c>
      <c r="B31" s="14" t="n">
        <v>38501</v>
      </c>
      <c r="C31" s="14" t="n">
        <v>14413</v>
      </c>
      <c r="D31" s="14" t="n">
        <v>11092</v>
      </c>
      <c r="E31" s="14" t="n">
        <v>3468</v>
      </c>
      <c r="F31" s="14" t="n">
        <v>1341</v>
      </c>
    </row>
    <row r="32">
      <c r="A32" s="4" t="inlineStr">
        <is>
          <t>dez/2027</t>
        </is>
      </c>
      <c r="B32" s="14" t="n">
        <v>23101</v>
      </c>
      <c r="C32" s="14" t="n">
        <v>8648</v>
      </c>
      <c r="D32" s="14" t="n">
        <v>6655</v>
      </c>
      <c r="E32" s="14" t="n">
        <v>2081</v>
      </c>
      <c r="F32" s="14" t="n">
        <v>805</v>
      </c>
    </row>
    <row r="33">
      <c r="A33" s="7" t="inlineStr">
        <is>
          <t>TOTAL ANO 1</t>
        </is>
      </c>
      <c r="B33" s="14">
        <f>SUM(B21:B32)</f>
        <v/>
      </c>
      <c r="C33" s="14">
        <f>SUM(C21:C32)</f>
        <v/>
      </c>
      <c r="D33" s="14">
        <f>SUM(D21:D32)</f>
        <v/>
      </c>
      <c r="E33" s="14">
        <f>SUM(E21:E32)</f>
        <v/>
      </c>
      <c r="F33" s="14">
        <f>SUM(F21:F32)</f>
        <v/>
      </c>
    </row>
  </sheetData>
  <mergeCells count="1"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PREVISÃO ANUAL — HORIZONTE DO FINANCIAMENTO (12 ANOS)</t>
        </is>
      </c>
    </row>
    <row r="2">
      <c r="A2" s="2" t="inlineStr">
        <is>
          <t>Valores constantes de ago/2026 (padrão de projeto de financiamento). Anos 3 a 12 no teto EPP.</t>
        </is>
      </c>
    </row>
    <row r="4">
      <c r="A4" s="3" t="inlineStr">
        <is>
          <t>Ano</t>
        </is>
      </c>
      <c r="B4" s="3" t="inlineStr">
        <is>
          <t>Calendário</t>
        </is>
      </c>
      <c r="C4" s="3" t="inlineStr">
        <is>
          <t>Bloco de concreto 14x19x39</t>
        </is>
      </c>
      <c r="D4" s="3" t="inlineStr">
        <is>
          <t>Bloco de concreto 14x19x39</t>
        </is>
      </c>
      <c r="E4" s="3" t="inlineStr">
        <is>
          <t xml:space="preserve">Bloco de concreto 9x19x39 </t>
        </is>
      </c>
      <c r="F4" s="3" t="inlineStr">
        <is>
          <t>Bloco 19x19x39 e canaletas</t>
        </is>
      </c>
      <c r="G4" s="3" t="inlineStr">
        <is>
          <t xml:space="preserve">Piso intertravado (paver) </t>
        </is>
      </c>
      <c r="H4" s="3" t="inlineStr">
        <is>
          <t>Receita total (R$)</t>
        </is>
      </c>
      <c r="I4" s="3" t="inlineStr">
        <is>
          <t>Dias de produção</t>
        </is>
      </c>
      <c r="J4" s="3" t="inlineStr">
        <is>
          <t>% capac. efetiva (210 d)</t>
        </is>
      </c>
    </row>
    <row r="5">
      <c r="A5" s="4" t="n">
        <v>1</v>
      </c>
      <c r="B5" s="4" t="n">
        <v>2027</v>
      </c>
      <c r="C5" s="5" t="n">
        <v>1237500</v>
      </c>
      <c r="D5" s="5" t="n">
        <v>550000</v>
      </c>
      <c r="E5" s="5" t="n">
        <v>302500</v>
      </c>
      <c r="F5" s="5" t="n">
        <v>82500</v>
      </c>
      <c r="G5" s="5" t="n">
        <v>577500</v>
      </c>
      <c r="H5" s="5" t="n">
        <v>2750000</v>
      </c>
      <c r="I5" s="9" t="n">
        <v>103.1</v>
      </c>
      <c r="J5" s="10" t="n">
        <v>0.4907350850169112</v>
      </c>
    </row>
    <row r="6">
      <c r="A6" s="4" t="n">
        <v>2</v>
      </c>
      <c r="B6" s="4" t="n">
        <v>2028</v>
      </c>
      <c r="C6" s="5" t="n">
        <v>1540000</v>
      </c>
      <c r="D6" s="5" t="n">
        <v>885500</v>
      </c>
      <c r="E6" s="5" t="n">
        <v>385000</v>
      </c>
      <c r="F6" s="5" t="n">
        <v>134750</v>
      </c>
      <c r="G6" s="5" t="n">
        <v>904750</v>
      </c>
      <c r="H6" s="5" t="n">
        <v>3850000</v>
      </c>
      <c r="I6" s="9" t="n">
        <v>142.2</v>
      </c>
      <c r="J6" s="10" t="n">
        <v>0.6769892816639663</v>
      </c>
    </row>
    <row r="7">
      <c r="A7" s="4" t="n">
        <v>3</v>
      </c>
      <c r="B7" s="4" t="n">
        <v>2029</v>
      </c>
      <c r="C7" s="5" t="n">
        <v>1724760</v>
      </c>
      <c r="D7" s="5" t="n">
        <v>1245660</v>
      </c>
      <c r="E7" s="5" t="n">
        <v>431190</v>
      </c>
      <c r="F7" s="5" t="n">
        <v>191640</v>
      </c>
      <c r="G7" s="5" t="n">
        <v>1197750</v>
      </c>
      <c r="H7" s="15" t="n">
        <v>4791000</v>
      </c>
      <c r="I7" s="9" t="n">
        <v>174.8</v>
      </c>
      <c r="J7" s="10" t="n">
        <v>0.8322585604099136</v>
      </c>
    </row>
    <row r="8">
      <c r="A8" s="4" t="n">
        <v>4</v>
      </c>
      <c r="B8" s="4" t="n">
        <v>2030</v>
      </c>
      <c r="C8" s="5" t="n">
        <v>1724760</v>
      </c>
      <c r="D8" s="5" t="n">
        <v>1245660</v>
      </c>
      <c r="E8" s="5" t="n">
        <v>431190</v>
      </c>
      <c r="F8" s="5" t="n">
        <v>191640</v>
      </c>
      <c r="G8" s="5" t="n">
        <v>1197750</v>
      </c>
      <c r="H8" s="15" t="n">
        <v>4791000</v>
      </c>
      <c r="I8" s="9" t="n">
        <v>174.8</v>
      </c>
      <c r="J8" s="10" t="n">
        <v>0.8322585604099136</v>
      </c>
    </row>
    <row r="9">
      <c r="A9" s="4" t="n">
        <v>5</v>
      </c>
      <c r="B9" s="4" t="n">
        <v>2031</v>
      </c>
      <c r="C9" s="5" t="n">
        <v>1724760</v>
      </c>
      <c r="D9" s="5" t="n">
        <v>1245660</v>
      </c>
      <c r="E9" s="5" t="n">
        <v>431190</v>
      </c>
      <c r="F9" s="5" t="n">
        <v>191640</v>
      </c>
      <c r="G9" s="5" t="n">
        <v>1197750</v>
      </c>
      <c r="H9" s="15" t="n">
        <v>4791000</v>
      </c>
      <c r="I9" s="9" t="n">
        <v>174.8</v>
      </c>
      <c r="J9" s="10" t="n">
        <v>0.8322585604099136</v>
      </c>
    </row>
    <row r="10">
      <c r="A10" s="4" t="n">
        <v>6</v>
      </c>
      <c r="B10" s="4" t="n">
        <v>2032</v>
      </c>
      <c r="C10" s="5" t="n">
        <v>1724760</v>
      </c>
      <c r="D10" s="5" t="n">
        <v>1245660</v>
      </c>
      <c r="E10" s="5" t="n">
        <v>431190</v>
      </c>
      <c r="F10" s="5" t="n">
        <v>191640</v>
      </c>
      <c r="G10" s="5" t="n">
        <v>1197750</v>
      </c>
      <c r="H10" s="15" t="n">
        <v>4791000</v>
      </c>
      <c r="I10" s="9" t="n">
        <v>174.8</v>
      </c>
      <c r="J10" s="10" t="n">
        <v>0.8322585604099136</v>
      </c>
    </row>
    <row r="11">
      <c r="A11" s="4" t="n">
        <v>7</v>
      </c>
      <c r="B11" s="4" t="n">
        <v>2033</v>
      </c>
      <c r="C11" s="5" t="n">
        <v>1724760</v>
      </c>
      <c r="D11" s="5" t="n">
        <v>1245660</v>
      </c>
      <c r="E11" s="5" t="n">
        <v>431190</v>
      </c>
      <c r="F11" s="5" t="n">
        <v>191640</v>
      </c>
      <c r="G11" s="5" t="n">
        <v>1197750</v>
      </c>
      <c r="H11" s="15" t="n">
        <v>4791000</v>
      </c>
      <c r="I11" s="9" t="n">
        <v>174.8</v>
      </c>
      <c r="J11" s="10" t="n">
        <v>0.8322585604099136</v>
      </c>
    </row>
    <row r="12">
      <c r="A12" s="4" t="n">
        <v>8</v>
      </c>
      <c r="B12" s="4" t="n">
        <v>2034</v>
      </c>
      <c r="C12" s="5" t="n">
        <v>1724760</v>
      </c>
      <c r="D12" s="5" t="n">
        <v>1245660</v>
      </c>
      <c r="E12" s="5" t="n">
        <v>431190</v>
      </c>
      <c r="F12" s="5" t="n">
        <v>191640</v>
      </c>
      <c r="G12" s="5" t="n">
        <v>1197750</v>
      </c>
      <c r="H12" s="15" t="n">
        <v>4791000</v>
      </c>
      <c r="I12" s="9" t="n">
        <v>174.8</v>
      </c>
      <c r="J12" s="10" t="n">
        <v>0.8322585604099136</v>
      </c>
    </row>
    <row r="13">
      <c r="A13" s="4" t="n">
        <v>9</v>
      </c>
      <c r="B13" s="4" t="n">
        <v>2035</v>
      </c>
      <c r="C13" s="5" t="n">
        <v>1724760</v>
      </c>
      <c r="D13" s="5" t="n">
        <v>1245660</v>
      </c>
      <c r="E13" s="5" t="n">
        <v>431190</v>
      </c>
      <c r="F13" s="5" t="n">
        <v>191640</v>
      </c>
      <c r="G13" s="5" t="n">
        <v>1197750</v>
      </c>
      <c r="H13" s="15" t="n">
        <v>4791000</v>
      </c>
      <c r="I13" s="9" t="n">
        <v>174.8</v>
      </c>
      <c r="J13" s="10" t="n">
        <v>0.8322585604099136</v>
      </c>
    </row>
    <row r="14">
      <c r="A14" s="4" t="n">
        <v>10</v>
      </c>
      <c r="B14" s="4" t="n">
        <v>2036</v>
      </c>
      <c r="C14" s="5" t="n">
        <v>1724760</v>
      </c>
      <c r="D14" s="5" t="n">
        <v>1245660</v>
      </c>
      <c r="E14" s="5" t="n">
        <v>431190</v>
      </c>
      <c r="F14" s="5" t="n">
        <v>191640</v>
      </c>
      <c r="G14" s="5" t="n">
        <v>1197750</v>
      </c>
      <c r="H14" s="15" t="n">
        <v>4791000</v>
      </c>
      <c r="I14" s="9" t="n">
        <v>174.8</v>
      </c>
      <c r="J14" s="10" t="n">
        <v>0.8322585604099136</v>
      </c>
    </row>
    <row r="15">
      <c r="A15" s="4" t="n">
        <v>11</v>
      </c>
      <c r="B15" s="4" t="n">
        <v>2037</v>
      </c>
      <c r="C15" s="5" t="n">
        <v>1724760</v>
      </c>
      <c r="D15" s="5" t="n">
        <v>1245660</v>
      </c>
      <c r="E15" s="5" t="n">
        <v>431190</v>
      </c>
      <c r="F15" s="5" t="n">
        <v>191640</v>
      </c>
      <c r="G15" s="5" t="n">
        <v>1197750</v>
      </c>
      <c r="H15" s="15" t="n">
        <v>4791000</v>
      </c>
      <c r="I15" s="9" t="n">
        <v>174.8</v>
      </c>
      <c r="J15" s="10" t="n">
        <v>0.8322585604099136</v>
      </c>
    </row>
    <row r="16">
      <c r="A16" s="4" t="n">
        <v>12</v>
      </c>
      <c r="B16" s="4" t="n">
        <v>2038</v>
      </c>
      <c r="C16" s="5" t="n">
        <v>1724760</v>
      </c>
      <c r="D16" s="5" t="n">
        <v>1245660</v>
      </c>
      <c r="E16" s="5" t="n">
        <v>431190</v>
      </c>
      <c r="F16" s="5" t="n">
        <v>191640</v>
      </c>
      <c r="G16" s="5" t="n">
        <v>1197750</v>
      </c>
      <c r="H16" s="15" t="n">
        <v>4791000</v>
      </c>
      <c r="I16" s="9" t="n">
        <v>174.8</v>
      </c>
      <c r="J16" s="10" t="n">
        <v>0.8322585604099136</v>
      </c>
    </row>
    <row r="17">
      <c r="A17" s="7" t="inlineStr">
        <is>
          <t>Mix (% da receita) — ano 1 / ano 2 / regime</t>
        </is>
      </c>
      <c r="B17" s="13" t="n"/>
      <c r="C17" s="6" t="inlineStr">
        <is>
          <t>45% / 40.0% / 36%</t>
        </is>
      </c>
      <c r="D17" s="6" t="inlineStr">
        <is>
          <t>20% / 23.0% / 26%</t>
        </is>
      </c>
      <c r="E17" s="6" t="inlineStr">
        <is>
          <t>11% / 10.0% / 9%</t>
        </is>
      </c>
      <c r="F17" s="6" t="inlineStr">
        <is>
          <t>3% / 3.5% / 4%</t>
        </is>
      </c>
      <c r="G17" s="6" t="inlineStr">
        <is>
          <t>21% / 23.5% / 25%</t>
        </is>
      </c>
    </row>
    <row r="19">
      <c r="A19" s="11" t="inlineStr">
        <is>
          <t>Cenário informativo (NÃO faz parte do plano-base): receita nominal com reajuste de 4% a.a.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 t="n"/>
    </row>
    <row r="20">
      <c r="A20" s="3" t="inlineStr">
        <is>
          <t>Ano</t>
        </is>
      </c>
      <c r="B20" s="3" t="inlineStr">
        <is>
          <t>Receita nominal (R$)</t>
        </is>
      </c>
      <c r="C20" s="3" t="inlineStr">
        <is>
          <t>Teto EPP (R$ 4,8 mi)</t>
        </is>
      </c>
      <c r="D20" s="3" t="inlineStr">
        <is>
          <t>Situação</t>
        </is>
      </c>
      <c r="E20" s="3" t="inlineStr">
        <is>
          <t>—</t>
        </is>
      </c>
      <c r="F20" s="3" t="inlineStr">
        <is>
          <t>—</t>
        </is>
      </c>
      <c r="G20" s="3" t="inlineStr">
        <is>
          <t>—</t>
        </is>
      </c>
      <c r="H20" s="3" t="inlineStr">
        <is>
          <t>—</t>
        </is>
      </c>
      <c r="I20" s="3" t="inlineStr">
        <is>
          <t>—</t>
        </is>
      </c>
      <c r="J20" s="3" t="inlineStr">
        <is>
          <t>—</t>
        </is>
      </c>
    </row>
    <row r="21">
      <c r="A21" s="4" t="n">
        <v>3</v>
      </c>
      <c r="B21" s="5" t="n">
        <v>4791000</v>
      </c>
      <c r="C21" s="5" t="n">
        <v>4800000</v>
      </c>
      <c r="D21" s="4" t="inlineStr">
        <is>
          <t>dentro do teto</t>
        </is>
      </c>
    </row>
    <row r="22">
      <c r="A22" s="4" t="n">
        <v>4</v>
      </c>
      <c r="B22" s="5" t="n">
        <v>4982640</v>
      </c>
      <c r="C22" s="5" t="n">
        <v>4800000</v>
      </c>
      <c r="D22" s="16" t="inlineStr">
        <is>
          <t>ACIMA — decidir porte</t>
        </is>
      </c>
    </row>
    <row r="23">
      <c r="A23" s="4" t="n">
        <v>5</v>
      </c>
      <c r="B23" s="5" t="n">
        <v>5181945.6</v>
      </c>
      <c r="C23" s="5" t="n">
        <v>4800000</v>
      </c>
      <c r="D23" s="16" t="inlineStr">
        <is>
          <t>ACIMA — decidir porte</t>
        </is>
      </c>
    </row>
    <row r="24">
      <c r="A24" s="4" t="n">
        <v>6</v>
      </c>
      <c r="B24" s="5" t="n">
        <v>5389223.42</v>
      </c>
      <c r="C24" s="5" t="n">
        <v>4800000</v>
      </c>
      <c r="D24" s="16" t="inlineStr">
        <is>
          <t>ACIMA — decidir porte</t>
        </is>
      </c>
    </row>
    <row r="25">
      <c r="A25" s="4" t="n">
        <v>7</v>
      </c>
      <c r="B25" s="5" t="n">
        <v>5604792.36</v>
      </c>
      <c r="C25" s="5" t="n">
        <v>4800000</v>
      </c>
      <c r="D25" s="16" t="inlineStr">
        <is>
          <t>ACIMA — decidir porte</t>
        </is>
      </c>
    </row>
    <row r="26">
      <c r="A26" s="4" t="n">
        <v>8</v>
      </c>
      <c r="B26" s="5" t="n">
        <v>5828984.06</v>
      </c>
      <c r="C26" s="5" t="n">
        <v>4800000</v>
      </c>
      <c r="D26" s="16" t="inlineStr">
        <is>
          <t>ACIMA — decidir porte</t>
        </is>
      </c>
    </row>
    <row r="28">
      <c r="A28" s="2" t="inlineStr">
        <is>
          <t>Leitura: em valores constantes o plano permanece no teto. Em valores nominais, qualquer reajuste de preços leva a receita acima de R$ 4,8 milhões já no ano seguinte à estabilização — quando caberá decidir entre reduzir volume ou assumir o porte maior (decisão consciente, prevista no §5.4 do estudo).</t>
        </is>
      </c>
    </row>
  </sheetData>
  <mergeCells count="2">
    <mergeCell ref="A19:J19"/>
    <mergeCell ref="A17:B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  <col width="64" customWidth="1" min="4" max="4"/>
  </cols>
  <sheetData>
    <row r="1">
      <c r="A1" s="1" t="inlineStr">
        <is>
          <t>ÍNDICES DE SAZONALIDADE E CURVA DE RAMP-UP (base das colunas mensais)</t>
        </is>
      </c>
    </row>
    <row r="3">
      <c r="A3" s="3" t="inlineStr">
        <is>
          <t>Mês</t>
        </is>
      </c>
      <c r="B3" s="3" t="inlineStr">
        <is>
          <t>Índice sazonal</t>
        </is>
      </c>
      <c r="C3" s="3" t="inlineStr">
        <is>
          <t>Ramp-up ano 1</t>
        </is>
      </c>
      <c r="D3" s="3" t="inlineStr">
        <is>
          <t>Justificativa</t>
        </is>
      </c>
    </row>
    <row r="4">
      <c r="A4" s="4" t="inlineStr">
        <is>
          <t>jan</t>
        </is>
      </c>
      <c r="B4" s="17" t="n">
        <v>0.75</v>
      </c>
      <c r="C4" s="18" t="n">
        <v>0.3</v>
      </c>
      <c r="D4" s="6" t="inlineStr">
        <is>
          <t>Pior mês do setor: chuvas, férias e retomada lenta (ABCP/CBIC)</t>
        </is>
      </c>
    </row>
    <row r="5">
      <c r="A5" s="4" t="inlineStr">
        <is>
          <t>fev</t>
        </is>
      </c>
      <c r="B5" s="17" t="n">
        <v>0.85</v>
      </c>
      <c r="C5" s="18" t="n">
        <v>0.45</v>
      </c>
      <c r="D5" s="6" t="inlineStr">
        <is>
          <t>2º pior: Carnaval e chuvas</t>
        </is>
      </c>
    </row>
    <row r="6">
      <c r="A6" s="4" t="inlineStr">
        <is>
          <t>mar</t>
        </is>
      </c>
      <c r="B6" s="17" t="n">
        <v>1</v>
      </c>
      <c r="C6" s="18" t="n">
        <v>0.6</v>
      </c>
      <c r="D6" s="6" t="inlineStr">
        <is>
          <t>Normalização das obras</t>
        </is>
      </c>
    </row>
    <row r="7">
      <c r="A7" s="4" t="inlineStr">
        <is>
          <t>abr</t>
        </is>
      </c>
      <c r="B7" s="17" t="n">
        <v>1.05</v>
      </c>
      <c r="C7" s="18" t="n">
        <v>0.7</v>
      </c>
      <c r="D7" s="6" t="inlineStr">
        <is>
          <t>Início do período seco</t>
        </is>
      </c>
    </row>
    <row r="8">
      <c r="A8" s="4" t="inlineStr">
        <is>
          <t>mai</t>
        </is>
      </c>
      <c r="B8" s="17" t="n">
        <v>1.1</v>
      </c>
      <c r="C8" s="18" t="n">
        <v>0.8</v>
      </c>
      <c r="D8" s="6" t="inlineStr">
        <is>
          <t>Alta — obras a pleno</t>
        </is>
      </c>
    </row>
    <row r="9">
      <c r="A9" s="4" t="inlineStr">
        <is>
          <t>jun</t>
        </is>
      </c>
      <c r="B9" s="17" t="n">
        <v>1.1</v>
      </c>
      <c r="C9" s="18" t="n">
        <v>0.85</v>
      </c>
      <c r="D9" s="6" t="inlineStr">
        <is>
          <t>Alta</t>
        </is>
      </c>
    </row>
    <row r="10">
      <c r="A10" s="4" t="inlineStr">
        <is>
          <t>jul</t>
        </is>
      </c>
      <c r="B10" s="17" t="n">
        <v>1.1</v>
      </c>
      <c r="C10" s="18" t="n">
        <v>0.9</v>
      </c>
      <c r="D10" s="6" t="inlineStr">
        <is>
          <t>Alta; execução de convênios do 1º semestre</t>
        </is>
      </c>
    </row>
    <row r="11">
      <c r="A11" s="4" t="inlineStr">
        <is>
          <t>ago</t>
        </is>
      </c>
      <c r="B11" s="17" t="n">
        <v>1.15</v>
      </c>
      <c r="C11" s="18" t="n">
        <v>0.95</v>
      </c>
      <c r="D11" s="6" t="inlineStr">
        <is>
          <t>Pico — clima seco e obras públicas em execução</t>
        </is>
      </c>
    </row>
    <row r="12">
      <c r="A12" s="4" t="inlineStr">
        <is>
          <t>set</t>
        </is>
      </c>
      <c r="B12" s="17" t="n">
        <v>1.15</v>
      </c>
      <c r="C12" s="18" t="n">
        <v>1</v>
      </c>
      <c r="D12" s="6" t="inlineStr">
        <is>
          <t>Pico</t>
        </is>
      </c>
    </row>
    <row r="13">
      <c r="A13" s="4" t="inlineStr">
        <is>
          <t>out</t>
        </is>
      </c>
      <c r="B13" s="17" t="n">
        <v>1.15</v>
      </c>
      <c r="C13" s="18" t="n">
        <v>1</v>
      </c>
      <c r="D13" s="6" t="inlineStr">
        <is>
          <t>Pico; corrida para concluir obras antes das chuvas</t>
        </is>
      </c>
    </row>
    <row r="14">
      <c r="A14" s="4" t="inlineStr">
        <is>
          <t>nov</t>
        </is>
      </c>
      <c r="B14" s="17" t="n">
        <v>1</v>
      </c>
      <c r="C14" s="18" t="n">
        <v>1</v>
      </c>
      <c r="D14" s="6" t="inlineStr">
        <is>
          <t>Desaceleração com o início das chuvas</t>
        </is>
      </c>
    </row>
    <row r="15">
      <c r="A15" s="4" t="inlineStr">
        <is>
          <t>dez</t>
        </is>
      </c>
      <c r="B15" s="17" t="n">
        <v>0.6</v>
      </c>
      <c r="C15" s="18" t="n">
        <v>1</v>
      </c>
      <c r="D15" s="6" t="inlineStr">
        <is>
          <t>Mínimo: férias coletivas, chuvas e parada anual de revisão (§3.7)</t>
        </is>
      </c>
    </row>
    <row r="16">
      <c r="A16" s="7" t="inlineStr">
        <is>
          <t>SOMA (deve ser 12,00)</t>
        </is>
      </c>
      <c r="B16" s="19">
        <f>SUM(B4:B15)</f>
        <v/>
      </c>
    </row>
    <row r="18">
      <c r="A18" s="11" t="inlineStr">
        <is>
          <t>Entrada comercial escalonada por produto (fator de disponibilidade)</t>
        </is>
      </c>
      <c r="B18" s="12" t="n"/>
      <c r="C18" s="12" t="n"/>
      <c r="D18" s="13" t="n"/>
    </row>
    <row r="19">
      <c r="A19" s="3" t="inlineStr">
        <is>
          <t>Produto</t>
        </is>
      </c>
      <c r="B19" s="3" t="inlineStr">
        <is>
          <t>Entra em</t>
        </is>
      </c>
      <c r="C19" s="3" t="inlineStr">
        <is>
          <t>Motivo</t>
        </is>
      </c>
      <c r="D19" s="3" t="inlineStr">
        <is>
          <t>—</t>
        </is>
      </c>
    </row>
    <row r="20">
      <c r="A20" s="4" t="inlineStr">
        <is>
          <t>Bloco 14 vedação e bloco 9</t>
        </is>
      </c>
      <c r="B20" s="4" t="inlineStr">
        <is>
          <t>mês 1</t>
        </is>
      </c>
      <c r="C20" s="6" t="inlineStr">
        <is>
          <t>venda imediata no varejo/revendas — não depende de laudo nem de licitação</t>
        </is>
      </c>
    </row>
    <row r="21">
      <c r="A21" s="4" t="inlineStr">
        <is>
          <t>Bloco 14 estrutural</t>
        </is>
      </c>
      <c r="B21" s="4" t="inlineStr">
        <is>
          <t>mês 3 (parcial até o 6º)</t>
        </is>
      </c>
      <c r="C21" s="6" t="inlineStr">
        <is>
          <t>exige ensaios NBR 6136 e emissão de laudo do primeiro traço</t>
        </is>
      </c>
    </row>
    <row r="22">
      <c r="A22" s="4" t="inlineStr">
        <is>
          <t>Paver — obras privadas</t>
        </is>
      </c>
      <c r="B22" s="4" t="inlineStr">
        <is>
          <t>mês 4</t>
        </is>
      </c>
      <c r="C22" s="6" t="inlineStr">
        <is>
          <t>ciclo comercial com construtoras/loteadores</t>
        </is>
      </c>
    </row>
    <row r="23">
      <c r="A23" s="4" t="inlineStr">
        <is>
          <t>Paver — B2G</t>
        </is>
      </c>
      <c r="B23" s="4" t="inlineStr">
        <is>
          <t>mês 6</t>
        </is>
      </c>
      <c r="C23" s="6" t="inlineStr">
        <is>
          <t>cadastro nas prefeituras, participação em atas e prazo de empenho</t>
        </is>
      </c>
    </row>
    <row r="24">
      <c r="A24" s="4" t="inlineStr">
        <is>
          <t>Bloco 19 e canaletas</t>
        </is>
      </c>
      <c r="B24" s="4" t="inlineStr">
        <is>
          <t>mês 8</t>
        </is>
      </c>
      <c r="C24" s="6" t="inlineStr">
        <is>
          <t>complementos: acompanham as obras de alvenaria estrutural já iniciadas</t>
        </is>
      </c>
    </row>
  </sheetData>
  <mergeCells count="1">
    <mergeCell ref="A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8" customWidth="1" min="3" max="3"/>
  </cols>
  <sheetData>
    <row r="1">
      <c r="A1" s="1" t="inlineStr">
        <is>
          <t>CONFERÊNCIA — COERÊNCIA COM O ESTUDO, A MEMÓRIA BNB E A SIMULAÇÃO</t>
        </is>
      </c>
    </row>
    <row r="3">
      <c r="A3" s="3" t="inlineStr">
        <is>
          <t>Verificação</t>
        </is>
      </c>
      <c r="B3" s="3" t="inlineStr">
        <is>
          <t>Resultado</t>
        </is>
      </c>
      <c r="C3" s="3" t="inlineStr">
        <is>
          <t>Status</t>
        </is>
      </c>
    </row>
    <row r="4">
      <c r="A4" s="4" t="inlineStr">
        <is>
          <t>Soma dos 12 meses do ano 1</t>
        </is>
      </c>
      <c r="B4" s="4" t="inlineStr">
        <is>
          <t>R$ 2.750.000</t>
        </is>
      </c>
      <c r="C4" s="6" t="inlineStr">
        <is>
          <t>✓ = R$ 2.750.000 do plano</t>
        </is>
      </c>
    </row>
    <row r="5">
      <c r="A5" s="4" t="inlineStr">
        <is>
          <t>Receita do regime (mix × preços)</t>
        </is>
      </c>
      <c r="B5" s="4" t="inlineStr">
        <is>
          <t>R$ 4.791.000</t>
        </is>
      </c>
      <c r="C5" s="6" t="inlineStr">
        <is>
          <t>✓ = R$ 4.791.000 (estudo §5.4)</t>
        </is>
      </c>
    </row>
    <row r="6">
      <c r="A6" s="4" t="inlineStr">
        <is>
          <t>Teto EPP (LC 123)</t>
        </is>
      </c>
      <c r="B6" s="4" t="inlineStr">
        <is>
          <t>R$ 4.800.000</t>
        </is>
      </c>
      <c r="C6" s="6" t="inlineStr">
        <is>
          <t>✓ folga de R$ 9.000</t>
        </is>
      </c>
    </row>
    <row r="7">
      <c r="A7" s="4" t="inlineStr">
        <is>
          <t>Dias de produção — ano 1</t>
        </is>
      </c>
      <c r="B7" s="4" t="inlineStr">
        <is>
          <t>103.1 de 210</t>
        </is>
      </c>
      <c r="C7" s="6" t="inlineStr">
        <is>
          <t>✓ 49% da capacidade efetiva</t>
        </is>
      </c>
    </row>
    <row r="8">
      <c r="A8" s="4" t="inlineStr">
        <is>
          <t>Dias de produção — ano 2</t>
        </is>
      </c>
      <c r="B8" s="4" t="inlineStr">
        <is>
          <t>142.2 de 210</t>
        </is>
      </c>
      <c r="C8" s="6" t="inlineStr">
        <is>
          <t>✓ 68%</t>
        </is>
      </c>
    </row>
    <row r="9">
      <c r="A9" s="4" t="inlineStr">
        <is>
          <t>Dias de produção — regime</t>
        </is>
      </c>
      <c r="B9" s="4" t="inlineStr">
        <is>
          <t>174.8 de 210</t>
        </is>
      </c>
      <c r="C9" s="6" t="inlineStr">
        <is>
          <t>✓ 83% (§3.7)</t>
        </is>
      </c>
    </row>
    <row r="10">
      <c r="A10" s="4" t="inlineStr">
        <is>
          <t>Mês de maior utilização</t>
        </is>
      </c>
      <c r="B10" s="4" t="inlineStr">
        <is>
          <t>76.4% da capacidade mensal</t>
        </is>
      </c>
      <c r="C10" s="6" t="inlineStr">
        <is>
          <t>✓ abaixo de 100%</t>
        </is>
      </c>
    </row>
    <row r="11">
      <c r="A11" s="4" t="inlineStr">
        <is>
          <t>Capacidade mensal efetiva</t>
        </is>
      </c>
      <c r="B11" s="4" t="inlineStr">
        <is>
          <t>R$ 479.719</t>
        </is>
      </c>
      <c r="C11" s="6" t="inlineStr">
        <is>
          <t>210 dias ÷ 12 × R$/dia do mix</t>
        </is>
      </c>
    </row>
    <row r="12">
      <c r="A12" s="4" t="inlineStr">
        <is>
          <t>Receita usada na simulação BNB</t>
        </is>
      </c>
      <c r="B12" s="4" t="inlineStr">
        <is>
          <t>2,75 / 3,85 / 4,791 mi</t>
        </is>
      </c>
      <c r="C12" s="6" t="inlineStr">
        <is>
          <t>✓ mesma série — comprometimento 49,1%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2026-08-16T19:01:54Z</dcterms:created>
  <dcterms:modified xmlns:dcterms="http://purl.org/dc/terms/" xmlns:xsi="http://www.w3.org/2001/XMLSchema-instance" xsi:type="dcterms:W3CDTF">2026-08-16T19:01:54Z</dcterms:modified>
</cp:coreProperties>
</file>