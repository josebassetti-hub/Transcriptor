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 do Tempo" sheetId="1" state="visible" r:id="rId1"/>
    <sheet xmlns:r="http://schemas.openxmlformats.org/officeDocument/2006/relationships" name="Mensal Ano 1" sheetId="2" state="visible" r:id="rId2"/>
    <sheet xmlns:r="http://schemas.openxmlformats.org/officeDocument/2006/relationships" name="Anual 12 anos" sheetId="3" state="visible" r:id="rId3"/>
    <sheet xmlns:r="http://schemas.openxmlformats.org/officeDocument/2006/relationships" name="Sazonalidade" sheetId="4" state="visible" r:id="rId4"/>
    <sheet xmlns:r="http://schemas.openxmlformats.org/officeDocument/2006/relationships" name="Conferê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b val="1"/>
      <sz val="11"/>
    </font>
    <font>
      <name val="Arial"/>
      <b val="1"/>
      <color rgb="00C00000"/>
    </font>
    <font>
      <name val="Arial"/>
      <color rgb="000000FF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164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4" fillId="0" borderId="1" pivotButton="0" quotePrefix="0" xfId="0"/>
    <xf numFmtId="164" fontId="4" fillId="5" borderId="1" pivotButton="0" quotePrefix="0" xfId="0"/>
    <xf numFmtId="0" fontId="6" fillId="0" borderId="1" pivotButton="0" quotePrefix="0" xfId="0"/>
    <xf numFmtId="2" fontId="7" fillId="0" borderId="1" pivotButton="0" quotePrefix="0" xfId="0"/>
    <xf numFmtId="166" fontId="7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62" customWidth="1" min="4" max="4"/>
  </cols>
  <sheetData>
    <row r="1">
      <c r="A1" s="1" t="inlineStr">
        <is>
          <t>PREVISÃO DE FATURAMENTO — LINHA DO TEMPO A PARTIR DE AGOSTO/2026</t>
        </is>
      </c>
    </row>
    <row r="2">
      <c r="A2" s="2" t="inlineStr">
        <is>
          <t>Implantação sem faturamento (ago–dez/2026) e 12 meses do ano 1 de operação (jan–dez/2027). Valores constantes de ago/2026.</t>
        </is>
      </c>
    </row>
    <row r="4">
      <c r="A4" s="3" t="inlineStr">
        <is>
          <t>Mês</t>
        </is>
      </c>
      <c r="B4" s="3" t="inlineStr">
        <is>
          <t>Fase</t>
        </is>
      </c>
      <c r="C4" s="3" t="inlineStr">
        <is>
          <t>Faturamento (R$)</t>
        </is>
      </c>
      <c r="D4" s="3" t="inlineStr">
        <is>
          <t>Marcos do período</t>
        </is>
      </c>
    </row>
    <row r="5">
      <c r="A5" s="4" t="inlineStr">
        <is>
          <t>ago/2026</t>
        </is>
      </c>
      <c r="B5" s="4" t="inlineStr">
        <is>
          <t>Implantação</t>
        </is>
      </c>
      <c r="C5" s="5" t="n">
        <v>0</v>
      </c>
      <c r="D5" s="6" t="inlineStr">
        <is>
          <t>Protocolo FNE; licença ambiental (IEMA) e ligação EDP; contratação do galpão</t>
        </is>
      </c>
    </row>
    <row r="6">
      <c r="A6" s="4" t="inlineStr">
        <is>
          <t>set/2026</t>
        </is>
      </c>
      <c r="B6" s="4" t="inlineStr">
        <is>
          <t>Implantação</t>
        </is>
      </c>
      <c r="C6" s="5" t="n">
        <v>0</v>
      </c>
      <c r="D6" s="6" t="inlineStr">
        <is>
          <t>Terraplanagem e fundações; encomenda de bandejas (prazo 3–4 meses)</t>
        </is>
      </c>
    </row>
    <row r="7">
      <c r="A7" s="4" t="inlineStr">
        <is>
          <t>out/2026</t>
        </is>
      </c>
      <c r="B7" s="4" t="inlineStr">
        <is>
          <t>Implantação</t>
        </is>
      </c>
      <c r="C7" s="5" t="n">
        <v>0</v>
      </c>
      <c r="D7" s="6" t="inlineStr">
        <is>
          <t>Estrutura e cobertura do galpão; entrega Gervasi (150–180 dias da proposta)</t>
        </is>
      </c>
    </row>
    <row r="8">
      <c r="A8" s="4" t="inlineStr">
        <is>
          <t>nov/2026</t>
        </is>
      </c>
      <c r="B8" s="4" t="inlineStr">
        <is>
          <t>Implantação</t>
        </is>
      </c>
      <c r="C8" s="5" t="n">
        <v>0</v>
      </c>
      <c r="D8" s="6" t="inlineStr">
        <is>
          <t>Montagem dos equipamentos (~10 dias); piso industrial; energia MT</t>
        </is>
      </c>
    </row>
    <row r="9">
      <c r="A9" s="4" t="inlineStr">
        <is>
          <t>dez/2026</t>
        </is>
      </c>
      <c r="B9" s="4" t="inlineStr">
        <is>
          <t>Implantação</t>
        </is>
      </c>
      <c r="C9" s="5" t="n">
        <v>0</v>
      </c>
      <c r="D9" s="6" t="inlineStr">
        <is>
          <t>Startup assistido, formulação de traços, ensaios NBR 6136/9781; pré-venda</t>
        </is>
      </c>
    </row>
    <row r="10">
      <c r="A10" s="4" t="inlineStr">
        <is>
          <t>jan/2027</t>
        </is>
      </c>
      <c r="B10" s="4" t="inlineStr">
        <is>
          <t>Operação — ano 1</t>
        </is>
      </c>
      <c r="C10" s="5" t="n">
        <v>31306.61</v>
      </c>
      <c r="D10" s="6" t="inlineStr">
        <is>
          <t>Início das vendas: vedação no varejo/revendas</t>
        </is>
      </c>
    </row>
    <row r="11">
      <c r="A11" s="4" t="inlineStr">
        <is>
          <t>fev/2027</t>
        </is>
      </c>
      <c r="B11" s="4" t="inlineStr">
        <is>
          <t>Operação — ano 1</t>
        </is>
      </c>
      <c r="C11" s="5" t="n">
        <v>53221.24</v>
      </c>
      <c r="D11" s="6" t="inlineStr"/>
    </row>
    <row r="12">
      <c r="A12" s="4" t="inlineStr">
        <is>
          <t>mar/2027</t>
        </is>
      </c>
      <c r="B12" s="4" t="inlineStr">
        <is>
          <t>Operação — ano 1</t>
        </is>
      </c>
      <c r="C12" s="5" t="n">
        <v>105323.8</v>
      </c>
      <c r="D12" s="6" t="inlineStr">
        <is>
          <t>Entra bloco estrutural (laudo NBR emitido)</t>
        </is>
      </c>
    </row>
    <row r="13">
      <c r="A13" s="4" t="inlineStr">
        <is>
          <t>abr/2027</t>
        </is>
      </c>
      <c r="B13" s="4" t="inlineStr">
        <is>
          <t>Operação — ano 1</t>
        </is>
      </c>
      <c r="C13" s="5" t="n">
        <v>152433.9</v>
      </c>
      <c r="D13" s="6" t="inlineStr">
        <is>
          <t>Entra paver — obras privadas</t>
        </is>
      </c>
    </row>
    <row r="14">
      <c r="A14" s="4" t="inlineStr">
        <is>
          <t>mai/2027</t>
        </is>
      </c>
      <c r="B14" s="4" t="inlineStr">
        <is>
          <t>Operação — ano 1</t>
        </is>
      </c>
      <c r="C14" s="5" t="n">
        <v>207193.44</v>
      </c>
      <c r="D14" s="6" t="inlineStr"/>
    </row>
    <row r="15">
      <c r="A15" s="4" t="inlineStr">
        <is>
          <t>jun/2027</t>
        </is>
      </c>
      <c r="B15" s="4" t="inlineStr">
        <is>
          <t>Operação — ano 1</t>
        </is>
      </c>
      <c r="C15" s="5" t="n">
        <v>267659.98</v>
      </c>
      <c r="D15" s="6" t="inlineStr">
        <is>
          <t>Entra paver B2G (cadastros e atas municipais)</t>
        </is>
      </c>
    </row>
    <row r="16">
      <c r="A16" s="4" t="inlineStr">
        <is>
          <t>jul/2027</t>
        </is>
      </c>
      <c r="B16" s="4" t="inlineStr">
        <is>
          <t>Operação — ano 1</t>
        </is>
      </c>
      <c r="C16" s="5" t="n">
        <v>304799.16</v>
      </c>
      <c r="D16" s="6" t="inlineStr"/>
    </row>
    <row r="17">
      <c r="A17" s="4" t="inlineStr">
        <is>
          <t>ago/2027</t>
        </is>
      </c>
      <c r="B17" s="4" t="inlineStr">
        <is>
          <t>Operação — ano 1</t>
        </is>
      </c>
      <c r="C17" s="5" t="n">
        <v>348852.72</v>
      </c>
      <c r="D17" s="6" t="inlineStr">
        <is>
          <t>Entram bloco 19 e canaletas (alvenaria estrutural)</t>
        </is>
      </c>
    </row>
    <row r="18">
      <c r="A18" s="4" t="inlineStr">
        <is>
          <t>set/2027</t>
        </is>
      </c>
      <c r="B18" s="4" t="inlineStr">
        <is>
          <t>Operação — ano 1</t>
        </is>
      </c>
      <c r="C18" s="5" t="n">
        <v>377202.7</v>
      </c>
      <c r="D18" s="6" t="inlineStr"/>
    </row>
    <row r="19">
      <c r="A19" s="4" t="inlineStr">
        <is>
          <t>out/2027</t>
        </is>
      </c>
      <c r="B19" s="4" t="inlineStr">
        <is>
          <t>Operação — ano 1</t>
        </is>
      </c>
      <c r="C19" s="5" t="n">
        <v>377202.7</v>
      </c>
      <c r="D19" s="6" t="inlineStr"/>
    </row>
    <row r="20">
      <c r="A20" s="4" t="inlineStr">
        <is>
          <t>nov/2027</t>
        </is>
      </c>
      <c r="B20" s="4" t="inlineStr">
        <is>
          <t>Operação — ano 1</t>
        </is>
      </c>
      <c r="C20" s="5" t="n">
        <v>328002.35</v>
      </c>
      <c r="D20" s="6" t="inlineStr"/>
    </row>
    <row r="21">
      <c r="A21" s="4" t="inlineStr">
        <is>
          <t>dez/2027</t>
        </is>
      </c>
      <c r="B21" s="4" t="inlineStr">
        <is>
          <t>Operação — ano 1</t>
        </is>
      </c>
      <c r="C21" s="5" t="n">
        <v>196801.41</v>
      </c>
      <c r="D21" s="6" t="inlineStr">
        <is>
          <t>Férias coletivas + parada anual de revisão</t>
        </is>
      </c>
    </row>
    <row r="22">
      <c r="A22" s="7" t="inlineStr">
        <is>
          <t>TOTAL ANO 1 (jan–dez/2027)</t>
        </is>
      </c>
      <c r="C22" s="8">
        <f>SUM(C10:C21)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ANO 1 — RECEITA E QUANTIDADE POR PRODUTO, MÊS A MÊS (jan–dez/2027)</t>
        </is>
      </c>
    </row>
    <row r="2">
      <c r="A2" s="2" t="inlineStr">
        <is>
          <t>Curva = entrada escalonada de cada produto × ramp-up comercial × sazonalidade (aba Sazonalidade). Total do ano fixado em R$ 2.750.000 (plano auditado).</t>
        </is>
      </c>
    </row>
    <row r="4">
      <c r="A4" s="3" t="inlineStr">
        <is>
          <t>Mês</t>
        </is>
      </c>
      <c r="B4" s="3" t="inlineStr">
        <is>
          <t>14x19x39 - vedação</t>
        </is>
      </c>
      <c r="C4" s="3" t="inlineStr">
        <is>
          <t>14x19x39 - estrutural</t>
        </is>
      </c>
      <c r="D4" s="3" t="inlineStr">
        <is>
          <t>Canaleta de concreto 14x19x39</t>
        </is>
      </c>
      <c r="E4" s="3" t="inlineStr">
        <is>
          <t>9x19x39 - vedação</t>
        </is>
      </c>
      <c r="F4" s="3" t="inlineStr">
        <is>
          <t>9x19x39 - estrutural</t>
        </is>
      </c>
      <c r="G4" s="3" t="inlineStr">
        <is>
          <t>Canaleta de concreto 9x19x39</t>
        </is>
      </c>
      <c r="H4" s="3" t="inlineStr">
        <is>
          <t>19x19x39 - vedação</t>
        </is>
      </c>
      <c r="I4" s="3" t="inlineStr">
        <is>
          <t>19x19x39 - estrutural</t>
        </is>
      </c>
      <c r="J4" s="3" t="inlineStr">
        <is>
          <t>Canaleta de concreto 19x19x39</t>
        </is>
      </c>
      <c r="K4" s="3" t="inlineStr">
        <is>
          <t>Paver 6 cm - 35 MPa</t>
        </is>
      </c>
      <c r="L4" s="3" t="inlineStr">
        <is>
          <t>Paver 8 cm - 50 MPa</t>
        </is>
      </c>
      <c r="M4" s="3" t="inlineStr">
        <is>
          <t>Receita do mês (R$)</t>
        </is>
      </c>
      <c r="N4" s="3" t="inlineStr">
        <is>
          <t>Dias de produção</t>
        </is>
      </c>
      <c r="O4" s="3" t="inlineStr">
        <is>
          <t>% da capacidade mensal</t>
        </is>
      </c>
      <c r="P4" s="3" t="inlineStr">
        <is>
          <t>Acumulado (R$)</t>
        </is>
      </c>
    </row>
    <row r="5">
      <c r="A5" s="4" t="inlineStr">
        <is>
          <t>jan/2027</t>
        </is>
      </c>
      <c r="B5" s="5" t="n">
        <v>21673.81</v>
      </c>
      <c r="C5" s="5" t="n">
        <v>0</v>
      </c>
      <c r="D5" s="5" t="n">
        <v>0</v>
      </c>
      <c r="E5" s="5" t="n">
        <v>9632.799999999999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31306.61</v>
      </c>
      <c r="N5" s="9" t="n">
        <v>1.3</v>
      </c>
      <c r="O5" s="10" t="n">
        <v>0.06307895024769879</v>
      </c>
      <c r="P5" s="5" t="n">
        <v>31306.61</v>
      </c>
    </row>
    <row r="6">
      <c r="A6" s="4" t="inlineStr">
        <is>
          <t>fev/2027</t>
        </is>
      </c>
      <c r="B6" s="5" t="n">
        <v>36845.47</v>
      </c>
      <c r="C6" s="5" t="n">
        <v>0</v>
      </c>
      <c r="D6" s="5" t="n">
        <v>0</v>
      </c>
      <c r="E6" s="5" t="n">
        <v>16375.77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53221.24</v>
      </c>
      <c r="N6" s="9" t="n">
        <v>2.1</v>
      </c>
      <c r="O6" s="10" t="n">
        <v>0.107234215421088</v>
      </c>
      <c r="P6" s="5" t="n">
        <v>84527.85000000001</v>
      </c>
    </row>
    <row r="7">
      <c r="A7" s="4" t="inlineStr">
        <is>
          <t>mar/2027</t>
        </is>
      </c>
      <c r="B7" s="5" t="n">
        <v>57796.82</v>
      </c>
      <c r="C7" s="5" t="n">
        <v>20203.95</v>
      </c>
      <c r="D7" s="5" t="n">
        <v>0</v>
      </c>
      <c r="E7" s="5" t="n">
        <v>25687.48</v>
      </c>
      <c r="F7" s="5" t="n">
        <v>1635.56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105323.8</v>
      </c>
      <c r="N7" s="9" t="n">
        <v>4.1</v>
      </c>
      <c r="O7" s="10" t="n">
        <v>0.2122144335162579</v>
      </c>
      <c r="P7" s="5" t="n">
        <v>189851.66</v>
      </c>
    </row>
    <row r="8">
      <c r="A8" s="4" t="inlineStr">
        <is>
          <t>abr/2027</t>
        </is>
      </c>
      <c r="B8" s="5" t="n">
        <v>70801.11</v>
      </c>
      <c r="C8" s="5" t="n">
        <v>34649.77</v>
      </c>
      <c r="D8" s="5" t="n">
        <v>4282.47</v>
      </c>
      <c r="E8" s="5" t="n">
        <v>31467.16</v>
      </c>
      <c r="F8" s="5" t="n">
        <v>2804.98</v>
      </c>
      <c r="G8" s="5" t="n">
        <v>751.51</v>
      </c>
      <c r="H8" s="5" t="n">
        <v>0</v>
      </c>
      <c r="I8" s="5" t="n">
        <v>0</v>
      </c>
      <c r="J8" s="5" t="n">
        <v>0</v>
      </c>
      <c r="K8" s="5" t="n">
        <v>7676.9</v>
      </c>
      <c r="L8" s="5" t="n">
        <v>0</v>
      </c>
      <c r="M8" s="5" t="n">
        <v>152433.9</v>
      </c>
      <c r="N8" s="9" t="n">
        <v>5.7</v>
      </c>
      <c r="O8" s="10" t="n">
        <v>0.307135448630964</v>
      </c>
      <c r="P8" s="5" t="n">
        <v>342285.56</v>
      </c>
    </row>
    <row r="9">
      <c r="A9" s="4" t="inlineStr">
        <is>
          <t>mai/2027</t>
        </is>
      </c>
      <c r="B9" s="5" t="n">
        <v>84768.67</v>
      </c>
      <c r="C9" s="5" t="n">
        <v>50375.17</v>
      </c>
      <c r="D9" s="5" t="n">
        <v>7178.24</v>
      </c>
      <c r="E9" s="5" t="n">
        <v>37674.97</v>
      </c>
      <c r="F9" s="5" t="n">
        <v>4077.99</v>
      </c>
      <c r="G9" s="5" t="n">
        <v>1259.67</v>
      </c>
      <c r="H9" s="5" t="n">
        <v>1345.53</v>
      </c>
      <c r="I9" s="5" t="n">
        <v>6726.1</v>
      </c>
      <c r="J9" s="5" t="n">
        <v>0</v>
      </c>
      <c r="K9" s="5" t="n">
        <v>13787.09</v>
      </c>
      <c r="L9" s="5" t="n">
        <v>0</v>
      </c>
      <c r="M9" s="5" t="n">
        <v>207193.44</v>
      </c>
      <c r="N9" s="9" t="n">
        <v>7.6</v>
      </c>
      <c r="O9" s="10" t="n">
        <v>0.4174691382613335</v>
      </c>
      <c r="P9" s="5" t="n">
        <v>549478.99</v>
      </c>
    </row>
    <row r="10">
      <c r="A10" s="4" t="inlineStr">
        <is>
          <t>jun/2027</t>
        </is>
      </c>
      <c r="B10" s="5" t="n">
        <v>90066.71000000001</v>
      </c>
      <c r="C10" s="5" t="n">
        <v>62968.97</v>
      </c>
      <c r="D10" s="5" t="n">
        <v>9261.209999999999</v>
      </c>
      <c r="E10" s="5" t="n">
        <v>40029.65</v>
      </c>
      <c r="F10" s="5" t="n">
        <v>5097.49</v>
      </c>
      <c r="G10" s="5" t="n">
        <v>1625.2</v>
      </c>
      <c r="H10" s="5" t="n">
        <v>2001.48</v>
      </c>
      <c r="I10" s="5" t="n">
        <v>10005.07</v>
      </c>
      <c r="J10" s="5" t="n">
        <v>944.53</v>
      </c>
      <c r="K10" s="5" t="n">
        <v>19531.72</v>
      </c>
      <c r="L10" s="5" t="n">
        <v>26127.95</v>
      </c>
      <c r="M10" s="5" t="n">
        <v>267659.98</v>
      </c>
      <c r="N10" s="9" t="n">
        <v>9.5</v>
      </c>
      <c r="O10" s="10" t="n">
        <v>0.5393017512554692</v>
      </c>
      <c r="P10" s="5" t="n">
        <v>817138.97</v>
      </c>
    </row>
    <row r="11">
      <c r="A11" s="4" t="inlineStr">
        <is>
          <t>jul/2027</t>
        </is>
      </c>
      <c r="B11" s="5" t="n">
        <v>95364.75999999999</v>
      </c>
      <c r="C11" s="5" t="n">
        <v>66673.02</v>
      </c>
      <c r="D11" s="5" t="n">
        <v>11536.46</v>
      </c>
      <c r="E11" s="5" t="n">
        <v>42384.34</v>
      </c>
      <c r="F11" s="5" t="n">
        <v>5397.34</v>
      </c>
      <c r="G11" s="5" t="n">
        <v>2024.46</v>
      </c>
      <c r="H11" s="5" t="n">
        <v>2573.33</v>
      </c>
      <c r="I11" s="5" t="n">
        <v>12863.66</v>
      </c>
      <c r="J11" s="5" t="n">
        <v>1400.13</v>
      </c>
      <c r="K11" s="5" t="n">
        <v>25850.8</v>
      </c>
      <c r="L11" s="5" t="n">
        <v>38730.85</v>
      </c>
      <c r="M11" s="5" t="n">
        <v>304799.16</v>
      </c>
      <c r="N11" s="9" t="n">
        <v>10.7</v>
      </c>
      <c r="O11" s="10" t="n">
        <v>0.6141325906170692</v>
      </c>
      <c r="P11" s="5" t="n">
        <v>1121938.13</v>
      </c>
    </row>
    <row r="12">
      <c r="A12" s="4" t="inlineStr">
        <is>
          <t>ago/2027</t>
        </is>
      </c>
      <c r="B12" s="5" t="n">
        <v>105238.38</v>
      </c>
      <c r="C12" s="5" t="n">
        <v>73576.03999999999</v>
      </c>
      <c r="D12" s="5" t="n">
        <v>12730.89</v>
      </c>
      <c r="E12" s="5" t="n">
        <v>46772.61</v>
      </c>
      <c r="F12" s="5" t="n">
        <v>5956.16</v>
      </c>
      <c r="G12" s="5" t="n">
        <v>2234.07</v>
      </c>
      <c r="H12" s="5" t="n">
        <v>3340.9</v>
      </c>
      <c r="I12" s="5" t="n">
        <v>16700.59</v>
      </c>
      <c r="J12" s="5" t="n">
        <v>1876.19</v>
      </c>
      <c r="K12" s="5" t="n">
        <v>28527.27</v>
      </c>
      <c r="L12" s="5" t="n">
        <v>51899.61</v>
      </c>
      <c r="M12" s="5" t="n">
        <v>348852.72</v>
      </c>
      <c r="N12" s="9" t="n">
        <v>12.2</v>
      </c>
      <c r="O12" s="10" t="n">
        <v>0.702895064143464</v>
      </c>
      <c r="P12" s="5" t="n">
        <v>1470790.85</v>
      </c>
    </row>
    <row r="13">
      <c r="A13" s="4" t="inlineStr">
        <is>
          <t>set/2027</t>
        </is>
      </c>
      <c r="B13" s="5" t="n">
        <v>110777.24</v>
      </c>
      <c r="C13" s="5" t="n">
        <v>77448.46000000001</v>
      </c>
      <c r="D13" s="5" t="n">
        <v>13400.94</v>
      </c>
      <c r="E13" s="5" t="n">
        <v>49234.33</v>
      </c>
      <c r="F13" s="5" t="n">
        <v>6269.64</v>
      </c>
      <c r="G13" s="5" t="n">
        <v>2351.65</v>
      </c>
      <c r="H13" s="5" t="n">
        <v>3516.74</v>
      </c>
      <c r="I13" s="5" t="n">
        <v>17579.57</v>
      </c>
      <c r="J13" s="5" t="n">
        <v>2323.45</v>
      </c>
      <c r="K13" s="5" t="n">
        <v>30028.71</v>
      </c>
      <c r="L13" s="5" t="n">
        <v>64271.97</v>
      </c>
      <c r="M13" s="5" t="n">
        <v>377202.7</v>
      </c>
      <c r="N13" s="9" t="n">
        <v>13.1</v>
      </c>
      <c r="O13" s="10" t="n">
        <v>0.7600167716906291</v>
      </c>
      <c r="P13" s="5" t="n">
        <v>1847993.55</v>
      </c>
    </row>
    <row r="14">
      <c r="A14" s="4" t="inlineStr">
        <is>
          <t>out/2027</t>
        </is>
      </c>
      <c r="B14" s="5" t="n">
        <v>110777.24</v>
      </c>
      <c r="C14" s="5" t="n">
        <v>77448.46000000001</v>
      </c>
      <c r="D14" s="5" t="n">
        <v>13400.94</v>
      </c>
      <c r="E14" s="5" t="n">
        <v>49234.33</v>
      </c>
      <c r="F14" s="5" t="n">
        <v>6269.64</v>
      </c>
      <c r="G14" s="5" t="n">
        <v>2351.65</v>
      </c>
      <c r="H14" s="5" t="n">
        <v>3516.74</v>
      </c>
      <c r="I14" s="5" t="n">
        <v>17579.57</v>
      </c>
      <c r="J14" s="5" t="n">
        <v>2323.45</v>
      </c>
      <c r="K14" s="5" t="n">
        <v>30028.71</v>
      </c>
      <c r="L14" s="5" t="n">
        <v>64271.97</v>
      </c>
      <c r="M14" s="5" t="n">
        <v>377202.7</v>
      </c>
      <c r="N14" s="9" t="n">
        <v>13.1</v>
      </c>
      <c r="O14" s="10" t="n">
        <v>0.7600167716906291</v>
      </c>
      <c r="P14" s="5" t="n">
        <v>2225196.24</v>
      </c>
    </row>
    <row r="15">
      <c r="A15" s="4" t="inlineStr">
        <is>
          <t>nov/2027</t>
        </is>
      </c>
      <c r="B15" s="5" t="n">
        <v>96328.03999999999</v>
      </c>
      <c r="C15" s="5" t="n">
        <v>67346.49000000001</v>
      </c>
      <c r="D15" s="5" t="n">
        <v>11652.99</v>
      </c>
      <c r="E15" s="5" t="n">
        <v>42812.46</v>
      </c>
      <c r="F15" s="5" t="n">
        <v>5451.86</v>
      </c>
      <c r="G15" s="5" t="n">
        <v>2044.91</v>
      </c>
      <c r="H15" s="5" t="n">
        <v>3058.03</v>
      </c>
      <c r="I15" s="5" t="n">
        <v>15286.58</v>
      </c>
      <c r="J15" s="5" t="n">
        <v>2020.39</v>
      </c>
      <c r="K15" s="5" t="n">
        <v>26111.92</v>
      </c>
      <c r="L15" s="5" t="n">
        <v>55888.67</v>
      </c>
      <c r="M15" s="5" t="n">
        <v>328002.35</v>
      </c>
      <c r="N15" s="9" t="n">
        <v>11.4</v>
      </c>
      <c r="O15" s="10" t="n">
        <v>0.6608841492961993</v>
      </c>
      <c r="P15" s="5" t="n">
        <v>2553198.59</v>
      </c>
    </row>
    <row r="16">
      <c r="A16" s="4" t="inlineStr">
        <is>
          <t>dez/2027</t>
        </is>
      </c>
      <c r="B16" s="5" t="n">
        <v>57796.82</v>
      </c>
      <c r="C16" s="5" t="n">
        <v>40407.89</v>
      </c>
      <c r="D16" s="5" t="n">
        <v>6991.79</v>
      </c>
      <c r="E16" s="5" t="n">
        <v>25687.48</v>
      </c>
      <c r="F16" s="5" t="n">
        <v>3271.12</v>
      </c>
      <c r="G16" s="5" t="n">
        <v>1226.95</v>
      </c>
      <c r="H16" s="5" t="n">
        <v>1834.82</v>
      </c>
      <c r="I16" s="5" t="n">
        <v>9171.950000000001</v>
      </c>
      <c r="J16" s="5" t="n">
        <v>1212.24</v>
      </c>
      <c r="K16" s="5" t="n">
        <v>15667.15</v>
      </c>
      <c r="L16" s="5" t="n">
        <v>33533.2</v>
      </c>
      <c r="M16" s="5" t="n">
        <v>196801.41</v>
      </c>
      <c r="N16" s="9" t="n">
        <v>6.8</v>
      </c>
      <c r="O16" s="10" t="n">
        <v>0.3965304895777196</v>
      </c>
      <c r="P16" s="5" t="n">
        <v>2750000</v>
      </c>
    </row>
    <row r="17">
      <c r="A17" s="7" t="inlineStr">
        <is>
          <t>TOTAL</t>
        </is>
      </c>
      <c r="B17" s="5">
        <f>SUM(B5:B16)</f>
        <v/>
      </c>
      <c r="C17" s="5">
        <f>SUM(C5:C16)</f>
        <v/>
      </c>
      <c r="D17" s="5">
        <f>SUM(D5:D16)</f>
        <v/>
      </c>
      <c r="E17" s="5">
        <f>SUM(E5:E16)</f>
        <v/>
      </c>
      <c r="F17" s="5">
        <f>SUM(F5:F16)</f>
        <v/>
      </c>
      <c r="G17" s="5">
        <f>SUM(G5:G16)</f>
        <v/>
      </c>
      <c r="H17" s="5">
        <f>SUM(H5:H16)</f>
        <v/>
      </c>
      <c r="I17" s="5">
        <f>SUM(I5:I16)</f>
        <v/>
      </c>
      <c r="J17" s="5">
        <f>SUM(J5:J16)</f>
        <v/>
      </c>
      <c r="K17" s="5">
        <f>SUM(K5:K16)</f>
        <v/>
      </c>
      <c r="L17" s="5">
        <f>SUM(L5:L16)</f>
        <v/>
      </c>
      <c r="M17" s="8">
        <f>SUM(M5:M16)</f>
        <v/>
      </c>
      <c r="N17" s="9">
        <f>SUM(N5:N16)</f>
        <v/>
      </c>
    </row>
    <row r="19">
      <c r="A19" s="11" t="inlineStr">
        <is>
          <t>Quantidades vendidas por mês (un / m²)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3" t="n"/>
    </row>
    <row r="20">
      <c r="A20" s="3" t="inlineStr">
        <is>
          <t>Mês</t>
        </is>
      </c>
      <c r="B20" s="3" t="inlineStr">
        <is>
          <t>Bloco de concreto 14x19x39 -</t>
        </is>
      </c>
      <c r="C20" s="3" t="inlineStr">
        <is>
          <t>Bloco de concreto 14x19x39 -</t>
        </is>
      </c>
      <c r="D20" s="3" t="inlineStr">
        <is>
          <t>Canaleta de concreto 14x19x3</t>
        </is>
      </c>
      <c r="E20" s="3" t="inlineStr">
        <is>
          <t xml:space="preserve">Bloco de concreto 9x19x39 - </t>
        </is>
      </c>
      <c r="F20" s="3" t="inlineStr">
        <is>
          <t xml:space="preserve">Bloco de concreto 9x19x39 - </t>
        </is>
      </c>
      <c r="G20" s="3" t="inlineStr">
        <is>
          <t>Canaleta de concreto 9x19x39</t>
        </is>
      </c>
      <c r="H20" s="3" t="inlineStr">
        <is>
          <t>Bloco de concreto 19x19x39 -</t>
        </is>
      </c>
      <c r="I20" s="3" t="inlineStr">
        <is>
          <t>Bloco de concreto 19x19x39 -</t>
        </is>
      </c>
      <c r="J20" s="3" t="inlineStr">
        <is>
          <t>Canaleta de concreto 19x19x3</t>
        </is>
      </c>
      <c r="K20" s="3" t="inlineStr">
        <is>
          <t xml:space="preserve">Piso intertravado (paver) 6 </t>
        </is>
      </c>
      <c r="L20" s="3" t="inlineStr">
        <is>
          <t xml:space="preserve">Piso intertravado (paver) 8 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—</t>
        </is>
      </c>
    </row>
    <row r="21">
      <c r="A21" s="4" t="inlineStr">
        <is>
          <t>jan/2027</t>
        </is>
      </c>
      <c r="B21" s="14" t="n">
        <v>6568</v>
      </c>
      <c r="C21" s="14" t="n">
        <v>0</v>
      </c>
      <c r="D21" s="14" t="n">
        <v>0</v>
      </c>
      <c r="E21" s="14" t="n">
        <v>3440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</row>
    <row r="22">
      <c r="A22" s="4" t="inlineStr">
        <is>
          <t>fev/2027</t>
        </is>
      </c>
      <c r="B22" s="14" t="n">
        <v>11165</v>
      </c>
      <c r="C22" s="14" t="n">
        <v>0</v>
      </c>
      <c r="D22" s="14" t="n">
        <v>0</v>
      </c>
      <c r="E22" s="14" t="n">
        <v>5848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</row>
    <row r="23">
      <c r="A23" s="4" t="inlineStr">
        <is>
          <t>mar/2027</t>
        </is>
      </c>
      <c r="B23" s="14" t="n">
        <v>17514</v>
      </c>
      <c r="C23" s="14" t="n">
        <v>4490</v>
      </c>
      <c r="D23" s="14" t="n">
        <v>0</v>
      </c>
      <c r="E23" s="14" t="n">
        <v>9174</v>
      </c>
      <c r="F23" s="14" t="n">
        <v>481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</row>
    <row r="24">
      <c r="A24" s="4" t="inlineStr">
        <is>
          <t>abr/2027</t>
        </is>
      </c>
      <c r="B24" s="14" t="n">
        <v>21455</v>
      </c>
      <c r="C24" s="14" t="n">
        <v>7700</v>
      </c>
      <c r="D24" s="14" t="n">
        <v>856</v>
      </c>
      <c r="E24" s="14" t="n">
        <v>11238</v>
      </c>
      <c r="F24" s="14" t="n">
        <v>825</v>
      </c>
      <c r="G24" s="14" t="n">
        <v>198</v>
      </c>
      <c r="H24" s="14" t="n">
        <v>0</v>
      </c>
      <c r="I24" s="14" t="n">
        <v>0</v>
      </c>
      <c r="J24" s="14" t="n">
        <v>0</v>
      </c>
      <c r="K24" s="14" t="n">
        <v>135</v>
      </c>
      <c r="L24" s="14" t="n">
        <v>0</v>
      </c>
    </row>
    <row r="25">
      <c r="A25" s="4" t="inlineStr">
        <is>
          <t>mai/2027</t>
        </is>
      </c>
      <c r="B25" s="14" t="n">
        <v>25687</v>
      </c>
      <c r="C25" s="14" t="n">
        <v>11194</v>
      </c>
      <c r="D25" s="14" t="n">
        <v>1436</v>
      </c>
      <c r="E25" s="14" t="n">
        <v>13455</v>
      </c>
      <c r="F25" s="14" t="n">
        <v>1199</v>
      </c>
      <c r="G25" s="14" t="n">
        <v>331</v>
      </c>
      <c r="H25" s="14" t="n">
        <v>306</v>
      </c>
      <c r="I25" s="14" t="n">
        <v>1223</v>
      </c>
      <c r="J25" s="14" t="n">
        <v>0</v>
      </c>
      <c r="K25" s="14" t="n">
        <v>242</v>
      </c>
      <c r="L25" s="14" t="n">
        <v>0</v>
      </c>
    </row>
    <row r="26">
      <c r="A26" s="4" t="inlineStr">
        <is>
          <t>jun/2027</t>
        </is>
      </c>
      <c r="B26" s="14" t="n">
        <v>27293</v>
      </c>
      <c r="C26" s="14" t="n">
        <v>13993</v>
      </c>
      <c r="D26" s="14" t="n">
        <v>1852</v>
      </c>
      <c r="E26" s="14" t="n">
        <v>14296</v>
      </c>
      <c r="F26" s="14" t="n">
        <v>1499</v>
      </c>
      <c r="G26" s="14" t="n">
        <v>428</v>
      </c>
      <c r="H26" s="14" t="n">
        <v>455</v>
      </c>
      <c r="I26" s="14" t="n">
        <v>1819</v>
      </c>
      <c r="J26" s="14" t="n">
        <v>150</v>
      </c>
      <c r="K26" s="14" t="n">
        <v>343</v>
      </c>
      <c r="L26" s="14" t="n">
        <v>335</v>
      </c>
    </row>
    <row r="27">
      <c r="A27" s="4" t="inlineStr">
        <is>
          <t>jul/2027</t>
        </is>
      </c>
      <c r="B27" s="14" t="n">
        <v>28898</v>
      </c>
      <c r="C27" s="14" t="n">
        <v>14816</v>
      </c>
      <c r="D27" s="14" t="n">
        <v>2307</v>
      </c>
      <c r="E27" s="14" t="n">
        <v>15137</v>
      </c>
      <c r="F27" s="14" t="n">
        <v>1587</v>
      </c>
      <c r="G27" s="14" t="n">
        <v>533</v>
      </c>
      <c r="H27" s="14" t="n">
        <v>585</v>
      </c>
      <c r="I27" s="14" t="n">
        <v>2339</v>
      </c>
      <c r="J27" s="14" t="n">
        <v>222</v>
      </c>
      <c r="K27" s="14" t="n">
        <v>454</v>
      </c>
      <c r="L27" s="14" t="n">
        <v>497</v>
      </c>
    </row>
    <row r="28">
      <c r="A28" s="4" t="inlineStr">
        <is>
          <t>ago/2027</t>
        </is>
      </c>
      <c r="B28" s="14" t="n">
        <v>31890</v>
      </c>
      <c r="C28" s="14" t="n">
        <v>16350</v>
      </c>
      <c r="D28" s="14" t="n">
        <v>2546</v>
      </c>
      <c r="E28" s="14" t="n">
        <v>16705</v>
      </c>
      <c r="F28" s="14" t="n">
        <v>1752</v>
      </c>
      <c r="G28" s="14" t="n">
        <v>588</v>
      </c>
      <c r="H28" s="14" t="n">
        <v>759</v>
      </c>
      <c r="I28" s="14" t="n">
        <v>3036</v>
      </c>
      <c r="J28" s="14" t="n">
        <v>298</v>
      </c>
      <c r="K28" s="14" t="n">
        <v>500</v>
      </c>
      <c r="L28" s="14" t="n">
        <v>665</v>
      </c>
    </row>
    <row r="29">
      <c r="A29" s="4" t="inlineStr">
        <is>
          <t>set/2027</t>
        </is>
      </c>
      <c r="B29" s="14" t="n">
        <v>33569</v>
      </c>
      <c r="C29" s="14" t="n">
        <v>17211</v>
      </c>
      <c r="D29" s="14" t="n">
        <v>2680</v>
      </c>
      <c r="E29" s="14" t="n">
        <v>17584</v>
      </c>
      <c r="F29" s="14" t="n">
        <v>1844</v>
      </c>
      <c r="G29" s="14" t="n">
        <v>619</v>
      </c>
      <c r="H29" s="14" t="n">
        <v>799</v>
      </c>
      <c r="I29" s="14" t="n">
        <v>3196</v>
      </c>
      <c r="J29" s="14" t="n">
        <v>369</v>
      </c>
      <c r="K29" s="14" t="n">
        <v>527</v>
      </c>
      <c r="L29" s="14" t="n">
        <v>824</v>
      </c>
    </row>
    <row r="30">
      <c r="A30" s="4" t="inlineStr">
        <is>
          <t>out/2027</t>
        </is>
      </c>
      <c r="B30" s="14" t="n">
        <v>33569</v>
      </c>
      <c r="C30" s="14" t="n">
        <v>17211</v>
      </c>
      <c r="D30" s="14" t="n">
        <v>2680</v>
      </c>
      <c r="E30" s="14" t="n">
        <v>17584</v>
      </c>
      <c r="F30" s="14" t="n">
        <v>1844</v>
      </c>
      <c r="G30" s="14" t="n">
        <v>619</v>
      </c>
      <c r="H30" s="14" t="n">
        <v>799</v>
      </c>
      <c r="I30" s="14" t="n">
        <v>3196</v>
      </c>
      <c r="J30" s="14" t="n">
        <v>369</v>
      </c>
      <c r="K30" s="14" t="n">
        <v>527</v>
      </c>
      <c r="L30" s="14" t="n">
        <v>824</v>
      </c>
    </row>
    <row r="31">
      <c r="A31" s="4" t="inlineStr">
        <is>
          <t>nov/2027</t>
        </is>
      </c>
      <c r="B31" s="14" t="n">
        <v>29190</v>
      </c>
      <c r="C31" s="14" t="n">
        <v>14966</v>
      </c>
      <c r="D31" s="14" t="n">
        <v>2331</v>
      </c>
      <c r="E31" s="14" t="n">
        <v>15290</v>
      </c>
      <c r="F31" s="14" t="n">
        <v>1603</v>
      </c>
      <c r="G31" s="14" t="n">
        <v>538</v>
      </c>
      <c r="H31" s="14" t="n">
        <v>695</v>
      </c>
      <c r="I31" s="14" t="n">
        <v>2779</v>
      </c>
      <c r="J31" s="14" t="n">
        <v>321</v>
      </c>
      <c r="K31" s="14" t="n">
        <v>458</v>
      </c>
      <c r="L31" s="14" t="n">
        <v>717</v>
      </c>
    </row>
    <row r="32">
      <c r="A32" s="4" t="inlineStr">
        <is>
          <t>dez/2027</t>
        </is>
      </c>
      <c r="B32" s="14" t="n">
        <v>17514</v>
      </c>
      <c r="C32" s="14" t="n">
        <v>8980</v>
      </c>
      <c r="D32" s="14" t="n">
        <v>1398</v>
      </c>
      <c r="E32" s="14" t="n">
        <v>9174</v>
      </c>
      <c r="F32" s="14" t="n">
        <v>962</v>
      </c>
      <c r="G32" s="14" t="n">
        <v>323</v>
      </c>
      <c r="H32" s="14" t="n">
        <v>417</v>
      </c>
      <c r="I32" s="14" t="n">
        <v>1668</v>
      </c>
      <c r="J32" s="14" t="n">
        <v>192</v>
      </c>
      <c r="K32" s="14" t="n">
        <v>275</v>
      </c>
      <c r="L32" s="14" t="n">
        <v>430</v>
      </c>
    </row>
    <row r="33">
      <c r="A33" s="7" t="inlineStr">
        <is>
          <t>TOTAL ANO 1</t>
        </is>
      </c>
      <c r="B33" s="14">
        <f>SUM(B21:B32)</f>
        <v/>
      </c>
      <c r="C33" s="14">
        <f>SUM(C21:C32)</f>
        <v/>
      </c>
      <c r="D33" s="14">
        <f>SUM(D21:D32)</f>
        <v/>
      </c>
      <c r="E33" s="14">
        <f>SUM(E21:E32)</f>
        <v/>
      </c>
      <c r="F33" s="14">
        <f>SUM(F21:F32)</f>
        <v/>
      </c>
      <c r="G33" s="14">
        <f>SUM(G21:G32)</f>
        <v/>
      </c>
      <c r="H33" s="14">
        <f>SUM(H21:H32)</f>
        <v/>
      </c>
      <c r="I33" s="14">
        <f>SUM(I21:I32)</f>
        <v/>
      </c>
      <c r="J33" s="14">
        <f>SUM(J21:J32)</f>
        <v/>
      </c>
      <c r="K33" s="14">
        <f>SUM(K21:K32)</f>
        <v/>
      </c>
      <c r="L33" s="14">
        <f>SUM(L21:L32)</f>
        <v/>
      </c>
    </row>
  </sheetData>
  <mergeCells count="1">
    <mergeCell ref="A19:P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</cols>
  <sheetData>
    <row r="1">
      <c r="A1" s="1" t="inlineStr">
        <is>
          <t>PREVISÃO ANUAL — HORIZONTE DO FINANCIAMENTO (12 ANOS)</t>
        </is>
      </c>
    </row>
    <row r="2">
      <c r="A2" s="2" t="inlineStr">
        <is>
          <t>Valores constantes de ago/2026 (padrão de projeto de financiamento). Anos 3 a 12 no teto EPP.</t>
        </is>
      </c>
    </row>
    <row r="4">
      <c r="A4" s="3" t="inlineStr">
        <is>
          <t>Ano</t>
        </is>
      </c>
      <c r="B4" s="3" t="inlineStr">
        <is>
          <t>Calendário</t>
        </is>
      </c>
      <c r="C4" s="3" t="inlineStr">
        <is>
          <t>Bloco de concreto 14x19x39</t>
        </is>
      </c>
      <c r="D4" s="3" t="inlineStr">
        <is>
          <t>Bloco de concreto 14x19x39</t>
        </is>
      </c>
      <c r="E4" s="3" t="inlineStr">
        <is>
          <t>Canaleta de concreto 14x19</t>
        </is>
      </c>
      <c r="F4" s="3" t="inlineStr">
        <is>
          <t xml:space="preserve">Bloco de concreto 9x19x39 </t>
        </is>
      </c>
      <c r="G4" s="3" t="inlineStr">
        <is>
          <t xml:space="preserve">Bloco de concreto 9x19x39 </t>
        </is>
      </c>
      <c r="H4" s="3" t="inlineStr">
        <is>
          <t>Canaleta de concreto 9x19x</t>
        </is>
      </c>
      <c r="I4" s="3" t="inlineStr">
        <is>
          <t>Bloco de concreto 19x19x39</t>
        </is>
      </c>
      <c r="J4" s="3" t="inlineStr">
        <is>
          <t>Bloco de concreto 19x19x39</t>
        </is>
      </c>
      <c r="K4" s="3" t="inlineStr">
        <is>
          <t>Canaleta de concreto 19x19</t>
        </is>
      </c>
      <c r="L4" s="3" t="inlineStr">
        <is>
          <t xml:space="preserve">Piso intertravado (paver) </t>
        </is>
      </c>
      <c r="M4" s="3" t="inlineStr">
        <is>
          <t xml:space="preserve">Piso intertravado (paver) </t>
        </is>
      </c>
      <c r="N4" s="3" t="inlineStr">
        <is>
          <t>Receita total (R$)</t>
        </is>
      </c>
      <c r="O4" s="3" t="inlineStr">
        <is>
          <t>Dias de produção</t>
        </is>
      </c>
      <c r="P4" s="3" t="inlineStr">
        <is>
          <t>% capac. efetiva (207 d)</t>
        </is>
      </c>
    </row>
    <row r="5">
      <c r="A5" s="4" t="n">
        <v>1</v>
      </c>
      <c r="B5" s="4" t="n">
        <v>2027</v>
      </c>
      <c r="C5" s="5" t="n">
        <v>938235.08</v>
      </c>
      <c r="D5" s="5" t="n">
        <v>571098.23</v>
      </c>
      <c r="E5" s="5" t="n">
        <v>90435.92999999999</v>
      </c>
      <c r="F5" s="5" t="n">
        <v>416993.37</v>
      </c>
      <c r="G5" s="5" t="n">
        <v>46231.76</v>
      </c>
      <c r="H5" s="5" t="n">
        <v>15870.06</v>
      </c>
      <c r="I5" s="5" t="n">
        <v>21187.58</v>
      </c>
      <c r="J5" s="5" t="n">
        <v>105913.1</v>
      </c>
      <c r="K5" s="5" t="n">
        <v>12100.4</v>
      </c>
      <c r="L5" s="5" t="n">
        <v>197210.27</v>
      </c>
      <c r="M5" s="5" t="n">
        <v>334724.22</v>
      </c>
      <c r="N5" s="5" t="n">
        <v>2750000</v>
      </c>
      <c r="O5" s="9" t="n">
        <v>97.7</v>
      </c>
      <c r="P5" s="10" t="n">
        <v>0.4717886866871852</v>
      </c>
    </row>
    <row r="6">
      <c r="A6" s="4" t="n">
        <v>2</v>
      </c>
      <c r="B6" s="4" t="n">
        <v>2028</v>
      </c>
      <c r="C6" s="5" t="n">
        <v>1194671.74</v>
      </c>
      <c r="D6" s="5" t="n">
        <v>793659.4300000001</v>
      </c>
      <c r="E6" s="5" t="n">
        <v>133220.29</v>
      </c>
      <c r="F6" s="5" t="n">
        <v>530965.22</v>
      </c>
      <c r="G6" s="5" t="n">
        <v>64248.62</v>
      </c>
      <c r="H6" s="5" t="n">
        <v>23378.04</v>
      </c>
      <c r="I6" s="5" t="n">
        <v>33713.23</v>
      </c>
      <c r="J6" s="5" t="n">
        <v>168526.7</v>
      </c>
      <c r="K6" s="5" t="n">
        <v>21343.83</v>
      </c>
      <c r="L6" s="5" t="n">
        <v>295854.4</v>
      </c>
      <c r="M6" s="5" t="n">
        <v>590418.5</v>
      </c>
      <c r="N6" s="5" t="n">
        <v>3850000</v>
      </c>
      <c r="O6" s="9" t="n">
        <v>134.8</v>
      </c>
      <c r="P6" s="10" t="n">
        <v>0.6513621143648169</v>
      </c>
    </row>
    <row r="7">
      <c r="A7" s="4" t="n">
        <v>3</v>
      </c>
      <c r="B7" s="4" t="n">
        <v>2029</v>
      </c>
      <c r="C7" s="5" t="n">
        <v>1407025.38</v>
      </c>
      <c r="D7" s="5" t="n">
        <v>983703.42</v>
      </c>
      <c r="E7" s="5" t="n">
        <v>170210.57</v>
      </c>
      <c r="F7" s="5" t="n">
        <v>625344.61</v>
      </c>
      <c r="G7" s="5" t="n">
        <v>79633.13</v>
      </c>
      <c r="H7" s="5" t="n">
        <v>29869.24</v>
      </c>
      <c r="I7" s="5" t="n">
        <v>44667.47</v>
      </c>
      <c r="J7" s="5" t="n">
        <v>223285.06</v>
      </c>
      <c r="K7" s="5" t="n">
        <v>29511.1</v>
      </c>
      <c r="L7" s="5" t="n">
        <v>381406.42</v>
      </c>
      <c r="M7" s="5" t="n">
        <v>816343.58</v>
      </c>
      <c r="N7" s="15" t="n">
        <v>4791000</v>
      </c>
      <c r="O7" s="9" t="n">
        <v>166.5</v>
      </c>
      <c r="P7" s="10" t="n">
        <v>0.8044393554213264</v>
      </c>
    </row>
    <row r="8">
      <c r="A8" s="4" t="n">
        <v>4</v>
      </c>
      <c r="B8" s="4" t="n">
        <v>2030</v>
      </c>
      <c r="C8" s="5" t="n">
        <v>1407025.38</v>
      </c>
      <c r="D8" s="5" t="n">
        <v>983703.42</v>
      </c>
      <c r="E8" s="5" t="n">
        <v>170210.57</v>
      </c>
      <c r="F8" s="5" t="n">
        <v>625344.61</v>
      </c>
      <c r="G8" s="5" t="n">
        <v>79633.13</v>
      </c>
      <c r="H8" s="5" t="n">
        <v>29869.24</v>
      </c>
      <c r="I8" s="5" t="n">
        <v>44667.47</v>
      </c>
      <c r="J8" s="5" t="n">
        <v>223285.06</v>
      </c>
      <c r="K8" s="5" t="n">
        <v>29511.1</v>
      </c>
      <c r="L8" s="5" t="n">
        <v>381406.42</v>
      </c>
      <c r="M8" s="5" t="n">
        <v>816343.58</v>
      </c>
      <c r="N8" s="15" t="n">
        <v>4791000</v>
      </c>
      <c r="O8" s="9" t="n">
        <v>166.5</v>
      </c>
      <c r="P8" s="10" t="n">
        <v>0.8044393554213264</v>
      </c>
    </row>
    <row r="9">
      <c r="A9" s="4" t="n">
        <v>5</v>
      </c>
      <c r="B9" s="4" t="n">
        <v>2031</v>
      </c>
      <c r="C9" s="5" t="n">
        <v>1407025.38</v>
      </c>
      <c r="D9" s="5" t="n">
        <v>983703.42</v>
      </c>
      <c r="E9" s="5" t="n">
        <v>170210.57</v>
      </c>
      <c r="F9" s="5" t="n">
        <v>625344.61</v>
      </c>
      <c r="G9" s="5" t="n">
        <v>79633.13</v>
      </c>
      <c r="H9" s="5" t="n">
        <v>29869.24</v>
      </c>
      <c r="I9" s="5" t="n">
        <v>44667.47</v>
      </c>
      <c r="J9" s="5" t="n">
        <v>223285.06</v>
      </c>
      <c r="K9" s="5" t="n">
        <v>29511.1</v>
      </c>
      <c r="L9" s="5" t="n">
        <v>381406.42</v>
      </c>
      <c r="M9" s="5" t="n">
        <v>816343.58</v>
      </c>
      <c r="N9" s="15" t="n">
        <v>4791000</v>
      </c>
      <c r="O9" s="9" t="n">
        <v>166.5</v>
      </c>
      <c r="P9" s="10" t="n">
        <v>0.8044393554213264</v>
      </c>
    </row>
    <row r="10">
      <c r="A10" s="4" t="n">
        <v>6</v>
      </c>
      <c r="B10" s="4" t="n">
        <v>2032</v>
      </c>
      <c r="C10" s="5" t="n">
        <v>1407025.38</v>
      </c>
      <c r="D10" s="5" t="n">
        <v>983703.42</v>
      </c>
      <c r="E10" s="5" t="n">
        <v>170210.57</v>
      </c>
      <c r="F10" s="5" t="n">
        <v>625344.61</v>
      </c>
      <c r="G10" s="5" t="n">
        <v>79633.13</v>
      </c>
      <c r="H10" s="5" t="n">
        <v>29869.24</v>
      </c>
      <c r="I10" s="5" t="n">
        <v>44667.47</v>
      </c>
      <c r="J10" s="5" t="n">
        <v>223285.06</v>
      </c>
      <c r="K10" s="5" t="n">
        <v>29511.1</v>
      </c>
      <c r="L10" s="5" t="n">
        <v>381406.42</v>
      </c>
      <c r="M10" s="5" t="n">
        <v>816343.58</v>
      </c>
      <c r="N10" s="15" t="n">
        <v>4791000</v>
      </c>
      <c r="O10" s="9" t="n">
        <v>166.5</v>
      </c>
      <c r="P10" s="10" t="n">
        <v>0.8044393554213264</v>
      </c>
    </row>
    <row r="11">
      <c r="A11" s="4" t="n">
        <v>7</v>
      </c>
      <c r="B11" s="4" t="n">
        <v>2033</v>
      </c>
      <c r="C11" s="5" t="n">
        <v>1407025.38</v>
      </c>
      <c r="D11" s="5" t="n">
        <v>983703.42</v>
      </c>
      <c r="E11" s="5" t="n">
        <v>170210.57</v>
      </c>
      <c r="F11" s="5" t="n">
        <v>625344.61</v>
      </c>
      <c r="G11" s="5" t="n">
        <v>79633.13</v>
      </c>
      <c r="H11" s="5" t="n">
        <v>29869.24</v>
      </c>
      <c r="I11" s="5" t="n">
        <v>44667.47</v>
      </c>
      <c r="J11" s="5" t="n">
        <v>223285.06</v>
      </c>
      <c r="K11" s="5" t="n">
        <v>29511.1</v>
      </c>
      <c r="L11" s="5" t="n">
        <v>381406.42</v>
      </c>
      <c r="M11" s="5" t="n">
        <v>816343.58</v>
      </c>
      <c r="N11" s="15" t="n">
        <v>4791000</v>
      </c>
      <c r="O11" s="9" t="n">
        <v>166.5</v>
      </c>
      <c r="P11" s="10" t="n">
        <v>0.8044393554213264</v>
      </c>
    </row>
    <row r="12">
      <c r="A12" s="4" t="n">
        <v>8</v>
      </c>
      <c r="B12" s="4" t="n">
        <v>2034</v>
      </c>
      <c r="C12" s="5" t="n">
        <v>1407025.38</v>
      </c>
      <c r="D12" s="5" t="n">
        <v>983703.42</v>
      </c>
      <c r="E12" s="5" t="n">
        <v>170210.57</v>
      </c>
      <c r="F12" s="5" t="n">
        <v>625344.61</v>
      </c>
      <c r="G12" s="5" t="n">
        <v>79633.13</v>
      </c>
      <c r="H12" s="5" t="n">
        <v>29869.24</v>
      </c>
      <c r="I12" s="5" t="n">
        <v>44667.47</v>
      </c>
      <c r="J12" s="5" t="n">
        <v>223285.06</v>
      </c>
      <c r="K12" s="5" t="n">
        <v>29511.1</v>
      </c>
      <c r="L12" s="5" t="n">
        <v>381406.42</v>
      </c>
      <c r="M12" s="5" t="n">
        <v>816343.58</v>
      </c>
      <c r="N12" s="15" t="n">
        <v>4791000</v>
      </c>
      <c r="O12" s="9" t="n">
        <v>166.5</v>
      </c>
      <c r="P12" s="10" t="n">
        <v>0.8044393554213264</v>
      </c>
    </row>
    <row r="13">
      <c r="A13" s="4" t="n">
        <v>9</v>
      </c>
      <c r="B13" s="4" t="n">
        <v>2035</v>
      </c>
      <c r="C13" s="5" t="n">
        <v>1407025.38</v>
      </c>
      <c r="D13" s="5" t="n">
        <v>983703.42</v>
      </c>
      <c r="E13" s="5" t="n">
        <v>170210.57</v>
      </c>
      <c r="F13" s="5" t="n">
        <v>625344.61</v>
      </c>
      <c r="G13" s="5" t="n">
        <v>79633.13</v>
      </c>
      <c r="H13" s="5" t="n">
        <v>29869.24</v>
      </c>
      <c r="I13" s="5" t="n">
        <v>44667.47</v>
      </c>
      <c r="J13" s="5" t="n">
        <v>223285.06</v>
      </c>
      <c r="K13" s="5" t="n">
        <v>29511.1</v>
      </c>
      <c r="L13" s="5" t="n">
        <v>381406.42</v>
      </c>
      <c r="M13" s="5" t="n">
        <v>816343.58</v>
      </c>
      <c r="N13" s="15" t="n">
        <v>4791000</v>
      </c>
      <c r="O13" s="9" t="n">
        <v>166.5</v>
      </c>
      <c r="P13" s="10" t="n">
        <v>0.8044393554213264</v>
      </c>
    </row>
    <row r="14">
      <c r="A14" s="4" t="n">
        <v>10</v>
      </c>
      <c r="B14" s="4" t="n">
        <v>2036</v>
      </c>
      <c r="C14" s="5" t="n">
        <v>1407025.38</v>
      </c>
      <c r="D14" s="5" t="n">
        <v>983703.42</v>
      </c>
      <c r="E14" s="5" t="n">
        <v>170210.57</v>
      </c>
      <c r="F14" s="5" t="n">
        <v>625344.61</v>
      </c>
      <c r="G14" s="5" t="n">
        <v>79633.13</v>
      </c>
      <c r="H14" s="5" t="n">
        <v>29869.24</v>
      </c>
      <c r="I14" s="5" t="n">
        <v>44667.47</v>
      </c>
      <c r="J14" s="5" t="n">
        <v>223285.06</v>
      </c>
      <c r="K14" s="5" t="n">
        <v>29511.1</v>
      </c>
      <c r="L14" s="5" t="n">
        <v>381406.42</v>
      </c>
      <c r="M14" s="5" t="n">
        <v>816343.58</v>
      </c>
      <c r="N14" s="15" t="n">
        <v>4791000</v>
      </c>
      <c r="O14" s="9" t="n">
        <v>166.5</v>
      </c>
      <c r="P14" s="10" t="n">
        <v>0.8044393554213264</v>
      </c>
    </row>
    <row r="15">
      <c r="A15" s="4" t="n">
        <v>11</v>
      </c>
      <c r="B15" s="4" t="n">
        <v>2037</v>
      </c>
      <c r="C15" s="5" t="n">
        <v>1407025.38</v>
      </c>
      <c r="D15" s="5" t="n">
        <v>983703.42</v>
      </c>
      <c r="E15" s="5" t="n">
        <v>170210.57</v>
      </c>
      <c r="F15" s="5" t="n">
        <v>625344.61</v>
      </c>
      <c r="G15" s="5" t="n">
        <v>79633.13</v>
      </c>
      <c r="H15" s="5" t="n">
        <v>29869.24</v>
      </c>
      <c r="I15" s="5" t="n">
        <v>44667.47</v>
      </c>
      <c r="J15" s="5" t="n">
        <v>223285.06</v>
      </c>
      <c r="K15" s="5" t="n">
        <v>29511.1</v>
      </c>
      <c r="L15" s="5" t="n">
        <v>381406.42</v>
      </c>
      <c r="M15" s="5" t="n">
        <v>816343.58</v>
      </c>
      <c r="N15" s="15" t="n">
        <v>4791000</v>
      </c>
      <c r="O15" s="9" t="n">
        <v>166.5</v>
      </c>
      <c r="P15" s="10" t="n">
        <v>0.8044393554213264</v>
      </c>
    </row>
    <row r="16">
      <c r="A16" s="4" t="n">
        <v>12</v>
      </c>
      <c r="B16" s="4" t="n">
        <v>2038</v>
      </c>
      <c r="C16" s="5" t="n">
        <v>1407025.38</v>
      </c>
      <c r="D16" s="5" t="n">
        <v>983703.42</v>
      </c>
      <c r="E16" s="5" t="n">
        <v>170210.57</v>
      </c>
      <c r="F16" s="5" t="n">
        <v>625344.61</v>
      </c>
      <c r="G16" s="5" t="n">
        <v>79633.13</v>
      </c>
      <c r="H16" s="5" t="n">
        <v>29869.24</v>
      </c>
      <c r="I16" s="5" t="n">
        <v>44667.47</v>
      </c>
      <c r="J16" s="5" t="n">
        <v>223285.06</v>
      </c>
      <c r="K16" s="5" t="n">
        <v>29511.1</v>
      </c>
      <c r="L16" s="5" t="n">
        <v>381406.42</v>
      </c>
      <c r="M16" s="5" t="n">
        <v>816343.58</v>
      </c>
      <c r="N16" s="15" t="n">
        <v>4791000</v>
      </c>
      <c r="O16" s="9" t="n">
        <v>166.5</v>
      </c>
      <c r="P16" s="10" t="n">
        <v>0.8044393554213264</v>
      </c>
    </row>
    <row r="17">
      <c r="A17" s="7" t="inlineStr">
        <is>
          <t>Mix (% da receita) — ano 1 / ano 2 / regime</t>
        </is>
      </c>
      <c r="B17" s="13" t="n"/>
      <c r="C17" s="6" t="inlineStr">
        <is>
          <t>34.1% / 31.0% / 29.4%</t>
        </is>
      </c>
      <c r="D17" s="6" t="inlineStr">
        <is>
          <t>20.8% / 20.6% / 20.5%</t>
        </is>
      </c>
      <c r="E17" s="6" t="inlineStr">
        <is>
          <t>3.3% / 3.5% / 3.6%</t>
        </is>
      </c>
      <c r="F17" s="6" t="inlineStr">
        <is>
          <t>15.2% / 13.8% / 13.1%</t>
        </is>
      </c>
      <c r="G17" s="6" t="inlineStr">
        <is>
          <t>1.7% / 1.7% / 1.7%</t>
        </is>
      </c>
      <c r="H17" s="6" t="inlineStr">
        <is>
          <t>0.6% / 0.6% / 0.6%</t>
        </is>
      </c>
      <c r="I17" s="6" t="inlineStr">
        <is>
          <t>0.8% / 0.9% / 0.9%</t>
        </is>
      </c>
      <c r="J17" s="6" t="inlineStr">
        <is>
          <t>3.9% / 4.4% / 4.7%</t>
        </is>
      </c>
      <c r="K17" s="6" t="inlineStr">
        <is>
          <t>0.4% / 0.6% / 0.6%</t>
        </is>
      </c>
      <c r="L17" s="6" t="inlineStr">
        <is>
          <t>7.2% / 7.7% / 8.0%</t>
        </is>
      </c>
      <c r="M17" s="6" t="inlineStr">
        <is>
          <t>12.2% / 15.3% / 17.0%</t>
        </is>
      </c>
    </row>
    <row r="19">
      <c r="A19" s="11" t="inlineStr">
        <is>
          <t>Cenário informativo (NÃO faz parte do plano-base): receita nominal com reajuste de 4% a.a.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3" t="n"/>
    </row>
    <row r="20">
      <c r="A20" s="3" t="inlineStr">
        <is>
          <t>Ano</t>
        </is>
      </c>
      <c r="B20" s="3" t="inlineStr">
        <is>
          <t>Receita nominal (R$)</t>
        </is>
      </c>
      <c r="C20" s="3" t="inlineStr">
        <is>
          <t>Teto EPP (R$ 4,8 mi)</t>
        </is>
      </c>
      <c r="D20" s="3" t="inlineStr">
        <is>
          <t>Situação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—</t>
        </is>
      </c>
      <c r="J20" s="3" t="inlineStr">
        <is>
          <t>—</t>
        </is>
      </c>
    </row>
    <row r="21">
      <c r="A21" s="4" t="n">
        <v>3</v>
      </c>
      <c r="B21" s="5" t="n">
        <v>4791000</v>
      </c>
      <c r="C21" s="5" t="n">
        <v>4800000</v>
      </c>
      <c r="D21" s="4" t="inlineStr">
        <is>
          <t>dentro do teto</t>
        </is>
      </c>
    </row>
    <row r="22">
      <c r="A22" s="4" t="n">
        <v>4</v>
      </c>
      <c r="B22" s="5" t="n">
        <v>4982640</v>
      </c>
      <c r="C22" s="5" t="n">
        <v>4800000</v>
      </c>
      <c r="D22" s="16" t="inlineStr">
        <is>
          <t>ACIMA — decidir porte</t>
        </is>
      </c>
    </row>
    <row r="23">
      <c r="A23" s="4" t="n">
        <v>5</v>
      </c>
      <c r="B23" s="5" t="n">
        <v>5181945.6</v>
      </c>
      <c r="C23" s="5" t="n">
        <v>4800000</v>
      </c>
      <c r="D23" s="16" t="inlineStr">
        <is>
          <t>ACIMA — decidir porte</t>
        </is>
      </c>
    </row>
    <row r="24">
      <c r="A24" s="4" t="n">
        <v>6</v>
      </c>
      <c r="B24" s="5" t="n">
        <v>5389223.42</v>
      </c>
      <c r="C24" s="5" t="n">
        <v>4800000</v>
      </c>
      <c r="D24" s="16" t="inlineStr">
        <is>
          <t>ACIMA — decidir porte</t>
        </is>
      </c>
    </row>
    <row r="25">
      <c r="A25" s="4" t="n">
        <v>7</v>
      </c>
      <c r="B25" s="5" t="n">
        <v>5604792.36</v>
      </c>
      <c r="C25" s="5" t="n">
        <v>4800000</v>
      </c>
      <c r="D25" s="16" t="inlineStr">
        <is>
          <t>ACIMA — decidir porte</t>
        </is>
      </c>
    </row>
    <row r="26">
      <c r="A26" s="4" t="n">
        <v>8</v>
      </c>
      <c r="B26" s="5" t="n">
        <v>5828984.06</v>
      </c>
      <c r="C26" s="5" t="n">
        <v>4800000</v>
      </c>
      <c r="D26" s="16" t="inlineStr">
        <is>
          <t>ACIMA — decidir porte</t>
        </is>
      </c>
    </row>
    <row r="28">
      <c r="A28" s="2" t="inlineStr">
        <is>
          <t>Leitura: em valores constantes o plano permanece no teto. Em valores nominais, qualquer reajuste de preços leva a receita acima de R$ 4,8 milhões já no ano seguinte à estabilização — quando caberá decidir entre reduzir volume ou assumir o porte maior (decisão consciente, prevista no §5.4 do estudo).</t>
        </is>
      </c>
    </row>
  </sheetData>
  <mergeCells count="2">
    <mergeCell ref="A19:P19"/>
    <mergeCell ref="A17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4" customWidth="1" min="3" max="3"/>
    <col width="64" customWidth="1" min="4" max="4"/>
  </cols>
  <sheetData>
    <row r="1">
      <c r="A1" s="1" t="inlineStr">
        <is>
          <t>ÍNDICES DE SAZONALIDADE E CURVA DE RAMP-UP (base das colunas mensais)</t>
        </is>
      </c>
    </row>
    <row r="3">
      <c r="A3" s="3" t="inlineStr">
        <is>
          <t>Mês</t>
        </is>
      </c>
      <c r="B3" s="3" t="inlineStr">
        <is>
          <t>Índice sazonal</t>
        </is>
      </c>
      <c r="C3" s="3" t="inlineStr">
        <is>
          <t>Ramp-up ano 1</t>
        </is>
      </c>
      <c r="D3" s="3" t="inlineStr">
        <is>
          <t>Justificativa</t>
        </is>
      </c>
    </row>
    <row r="4">
      <c r="A4" s="4" t="inlineStr">
        <is>
          <t>jan</t>
        </is>
      </c>
      <c r="B4" s="17" t="n">
        <v>0.75</v>
      </c>
      <c r="C4" s="18" t="n">
        <v>0.3</v>
      </c>
      <c r="D4" s="6" t="inlineStr">
        <is>
          <t>Pior mês do setor: chuvas, férias e retomada lenta (ABCP/CBIC)</t>
        </is>
      </c>
    </row>
    <row r="5">
      <c r="A5" s="4" t="inlineStr">
        <is>
          <t>fev</t>
        </is>
      </c>
      <c r="B5" s="17" t="n">
        <v>0.85</v>
      </c>
      <c r="C5" s="18" t="n">
        <v>0.45</v>
      </c>
      <c r="D5" s="6" t="inlineStr">
        <is>
          <t>2º pior: Carnaval e chuvas</t>
        </is>
      </c>
    </row>
    <row r="6">
      <c r="A6" s="4" t="inlineStr">
        <is>
          <t>mar</t>
        </is>
      </c>
      <c r="B6" s="17" t="n">
        <v>1</v>
      </c>
      <c r="C6" s="18" t="n">
        <v>0.6</v>
      </c>
      <c r="D6" s="6" t="inlineStr">
        <is>
          <t>Normalização das obras</t>
        </is>
      </c>
    </row>
    <row r="7">
      <c r="A7" s="4" t="inlineStr">
        <is>
          <t>abr</t>
        </is>
      </c>
      <c r="B7" s="17" t="n">
        <v>1.05</v>
      </c>
      <c r="C7" s="18" t="n">
        <v>0.7</v>
      </c>
      <c r="D7" s="6" t="inlineStr">
        <is>
          <t>Início do período seco</t>
        </is>
      </c>
    </row>
    <row r="8">
      <c r="A8" s="4" t="inlineStr">
        <is>
          <t>mai</t>
        </is>
      </c>
      <c r="B8" s="17" t="n">
        <v>1.1</v>
      </c>
      <c r="C8" s="18" t="n">
        <v>0.8</v>
      </c>
      <c r="D8" s="6" t="inlineStr">
        <is>
          <t>Alta — obras a pleno</t>
        </is>
      </c>
    </row>
    <row r="9">
      <c r="A9" s="4" t="inlineStr">
        <is>
          <t>jun</t>
        </is>
      </c>
      <c r="B9" s="17" t="n">
        <v>1.1</v>
      </c>
      <c r="C9" s="18" t="n">
        <v>0.85</v>
      </c>
      <c r="D9" s="6" t="inlineStr">
        <is>
          <t>Alta</t>
        </is>
      </c>
    </row>
    <row r="10">
      <c r="A10" s="4" t="inlineStr">
        <is>
          <t>jul</t>
        </is>
      </c>
      <c r="B10" s="17" t="n">
        <v>1.1</v>
      </c>
      <c r="C10" s="18" t="n">
        <v>0.9</v>
      </c>
      <c r="D10" s="6" t="inlineStr">
        <is>
          <t>Alta; execução de convênios do 1º semestre</t>
        </is>
      </c>
    </row>
    <row r="11">
      <c r="A11" s="4" t="inlineStr">
        <is>
          <t>ago</t>
        </is>
      </c>
      <c r="B11" s="17" t="n">
        <v>1.15</v>
      </c>
      <c r="C11" s="18" t="n">
        <v>0.95</v>
      </c>
      <c r="D11" s="6" t="inlineStr">
        <is>
          <t>Pico — clima seco e obras públicas em execução</t>
        </is>
      </c>
    </row>
    <row r="12">
      <c r="A12" s="4" t="inlineStr">
        <is>
          <t>set</t>
        </is>
      </c>
      <c r="B12" s="17" t="n">
        <v>1.15</v>
      </c>
      <c r="C12" s="18" t="n">
        <v>1</v>
      </c>
      <c r="D12" s="6" t="inlineStr">
        <is>
          <t>Pico</t>
        </is>
      </c>
    </row>
    <row r="13">
      <c r="A13" s="4" t="inlineStr">
        <is>
          <t>out</t>
        </is>
      </c>
      <c r="B13" s="17" t="n">
        <v>1.15</v>
      </c>
      <c r="C13" s="18" t="n">
        <v>1</v>
      </c>
      <c r="D13" s="6" t="inlineStr">
        <is>
          <t>Pico; corrida para concluir obras antes das chuvas</t>
        </is>
      </c>
    </row>
    <row r="14">
      <c r="A14" s="4" t="inlineStr">
        <is>
          <t>nov</t>
        </is>
      </c>
      <c r="B14" s="17" t="n">
        <v>1</v>
      </c>
      <c r="C14" s="18" t="n">
        <v>1</v>
      </c>
      <c r="D14" s="6" t="inlineStr">
        <is>
          <t>Desaceleração com o início das chuvas</t>
        </is>
      </c>
    </row>
    <row r="15">
      <c r="A15" s="4" t="inlineStr">
        <is>
          <t>dez</t>
        </is>
      </c>
      <c r="B15" s="17" t="n">
        <v>0.6</v>
      </c>
      <c r="C15" s="18" t="n">
        <v>1</v>
      </c>
      <c r="D15" s="6" t="inlineStr">
        <is>
          <t>Mínimo: férias coletivas, chuvas e parada anual de revisão (§3.7)</t>
        </is>
      </c>
    </row>
    <row r="16">
      <c r="A16" s="7" t="inlineStr">
        <is>
          <t>SOMA (deve ser 12,00)</t>
        </is>
      </c>
      <c r="B16" s="19">
        <f>SUM(B4:B15)</f>
        <v/>
      </c>
    </row>
    <row r="18">
      <c r="A18" s="11" t="inlineStr">
        <is>
          <t>Entrada comercial escalonada por produto (fator de disponibilidade)</t>
        </is>
      </c>
      <c r="B18" s="12" t="n"/>
      <c r="C18" s="12" t="n"/>
      <c r="D18" s="13" t="n"/>
    </row>
    <row r="19">
      <c r="A19" s="3" t="inlineStr">
        <is>
          <t>Produto</t>
        </is>
      </c>
      <c r="B19" s="3" t="inlineStr">
        <is>
          <t>Entra em</t>
        </is>
      </c>
      <c r="C19" s="3" t="inlineStr">
        <is>
          <t>Motivo</t>
        </is>
      </c>
      <c r="D19" s="3" t="inlineStr">
        <is>
          <t>—</t>
        </is>
      </c>
    </row>
    <row r="20">
      <c r="A20" s="4" t="inlineStr">
        <is>
          <t>Bloco 14 vedação e bloco 9</t>
        </is>
      </c>
      <c r="B20" s="4" t="inlineStr">
        <is>
          <t>mês 1</t>
        </is>
      </c>
      <c r="C20" s="6" t="inlineStr">
        <is>
          <t>venda imediata no varejo/revendas — não depende de laudo nem de licitação</t>
        </is>
      </c>
    </row>
    <row r="21">
      <c r="A21" s="4" t="inlineStr">
        <is>
          <t>Bloco 14 estrutural</t>
        </is>
      </c>
      <c r="B21" s="4" t="inlineStr">
        <is>
          <t>mês 3 (parcial até o 6º)</t>
        </is>
      </c>
      <c r="C21" s="6" t="inlineStr">
        <is>
          <t>exige ensaios NBR 6136 e emissão de laudo do primeiro traço</t>
        </is>
      </c>
    </row>
    <row r="22">
      <c r="A22" s="4" t="inlineStr">
        <is>
          <t>Paver — obras privadas</t>
        </is>
      </c>
      <c r="B22" s="4" t="inlineStr">
        <is>
          <t>mês 4</t>
        </is>
      </c>
      <c r="C22" s="6" t="inlineStr">
        <is>
          <t>ciclo comercial com construtoras/loteadores</t>
        </is>
      </c>
    </row>
    <row r="23">
      <c r="A23" s="4" t="inlineStr">
        <is>
          <t>Paver — B2G</t>
        </is>
      </c>
      <c r="B23" s="4" t="inlineStr">
        <is>
          <t>mês 6</t>
        </is>
      </c>
      <c r="C23" s="6" t="inlineStr">
        <is>
          <t>cadastro nas prefeituras, participação em atas e prazo de empenho</t>
        </is>
      </c>
    </row>
    <row r="24">
      <c r="A24" s="4" t="inlineStr">
        <is>
          <t>Bloco 19 e canaletas</t>
        </is>
      </c>
      <c r="B24" s="4" t="inlineStr">
        <is>
          <t>mês 8</t>
        </is>
      </c>
      <c r="C24" s="6" t="inlineStr">
        <is>
          <t>complementos: acompanham as obras de alvenaria estrutural já iniciadas</t>
        </is>
      </c>
    </row>
  </sheetData>
  <mergeCells count="1">
    <mergeCell ref="A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8" customWidth="1" min="3" max="3"/>
  </cols>
  <sheetData>
    <row r="1">
      <c r="A1" s="1" t="inlineStr">
        <is>
          <t>CONFERÊNCIA — COERÊNCIA COM O ESTUDO, A MEMÓRIA BNB E A SIMULAÇÃO</t>
        </is>
      </c>
    </row>
    <row r="3">
      <c r="A3" s="3" t="inlineStr">
        <is>
          <t>Verificação</t>
        </is>
      </c>
      <c r="B3" s="3" t="inlineStr">
        <is>
          <t>Resultado</t>
        </is>
      </c>
      <c r="C3" s="3" t="inlineStr">
        <is>
          <t>Status</t>
        </is>
      </c>
    </row>
    <row r="4">
      <c r="A4" s="4" t="inlineStr">
        <is>
          <t>Soma dos 12 meses do ano 1</t>
        </is>
      </c>
      <c r="B4" s="4" t="inlineStr">
        <is>
          <t>R$ 2.750.000</t>
        </is>
      </c>
      <c r="C4" s="6" t="inlineStr">
        <is>
          <t>✓ = R$ 2.750.000 do plano</t>
        </is>
      </c>
    </row>
    <row r="5">
      <c r="A5" s="4" t="inlineStr">
        <is>
          <t>Receita do regime (mix × preços)</t>
        </is>
      </c>
      <c r="B5" s="4" t="inlineStr">
        <is>
          <t>R$ 4.791.000</t>
        </is>
      </c>
      <c r="C5" s="6" t="inlineStr">
        <is>
          <t>✓ = R$ 4.791.000 (estudo §5.4)</t>
        </is>
      </c>
    </row>
    <row r="6">
      <c r="A6" s="4" t="inlineStr">
        <is>
          <t>Teto EPP (LC 123)</t>
        </is>
      </c>
      <c r="B6" s="4" t="inlineStr">
        <is>
          <t>R$ 4.800.000</t>
        </is>
      </c>
      <c r="C6" s="6" t="inlineStr">
        <is>
          <t>✓ folga de R$ 9.000</t>
        </is>
      </c>
    </row>
    <row r="7">
      <c r="A7" s="4" t="inlineStr">
        <is>
          <t>Dias de produção — ano 1</t>
        </is>
      </c>
      <c r="B7" s="4" t="inlineStr">
        <is>
          <t>97.7 de 207</t>
        </is>
      </c>
      <c r="C7" s="6" t="inlineStr">
        <is>
          <t>✓ 47% da capacidade efetiva</t>
        </is>
      </c>
    </row>
    <row r="8">
      <c r="A8" s="4" t="inlineStr">
        <is>
          <t>Dias de produção — ano 2</t>
        </is>
      </c>
      <c r="B8" s="4" t="inlineStr">
        <is>
          <t>134.8 de 207</t>
        </is>
      </c>
      <c r="C8" s="6" t="inlineStr">
        <is>
          <t>✓ 65%</t>
        </is>
      </c>
    </row>
    <row r="9">
      <c r="A9" s="4" t="inlineStr">
        <is>
          <t>Dias de produção — regime</t>
        </is>
      </c>
      <c r="B9" s="4" t="inlineStr">
        <is>
          <t>166.5 de 207</t>
        </is>
      </c>
      <c r="C9" s="6" t="inlineStr">
        <is>
          <t>✓ 80% (§3.7)</t>
        </is>
      </c>
    </row>
    <row r="10">
      <c r="A10" s="4" t="inlineStr">
        <is>
          <t>Mês de maior utilização</t>
        </is>
      </c>
      <c r="B10" s="4" t="inlineStr">
        <is>
          <t>76.0% da capacidade mensal</t>
        </is>
      </c>
      <c r="C10" s="6" t="inlineStr">
        <is>
          <t>✓ abaixo de 100%</t>
        </is>
      </c>
    </row>
    <row r="11">
      <c r="A11" s="4" t="inlineStr">
        <is>
          <t>Capacidade mensal efetiva</t>
        </is>
      </c>
      <c r="B11" s="4" t="inlineStr">
        <is>
          <t>R$ 496.308</t>
        </is>
      </c>
      <c r="C11" s="6" t="inlineStr">
        <is>
          <t>207 dias ÷ 12 × R$/dia do mix</t>
        </is>
      </c>
    </row>
    <row r="12">
      <c r="A12" s="4" t="inlineStr">
        <is>
          <t>Receita usada na simulação BNB</t>
        </is>
      </c>
      <c r="B12" s="4" t="inlineStr">
        <is>
          <t>2,75 / 3,85 / 4,791 mi</t>
        </is>
      </c>
      <c r="C12" s="6" t="inlineStr">
        <is>
          <t>✓ mesma série — comprometimento 49,1%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2026-08-18T13:43:26Z</dcterms:created>
  <dcterms:modified xmlns:dcterms="http://purl.org/dc/terms/" xmlns:xsi="http://www.w3.org/2001/XMLSchema-instance" xsi:type="dcterms:W3CDTF">2026-08-18T13:43:26Z</dcterms:modified>
</cp:coreProperties>
</file>