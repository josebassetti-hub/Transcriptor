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empenho" sheetId="1" state="visible" r:id="rId1"/>
    <sheet xmlns:r="http://schemas.openxmlformats.org/officeDocument/2006/relationships" name="Receitas" sheetId="2" state="visible" r:id="rId2"/>
    <sheet xmlns:r="http://schemas.openxmlformats.org/officeDocument/2006/relationships" name="G31 Matéria Prima" sheetId="3" state="visible" r:id="rId3"/>
    <sheet xmlns:r="http://schemas.openxmlformats.org/officeDocument/2006/relationships" name="Indicadores" sheetId="4" state="visible" r:id="rId4"/>
    <sheet xmlns:r="http://schemas.openxmlformats.org/officeDocument/2006/relationships" name="Usos e Fontes" sheetId="5" state="visible" r:id="rId5"/>
    <sheet xmlns:r="http://schemas.openxmlformats.org/officeDocument/2006/relationships" name="Cronograma" sheetId="6" state="visible" r:id="rId6"/>
    <sheet xmlns:r="http://schemas.openxmlformats.org/officeDocument/2006/relationships" name="Mapa de Origem" sheetId="7" state="visible" r:id="rId7"/>
    <sheet xmlns:r="http://schemas.openxmlformats.org/officeDocument/2006/relationships" name="Conferênc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"/>
    <numFmt numFmtId="165" formatCode="0.0%"/>
    <numFmt numFmtId="166" formatCode="R$ #,##0.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5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2" borderId="1" pivotButton="0" quotePrefix="0" xfId="0"/>
    <xf numFmtId="165" fontId="3" fillId="0" borderId="1" pivotButton="0" quotePrefix="0" xfId="0"/>
    <xf numFmtId="0" fontId="5" fillId="3" borderId="1" applyAlignment="1" pivotButton="0" quotePrefix="0" xfId="0">
      <alignment horizontal="center" wrapText="1"/>
    </xf>
    <xf numFmtId="3" fontId="4" fillId="0" borderId="1" pivotButton="0" quotePrefix="0" xfId="0"/>
    <xf numFmtId="166" fontId="4" fillId="0" borderId="1" pivotButton="0" quotePrefix="0" xfId="0"/>
    <xf numFmtId="164" fontId="3" fillId="0" borderId="1" pivotButton="0" quotePrefix="0" xfId="0"/>
    <xf numFmtId="0" fontId="6" fillId="0" borderId="1" pivotButton="0" quotePrefix="0" xfId="0"/>
    <xf numFmtId="164" fontId="3" fillId="2" borderId="1" pivotButton="0" quotePrefix="0" xfId="0"/>
    <xf numFmtId="165" fontId="4" fillId="0" borderId="1" pivotButton="0" quotePrefix="0" xfId="0"/>
    <xf numFmtId="165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MEMÓRIA DE CÁLCULO — ESPELHO BNB · GTK PRÉ-MOLDADOS LTDA (implantação)</t>
        </is>
      </c>
    </row>
    <row r="2">
      <c r="A2" s="2" t="inlineStr">
        <is>
          <t>Espelho fiel para transcrição à planilha oficial do banco. AZUL = decisão/parametrizável; AMARELO = pendência declarada.</t>
        </is>
      </c>
    </row>
    <row r="4">
      <c r="A4" s="3" t="inlineStr">
        <is>
          <t>Razão social / CNPJ</t>
        </is>
      </c>
      <c r="B4" s="3" t="inlineStr">
        <is>
          <t>GTK PRÉ-MOLDADOS LTDA — 66.492.016/0001-77</t>
        </is>
      </c>
      <c r="C4" s="4" t="inlineStr">
        <is>
          <t>Cartão CNPJ</t>
        </is>
      </c>
      <c r="D4" s="5" t="n"/>
      <c r="E4" s="6" t="n"/>
    </row>
    <row r="5">
      <c r="A5" s="3" t="inlineStr">
        <is>
          <t>Setor / atividade</t>
        </is>
      </c>
      <c r="B5" s="3" t="inlineStr">
        <is>
          <t>Indústria — artefatos de concreto (CNAE 23.30-3/02)</t>
        </is>
      </c>
      <c r="C5" s="4" t="inlineStr">
        <is>
          <t>Cartão CNPJ</t>
        </is>
      </c>
      <c r="D5" s="5" t="n"/>
      <c r="E5" s="6" t="n"/>
    </row>
    <row r="6">
      <c r="A6" s="3" t="inlineStr">
        <is>
          <t>Município / área</t>
        </is>
      </c>
      <c r="B6" s="3" t="inlineStr">
        <is>
          <t>São Mateus-ES — área Sudene (LC 185/2021)</t>
        </is>
      </c>
      <c r="C6" s="4" t="inlineStr">
        <is>
          <t>estudo §13.1</t>
        </is>
      </c>
      <c r="D6" s="5" t="n"/>
      <c r="E6" s="6" t="n"/>
    </row>
    <row r="7">
      <c r="A7" s="3" t="inlineStr">
        <is>
          <t>Cenário</t>
        </is>
      </c>
      <c r="B7" s="3" t="inlineStr">
        <is>
          <t>Implantação (empresa constituída em 28/04/2026; sem histórico)</t>
        </is>
      </c>
      <c r="C7" s="4" t="inlineStr">
        <is>
          <t>contrato social</t>
        </is>
      </c>
      <c r="D7" s="5" t="n"/>
      <c r="E7" s="6" t="n"/>
    </row>
    <row r="8">
      <c r="A8" s="3" t="inlineStr">
        <is>
          <t>Regime tributário declarado</t>
        </is>
      </c>
      <c r="B8" s="7" t="inlineStr">
        <is>
          <t>Simples Nacional — Anexo II (indústria)</t>
        </is>
      </c>
      <c r="C8" s="4" t="inlineStr">
        <is>
          <t>decisão do consultor 16/08/2026</t>
        </is>
      </c>
      <c r="D8" s="5" t="n"/>
      <c r="E8" s="6" t="n"/>
    </row>
    <row r="9">
      <c r="A9" s="3" t="inlineStr">
        <is>
          <t>Financiamento pleiteado (R$)</t>
        </is>
      </c>
      <c r="B9" s="8" t="n">
        <v>4400000</v>
      </c>
      <c r="C9" s="4" t="inlineStr">
        <is>
          <t>simulação oficial — anexo simulacao-fne-bnb.md</t>
        </is>
      </c>
      <c r="D9" s="5" t="n"/>
      <c r="E9" s="6" t="n"/>
    </row>
    <row r="10">
      <c r="A10" s="3" t="inlineStr">
        <is>
          <t>Prazo total (meses)</t>
        </is>
      </c>
      <c r="B10" s="3" t="n">
        <v>144</v>
      </c>
      <c r="C10" s="4" t="inlineStr">
        <is>
          <t>idem</t>
        </is>
      </c>
      <c r="D10" s="5" t="n"/>
      <c r="E10" s="6" t="n"/>
    </row>
    <row r="11">
      <c r="A11" s="3" t="inlineStr">
        <is>
          <t>Carência (meses) — PARAMETRIZADA</t>
        </is>
      </c>
      <c r="B11" s="9" t="n">
        <v>24</v>
      </c>
      <c r="C11" s="4" t="inlineStr">
        <is>
          <t>idem; alternativa 12m melhora comprometimento</t>
        </is>
      </c>
      <c r="D11" s="5" t="n"/>
      <c r="E11" s="6" t="n"/>
    </row>
    <row r="12">
      <c r="A12" s="3" t="inlineStr">
        <is>
          <t>Taxa nominal (a.a.)</t>
        </is>
      </c>
      <c r="B12" s="10" t="n">
        <v>0.088945</v>
      </c>
      <c r="C12" s="4" t="inlineStr">
        <is>
          <t>informada pelo consultor</t>
        </is>
      </c>
      <c r="D12" s="5" t="n"/>
      <c r="E12" s="6" t="n"/>
    </row>
    <row r="13">
      <c r="A13" s="3" t="inlineStr">
        <is>
          <t>Ano de estabilização</t>
        </is>
      </c>
      <c r="B13" s="3" t="n">
        <v>3</v>
      </c>
      <c r="C13" s="4" t="inlineStr">
        <is>
          <t>estudo §5.4/§13.4 (teto EPP)</t>
        </is>
      </c>
      <c r="D13" s="5" t="n"/>
      <c r="E13" s="6" t="n"/>
    </row>
    <row r="14">
      <c r="A14" s="3" t="inlineStr">
        <is>
          <t>Comprometimento simulado (algoritmo oficial)</t>
        </is>
      </c>
      <c r="B14" s="3" t="inlineStr">
        <is>
          <t>49,1% equalizado — janela 30–50% (custo padrão 76,72%)</t>
        </is>
      </c>
      <c r="C14" s="4" t="inlineStr">
        <is>
          <t>anexo simulação</t>
        </is>
      </c>
      <c r="D14" s="5" t="n"/>
      <c r="E14" s="6" t="n"/>
    </row>
    <row r="15">
      <c r="A15" s="3" t="inlineStr">
        <is>
          <t>Plano B (custo padrão no teto 84,39%)</t>
        </is>
      </c>
      <c r="B15" s="3" t="inlineStr">
        <is>
          <t>redimensionar p/ ~R$ 3,0 mi</t>
        </is>
      </c>
      <c r="C15" s="4" t="inlineStr">
        <is>
          <t>anexo simulação</t>
        </is>
      </c>
      <c r="D15" s="5" t="n"/>
      <c r="E15" s="6" t="n"/>
    </row>
  </sheetData>
  <mergeCells count="12">
    <mergeCell ref="C11:E11"/>
    <mergeCell ref="C14:E14"/>
    <mergeCell ref="C5:E5"/>
    <mergeCell ref="C13:E13"/>
    <mergeCell ref="C15:E15"/>
    <mergeCell ref="C8:E8"/>
    <mergeCell ref="C9:E9"/>
    <mergeCell ref="C4:E4"/>
    <mergeCell ref="C7:E7"/>
    <mergeCell ref="C12:E12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2" customWidth="1" min="4" max="4"/>
    <col width="44" customWidth="1" min="5" max="5"/>
  </cols>
  <sheetData>
    <row r="1">
      <c r="A1" s="1" t="inlineStr">
        <is>
          <t>RECEITA OPERACIONAL BRUTA PROJETADA (estudo v3 — teto EPP)</t>
        </is>
      </c>
    </row>
    <row r="3">
      <c r="A3" s="11" t="inlineStr">
        <is>
          <t>Ano</t>
        </is>
      </c>
      <c r="B3" s="11" t="inlineStr">
        <is>
          <t>Fase</t>
        </is>
      </c>
      <c r="C3" s="11" t="inlineStr">
        <is>
          <t>Receita bruta (R$)</t>
        </is>
      </c>
      <c r="D3" s="11" t="inlineStr">
        <is>
          <t>% da capacidade efetiva (R$ 5,76 mi)</t>
        </is>
      </c>
      <c r="E3" s="11" t="inlineStr">
        <is>
          <t>Origem</t>
        </is>
      </c>
    </row>
    <row r="4">
      <c r="A4" s="3" t="n">
        <v>1</v>
      </c>
      <c r="B4" s="3" t="inlineStr">
        <is>
          <t>Carência</t>
        </is>
      </c>
      <c r="C4" s="8" t="n">
        <v>2750000</v>
      </c>
      <c r="D4" s="10" t="n">
        <v>0.4777106299995675</v>
      </c>
      <c r="E4" s="4" t="inlineStr">
        <is>
          <t>ramp-up §13.4</t>
        </is>
      </c>
    </row>
    <row r="5">
      <c r="A5" s="3" t="n">
        <v>2</v>
      </c>
      <c r="B5" s="3" t="inlineStr">
        <is>
          <t>Carência</t>
        </is>
      </c>
      <c r="C5" s="8" t="n">
        <v>3850000</v>
      </c>
      <c r="D5" s="10" t="n">
        <v>0.6687948819993944</v>
      </c>
      <c r="E5" s="4" t="inlineStr">
        <is>
          <t>ramp-up §13.4</t>
        </is>
      </c>
    </row>
    <row r="6">
      <c r="A6" s="3" t="n">
        <v>3</v>
      </c>
      <c r="B6" s="3" t="inlineStr">
        <is>
          <t>Estabilização</t>
        </is>
      </c>
      <c r="C6" s="8" t="n">
        <v>4791000</v>
      </c>
      <c r="D6" s="10" t="n">
        <v>0.8322587739374282</v>
      </c>
      <c r="E6" s="4" t="inlineStr">
        <is>
          <t>estudo §5.4 (mix por absorção; teto EPP LC 123)</t>
        </is>
      </c>
    </row>
    <row r="7">
      <c r="A7" s="3" t="n">
        <v>4</v>
      </c>
      <c r="B7" s="3" t="inlineStr">
        <is>
          <t>Estabilização</t>
        </is>
      </c>
      <c r="C7" s="8" t="n">
        <v>4791000</v>
      </c>
      <c r="D7" s="10" t="n">
        <v>0.8322587739374282</v>
      </c>
      <c r="E7" s="4" t="inlineStr">
        <is>
          <t>estudo §5.4 (mix por absorção; teto EPP LC 123)</t>
        </is>
      </c>
    </row>
    <row r="8">
      <c r="A8" s="3" t="n">
        <v>5</v>
      </c>
      <c r="B8" s="3" t="inlineStr">
        <is>
          <t>Estabilização</t>
        </is>
      </c>
      <c r="C8" s="8" t="n">
        <v>4791000</v>
      </c>
      <c r="D8" s="10" t="n">
        <v>0.8322587739374282</v>
      </c>
      <c r="E8" s="4" t="inlineStr">
        <is>
          <t>estudo §5.4 (mix por absorção; teto EPP LC 123)</t>
        </is>
      </c>
    </row>
    <row r="9">
      <c r="A9" s="3" t="n">
        <v>6</v>
      </c>
      <c r="B9" s="3" t="inlineStr">
        <is>
          <t>Estabilização</t>
        </is>
      </c>
      <c r="C9" s="8" t="n">
        <v>4791000</v>
      </c>
      <c r="D9" s="10" t="n">
        <v>0.8322587739374282</v>
      </c>
      <c r="E9" s="4" t="inlineStr">
        <is>
          <t>estudo §5.4 (mix por absorção; teto EPP LC 123)</t>
        </is>
      </c>
    </row>
    <row r="10">
      <c r="A10" s="3" t="n">
        <v>7</v>
      </c>
      <c r="B10" s="3" t="inlineStr">
        <is>
          <t>Estabilização</t>
        </is>
      </c>
      <c r="C10" s="8" t="n">
        <v>4791000</v>
      </c>
      <c r="D10" s="10" t="n">
        <v>0.8322587739374282</v>
      </c>
      <c r="E10" s="4" t="inlineStr">
        <is>
          <t>estudo §5.4 (mix por absorção; teto EPP LC 123)</t>
        </is>
      </c>
    </row>
    <row r="11">
      <c r="A11" s="3" t="n">
        <v>8</v>
      </c>
      <c r="B11" s="3" t="inlineStr">
        <is>
          <t>Estabilização</t>
        </is>
      </c>
      <c r="C11" s="8" t="n">
        <v>4791000</v>
      </c>
      <c r="D11" s="10" t="n">
        <v>0.8322587739374282</v>
      </c>
      <c r="E11" s="4" t="inlineStr">
        <is>
          <t>estudo §5.4 (mix por absorção; teto EPP LC 123)</t>
        </is>
      </c>
    </row>
    <row r="12">
      <c r="A12" s="3" t="n">
        <v>9</v>
      </c>
      <c r="B12" s="3" t="inlineStr">
        <is>
          <t>Estabilização</t>
        </is>
      </c>
      <c r="C12" s="8" t="n">
        <v>4791000</v>
      </c>
      <c r="D12" s="10" t="n">
        <v>0.8322587739374282</v>
      </c>
      <c r="E12" s="4" t="inlineStr">
        <is>
          <t>estudo §5.4 (mix por absorção; teto EPP LC 123)</t>
        </is>
      </c>
    </row>
    <row r="13">
      <c r="A13" s="3" t="n">
        <v>10</v>
      </c>
      <c r="B13" s="3" t="inlineStr">
        <is>
          <t>Estabilização</t>
        </is>
      </c>
      <c r="C13" s="8" t="n">
        <v>4791000</v>
      </c>
      <c r="D13" s="10" t="n">
        <v>0.8322587739374282</v>
      </c>
      <c r="E13" s="4" t="inlineStr">
        <is>
          <t>estudo §5.4 (mix por absorção; teto EPP LC 123)</t>
        </is>
      </c>
    </row>
    <row r="14">
      <c r="A14" s="3" t="n">
        <v>11</v>
      </c>
      <c r="B14" s="3" t="inlineStr">
        <is>
          <t>Estabilização</t>
        </is>
      </c>
      <c r="C14" s="8" t="n">
        <v>4791000</v>
      </c>
      <c r="D14" s="10" t="n">
        <v>0.8322587739374282</v>
      </c>
      <c r="E14" s="4" t="inlineStr">
        <is>
          <t>estudo §5.4 (mix por absorção; teto EPP LC 123)</t>
        </is>
      </c>
    </row>
    <row r="15">
      <c r="A15" s="3" t="n">
        <v>12</v>
      </c>
      <c r="B15" s="3" t="inlineStr">
        <is>
          <t>Estabilização</t>
        </is>
      </c>
      <c r="C15" s="8" t="n">
        <v>4791000</v>
      </c>
      <c r="D15" s="10" t="n">
        <v>0.8322587739374282</v>
      </c>
      <c r="E15" s="4" t="inlineStr">
        <is>
          <t>estudo §5.4 (mix por absorção; teto EPP LC 123)</t>
        </is>
      </c>
    </row>
    <row r="17">
      <c r="A17" s="2" t="inlineStr">
        <is>
          <t>Receita do regime derivada do mix (não afirmada): Σ volume × preço = R$ 4.790.992 ≈ 4.791.000. Detalhe na aba G31.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52" customWidth="1" min="5" max="5"/>
  </cols>
  <sheetData>
    <row r="1">
      <c r="A1" s="1" t="inlineStr">
        <is>
          <t>G31 — CUSTOS VARIÁVEIS INDUSTRIAIS EM R$ (composição aberta)</t>
        </is>
      </c>
    </row>
    <row r="3">
      <c r="A3" s="11" t="inlineStr">
        <is>
          <t>Produto</t>
        </is>
      </c>
      <c r="B3" s="11" t="inlineStr">
        <is>
          <t>Volume/ano (regime)</t>
        </is>
      </c>
      <c r="C3" s="11" t="inlineStr">
        <is>
          <t>CV industrial (R$/un)</t>
        </is>
      </c>
      <c r="D3" s="11" t="inlineStr">
        <is>
          <t>Total (R$)</t>
        </is>
      </c>
      <c r="E3" s="11" t="inlineStr">
        <is>
          <t>Composição do CV unitário</t>
        </is>
      </c>
    </row>
    <row r="4">
      <c r="A4" s="3" t="inlineStr">
        <is>
          <t>Bloco 14 vedação</t>
        </is>
      </c>
      <c r="B4" s="12" t="n">
        <v>522655</v>
      </c>
      <c r="C4" s="13" t="n">
        <v>1.85</v>
      </c>
      <c r="D4" s="14">
        <f>B4*C4</f>
        <v/>
      </c>
      <c r="E4" s="4" t="inlineStr">
        <is>
          <t>cimento 0,55 + agregados 0,89 + aditivo/energia/diesel 0,12 + MO direta 0,21 + manutenção/moldes 0,08 (estudo §13.2)</t>
        </is>
      </c>
    </row>
    <row r="5">
      <c r="A5" s="3" t="inlineStr">
        <is>
          <t>Bloco 14 estrutural</t>
        </is>
      </c>
      <c r="B5" s="12" t="n">
        <v>276813</v>
      </c>
      <c r="C5" s="13" t="n">
        <v>2.1</v>
      </c>
      <c r="D5" s="14">
        <f>B5*C5</f>
        <v/>
      </c>
      <c r="E5" s="4" t="inlineStr">
        <is>
          <t>proporcional ao volume de concreto/traço (estudo §13.2)</t>
        </is>
      </c>
    </row>
    <row r="6">
      <c r="A6" s="3" t="inlineStr">
        <is>
          <t>Bloco 9 vedação</t>
        </is>
      </c>
      <c r="B6" s="12" t="n">
        <v>153996</v>
      </c>
      <c r="C6" s="13" t="n">
        <v>1.45</v>
      </c>
      <c r="D6" s="14">
        <f>B6*C6</f>
        <v/>
      </c>
      <c r="E6" s="4" t="inlineStr">
        <is>
          <t>proporcional ao volume de concreto/traço (estudo §13.2)</t>
        </is>
      </c>
    </row>
    <row r="7">
      <c r="A7" s="3" t="inlineStr">
        <is>
          <t>Bloco 19 + canaletas</t>
        </is>
      </c>
      <c r="B7" s="12" t="n">
        <v>34844</v>
      </c>
      <c r="C7" s="13" t="n">
        <v>2.45</v>
      </c>
      <c r="D7" s="14">
        <f>B7*C7</f>
        <v/>
      </c>
      <c r="E7" s="4" t="inlineStr">
        <is>
          <t>proporcional ao volume de concreto/traço (estudo §13.2)</t>
        </is>
      </c>
    </row>
    <row r="8">
      <c r="A8" s="3" t="inlineStr">
        <is>
          <t>Paver e=6/8 (m²)</t>
        </is>
      </c>
      <c r="B8" s="12" t="n">
        <v>21013</v>
      </c>
      <c r="C8" s="13" t="n">
        <v>24</v>
      </c>
      <c r="D8" s="14">
        <f>B8*C8</f>
        <v/>
      </c>
      <c r="E8" s="4" t="inlineStr">
        <is>
          <t>proporcional ao volume de concreto/traço (estudo §13.2)</t>
        </is>
      </c>
    </row>
    <row r="9">
      <c r="A9" s="15" t="inlineStr">
        <is>
          <t>G31 — ANO DE ESTABILIZAÇÃO</t>
        </is>
      </c>
      <c r="D9" s="16">
        <f>SUM(D4:D8)</f>
        <v/>
      </c>
    </row>
    <row r="10">
      <c r="A10" s="3" t="inlineStr">
        <is>
          <t>G31 em % da receita (constante no mix)</t>
        </is>
      </c>
      <c r="D10" s="10">
        <f>D9/4791000</f>
        <v/>
      </c>
    </row>
    <row r="11">
      <c r="A11" s="3" t="inlineStr">
        <is>
          <t>G31 ano 1 (proporcional ao volume)</t>
        </is>
      </c>
      <c r="D11" s="14">
        <f>2750000*D10</f>
        <v/>
      </c>
    </row>
    <row r="12">
      <c r="A12" s="3" t="inlineStr">
        <is>
          <t>G31 ano 2 (proporcional ao volume)</t>
        </is>
      </c>
      <c r="D12" s="14">
        <f>3850000*D10</f>
        <v/>
      </c>
    </row>
    <row r="14">
      <c r="A14" s="2" t="inlineStr">
        <is>
          <t>MO direta DENTRO do G31 via rateio unitário (R$ 0,21/bloco 14): equipe de 6 diretos é custo de transformação da peça; evita o multiplicador de despesas da planilha distorcer custo variável — justificativa completa no DOCX.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58" customWidth="1" min="3" max="3"/>
    <col width="26" customWidth="1" min="4" max="4"/>
  </cols>
  <sheetData>
    <row r="1">
      <c r="A1" s="1" t="inlineStr">
        <is>
          <t>INDICADORES (% SOBRE A RECEITA) E TRIBUTOS</t>
        </is>
      </c>
    </row>
    <row r="3">
      <c r="A3" s="11" t="inlineStr">
        <is>
          <t>Item</t>
        </is>
      </c>
      <c r="B3" s="11" t="inlineStr">
        <is>
          <t>%</t>
        </is>
      </c>
      <c r="C3" s="11" t="inlineStr">
        <is>
          <t>Base/observação</t>
        </is>
      </c>
      <c r="D3" s="11" t="inlineStr">
        <is>
          <t>Origem</t>
        </is>
      </c>
    </row>
    <row r="4">
      <c r="A4" s="3" t="inlineStr">
        <is>
          <t>Frete/comercial embutido</t>
        </is>
      </c>
      <c r="B4" s="17" t="n">
        <v>0.045</v>
      </c>
      <c r="C4" s="4" t="inlineStr">
        <is>
          <t>parcela CIF do mix</t>
        </is>
      </c>
      <c r="D4" s="4" t="inlineStr">
        <is>
          <t>estudo §13.2</t>
        </is>
      </c>
    </row>
    <row r="5">
      <c r="A5" s="3" t="inlineStr">
        <is>
          <t>Despesas fixas desembolsáveis</t>
        </is>
      </c>
      <c r="B5" s="17" t="n">
        <v>0.1303</v>
      </c>
      <c r="C5" s="4" t="inlineStr">
        <is>
          <t>R$ 52 mil/mês ÷ receita de estabilização (adm, pró-labore, lab/RT, seguros, comercial, manutenção predial)</t>
        </is>
      </c>
      <c r="D5" s="4" t="inlineStr">
        <is>
          <t>estudo §13.3</t>
        </is>
      </c>
    </row>
    <row r="6">
      <c r="A6" s="3" t="inlineStr">
        <is>
          <t>Tributos — Simples Anexo II (DAS)</t>
        </is>
      </c>
      <c r="B6" s="17" t="n">
        <v>0.15</v>
      </c>
      <c r="C6" s="4" t="inlineStr">
        <is>
          <t>efetiva no topo da faixa (nominal 30% − dedução R$ 720 mil); ano 1 ≈ 11,6% — informar na aba IR/CSLL da planilha oficial como Simples</t>
        </is>
      </c>
      <c r="D6" s="4" t="inlineStr">
        <is>
          <t>estudo §13.2; ref [140]</t>
        </is>
      </c>
    </row>
    <row r="7">
      <c r="A7" s="3" t="inlineStr">
        <is>
          <t>Depreciação</t>
        </is>
      </c>
      <c r="B7" s="4" t="inlineStr">
        <is>
          <t>(calculada pela planilha)</t>
        </is>
      </c>
      <c r="C7" s="4" t="inlineStr">
        <is>
          <t>equip. R$ 2,723 mi (~10 anos) + obras R$ 2,85 mi (~25 anos) + bandejas/pátio</t>
        </is>
      </c>
      <c r="D7" s="4" t="inlineStr">
        <is>
          <t>aba Usos e Fontes</t>
        </is>
      </c>
    </row>
    <row r="8">
      <c r="A8" s="3" t="inlineStr">
        <is>
          <t>Encargos financeiros</t>
        </is>
      </c>
      <c r="B8" s="4" t="inlineStr">
        <is>
          <t>(calculados pela planilha)</t>
        </is>
      </c>
      <c r="C8" s="4" t="inlineStr">
        <is>
          <t>motor oficial — anexo simulação</t>
        </is>
      </c>
      <c r="D8" s="4" t="inlineStr">
        <is>
          <t>simulacao-fne-bnb.md</t>
        </is>
      </c>
    </row>
    <row r="9">
      <c r="A9" s="15" t="inlineStr">
        <is>
          <t>CUSTO TOTAL PROJETADO (G31% + indicadores + DAS)</t>
        </is>
      </c>
      <c r="B9" s="18">
        <f>0.492839+0.045+0.1303+0.15</f>
        <v/>
      </c>
      <c r="C9" s="4" t="inlineStr">
        <is>
          <t>≈81,8% — DENTRO da faixa de custo padrão do analista (76,72%–84,39%): argumento de defesa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52" customWidth="1" min="3" max="3"/>
  </cols>
  <sheetData>
    <row r="1">
      <c r="A1" s="1" t="inlineStr">
        <is>
          <t>USOS E FONTES (valores médios do estudo §13.1)</t>
        </is>
      </c>
    </row>
    <row r="3">
      <c r="A3" s="11" t="inlineStr">
        <is>
          <t>USOS</t>
        </is>
      </c>
      <c r="B3" s="11" t="inlineStr">
        <is>
          <t>R$</t>
        </is>
      </c>
      <c r="C3" s="11" t="inlineStr">
        <is>
          <t>Observação</t>
        </is>
      </c>
    </row>
    <row r="4">
      <c r="A4" s="3" t="inlineStr">
        <is>
          <t>Linha Gervasi XP350 (proposta REV00)</t>
        </is>
      </c>
      <c r="B4" s="8" t="n">
        <v>2723000</v>
      </c>
      <c r="C4" s="4" t="inlineStr">
        <is>
          <t>R$ 600 mil JÁ PAGOS = contrapartida realizada</t>
        </is>
      </c>
    </row>
    <row r="5">
      <c r="A5" s="3" t="inlineStr">
        <is>
          <t>Galpão ≈1.500 m² + piso/fundações</t>
        </is>
      </c>
      <c r="B5" s="8" t="n">
        <v>2250000</v>
      </c>
      <c r="C5" s="4" t="inlineStr">
        <is>
          <t>R$ 1.250–1.900/m²</t>
        </is>
      </c>
    </row>
    <row r="6">
      <c r="A6" s="3" t="inlineStr">
        <is>
          <t>Terraplanagem, pátio, acessos, água</t>
        </is>
      </c>
      <c r="B6" s="8" t="n">
        <v>450000</v>
      </c>
      <c r="C6" s="4" t="inlineStr"/>
    </row>
    <row r="7">
      <c r="A7" s="3" t="inlineStr">
        <is>
          <t>Energia MT + instalações</t>
        </is>
      </c>
      <c r="B7" s="8" t="n">
        <v>150000</v>
      </c>
      <c r="C7" s="4" t="inlineStr">
        <is>
          <t>subestação simplificada EDP</t>
        </is>
      </c>
    </row>
    <row r="8">
      <c r="A8" s="3" t="inlineStr">
        <is>
          <t>Bandejas + gaiolas de cura + pallets</t>
        </is>
      </c>
      <c r="B8" s="8" t="n">
        <v>350000</v>
      </c>
      <c r="C8" s="4" t="inlineStr">
        <is>
          <t>não incluso na proposta</t>
        </is>
      </c>
    </row>
    <row r="9">
      <c r="A9" s="3" t="inlineStr">
        <is>
          <t>Pá carregadeira + empilhadeira</t>
        </is>
      </c>
      <c r="B9" s="8" t="n">
        <v>350000</v>
      </c>
      <c r="C9" s="4" t="inlineStr"/>
    </row>
    <row r="10">
      <c r="A10" s="3" t="inlineStr">
        <is>
          <t>Compressor, ferramentas, laboratório, EPIs</t>
        </is>
      </c>
      <c r="B10" s="8" t="n">
        <v>75000</v>
      </c>
      <c r="C10" s="4" t="inlineStr"/>
    </row>
    <row r="11">
      <c r="A11" s="3" t="inlineStr">
        <is>
          <t>Licenças, projetos, ART, seguros</t>
        </is>
      </c>
      <c r="B11" s="8" t="n">
        <v>80000</v>
      </c>
      <c r="C11" s="4" t="inlineStr"/>
    </row>
    <row r="12">
      <c r="A12" s="3" t="inlineStr">
        <is>
          <t>Montagem, frete, startup</t>
        </is>
      </c>
      <c r="B12" s="8" t="n">
        <v>150000</v>
      </c>
      <c r="C12" s="4" t="inlineStr"/>
    </row>
    <row r="13">
      <c r="A13" s="3" t="inlineStr">
        <is>
          <t>Capital de giro</t>
        </is>
      </c>
      <c r="B13" s="8" t="n">
        <v>800000</v>
      </c>
      <c r="C13" s="4" t="inlineStr">
        <is>
          <t>ciclo 45–60 dias</t>
        </is>
      </c>
    </row>
    <row r="14">
      <c r="A14" s="15" t="inlineStr">
        <is>
          <t>TOTAL DE USOS</t>
        </is>
      </c>
      <c r="B14" s="14">
        <f>SUM(B4:B13)</f>
        <v/>
      </c>
    </row>
    <row r="16">
      <c r="A16" s="11" t="inlineStr">
        <is>
          <t>FONTES</t>
        </is>
      </c>
      <c r="B16" s="11" t="inlineStr">
        <is>
          <t>R$</t>
        </is>
      </c>
      <c r="C16" s="11" t="inlineStr">
        <is>
          <t>Observação</t>
        </is>
      </c>
    </row>
    <row r="17">
      <c r="A17" s="3" t="inlineStr">
        <is>
          <t>FNE/BNB (pleito)</t>
        </is>
      </c>
      <c r="B17" s="8" t="n">
        <v>4400000</v>
      </c>
      <c r="C17" s="4" t="inlineStr">
        <is>
          <t>59,6% — simulação: 49,1% de comprometimento</t>
        </is>
      </c>
    </row>
    <row r="18">
      <c r="A18" s="3" t="inlineStr">
        <is>
          <t>Recursos próprios</t>
        </is>
      </c>
      <c r="B18" s="14">
        <f>B15-B17</f>
        <v/>
      </c>
      <c r="C18" s="4" t="inlineStr">
        <is>
          <t>40,4% — sendo R$ 600 mil já realizados (Gervasi); capital subscrito R$ 7,5 mi</t>
        </is>
      </c>
    </row>
    <row r="19">
      <c r="A19" s="3" t="inlineStr">
        <is>
          <t>Terreno (INVERSÃO EXISTENTE — fora do total acima)</t>
        </is>
      </c>
      <c r="B19" s="9" t="inlineStr">
        <is>
          <t>VALOR A INFORMAR</t>
        </is>
      </c>
      <c r="C19" s="4" t="inlineStr">
        <is>
          <t>imóvel já da GTK — anexar avaliação/matrícula; reforça garantia e patrimônio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52" customWidth="1" min="4" max="4"/>
  </cols>
  <sheetData>
    <row r="1">
      <c r="A1" s="1" t="inlineStr">
        <is>
          <t>CRONOGRAMA DE DESEMBOLSO — PARAMETRIZADO (definir com o cliente; editar meses/valores em azul)</t>
        </is>
      </c>
    </row>
    <row r="3">
      <c r="A3" s="11" t="inlineStr">
        <is>
          <t>Item</t>
        </is>
      </c>
      <c r="B3" s="11" t="inlineStr">
        <is>
          <t>Valor (R$)</t>
        </is>
      </c>
      <c r="C3" s="11" t="inlineStr">
        <is>
          <t>Mês proposto</t>
        </is>
      </c>
      <c r="D3" s="11" t="inlineStr">
        <is>
          <t>Base</t>
        </is>
      </c>
    </row>
    <row r="4">
      <c r="A4" s="3" t="inlineStr">
        <is>
          <t>Gervasi — parcelas contratuais restantes</t>
        </is>
      </c>
      <c r="B4" s="8" t="n">
        <v>2123000</v>
      </c>
      <c r="C4" s="9" t="inlineStr">
        <is>
          <t>1–6</t>
        </is>
      </c>
      <c r="D4" s="4" t="inlineStr">
        <is>
          <t>proposta: 5×R$ 300 mil (30–150 dias) + R$ 623 mil contra embarque</t>
        </is>
      </c>
    </row>
    <row r="5">
      <c r="A5" s="3" t="inlineStr">
        <is>
          <t>Obras civis (galpão/terraplanagem/energia)</t>
        </is>
      </c>
      <c r="B5" s="8" t="n">
        <v>2850000</v>
      </c>
      <c r="C5" s="9" t="inlineStr">
        <is>
          <t>1–9</t>
        </is>
      </c>
      <c r="D5" s="4" t="inlineStr">
        <is>
          <t>cronograma físico da obra</t>
        </is>
      </c>
    </row>
    <row r="6">
      <c r="A6" s="3" t="inlineStr">
        <is>
          <t>Bandejas, gaiolas, máquinas de pátio, diversos</t>
        </is>
      </c>
      <c r="B6" s="8" t="n">
        <v>775000</v>
      </c>
      <c r="C6" s="9" t="inlineStr">
        <is>
          <t>4–10</t>
        </is>
      </c>
      <c r="D6" s="4" t="inlineStr">
        <is>
          <t>antes do startup</t>
        </is>
      </c>
    </row>
    <row r="7">
      <c r="A7" s="3" t="inlineStr">
        <is>
          <t>Montagem/startup</t>
        </is>
      </c>
      <c r="B7" s="8" t="n">
        <v>150000</v>
      </c>
      <c r="C7" s="9" t="inlineStr">
        <is>
          <t>7–10</t>
        </is>
      </c>
      <c r="D7" s="4" t="inlineStr">
        <is>
          <t>após entrega (150–180 dias)</t>
        </is>
      </c>
    </row>
    <row r="8">
      <c r="A8" s="3" t="inlineStr">
        <is>
          <t>Capital de giro</t>
        </is>
      </c>
      <c r="B8" s="8" t="n">
        <v>800000</v>
      </c>
      <c r="C8" s="9" t="inlineStr">
        <is>
          <t>10–12</t>
        </is>
      </c>
      <c r="D8" s="4" t="inlineStr">
        <is>
          <t>liberação final</t>
        </is>
      </c>
    </row>
    <row r="10">
      <c r="A10" s="2" t="inlineStr">
        <is>
          <t>Nota: a simulação do anexo usou a regra oficial conservadora (aplicação integral no ano 1) — o escalonamento real só melhora os juros iniciais.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6" customWidth="1" min="3" max="3"/>
    <col width="40" customWidth="1" min="4" max="4"/>
  </cols>
  <sheetData>
    <row r="1">
      <c r="A1" s="1" t="inlineStr">
        <is>
          <t>MAPA DE ORIGEM — cada número → onde nasce (substitui o 'Mapa de Contas' em implantação)</t>
        </is>
      </c>
    </row>
    <row r="3">
      <c r="A3" s="11" t="inlineStr">
        <is>
          <t>Número na memória</t>
        </is>
      </c>
      <c r="B3" s="11" t="inlineStr">
        <is>
          <t>Valor</t>
        </is>
      </c>
      <c r="C3" s="11" t="inlineStr">
        <is>
          <t>Origem primária</t>
        </is>
      </c>
      <c r="D3" s="11" t="inlineStr">
        <is>
          <t>Verificação</t>
        </is>
      </c>
    </row>
    <row r="4">
      <c r="A4" s="3" t="inlineStr">
        <is>
          <t>Receita de estabilização</t>
        </is>
      </c>
      <c r="B4" s="3" t="inlineStr">
        <is>
          <t>R$ 4.791.000</t>
        </is>
      </c>
      <c r="C4" s="4" t="inlineStr">
        <is>
          <t>estudo §5.4 — mix por absorção × preços §6.4, teto EPP LC 123 [139]</t>
        </is>
      </c>
      <c r="D4" s="4" t="inlineStr">
        <is>
          <t>planilha v3 aba Mix; memoria-de-calculo.md §6</t>
        </is>
      </c>
    </row>
    <row r="5">
      <c r="A5" s="3" t="inlineStr">
        <is>
          <t>Volumes por produto</t>
        </is>
      </c>
      <c r="B5" s="3" t="inlineStr">
        <is>
          <t>tabela G31</t>
        </is>
      </c>
      <c r="C5" s="4" t="inlineStr">
        <is>
          <t>mercado 45/30/25% (valor) → horas da planta</t>
        </is>
      </c>
      <c r="D5" s="4" t="inlineStr">
        <is>
          <t>§5.4 passo 2; auditoria-fontes §3</t>
        </is>
      </c>
    </row>
    <row r="6">
      <c r="A6" s="3" t="inlineStr">
        <is>
          <t>Preços de venda</t>
        </is>
      </c>
      <c r="B6" s="3" t="inlineStr">
        <is>
          <t>R$ 3,30/4,50/2,80/5,50/57</t>
        </is>
      </c>
      <c r="C6" s="4" t="inlineStr">
        <is>
          <t>§6.4 — 10–25% abaixo da mediana SINAPI-ES 06/2026 [11]</t>
        </is>
      </c>
      <c r="D6" s="4" t="inlineStr">
        <is>
          <t>cotações locais na implantação (diligência)</t>
        </is>
      </c>
    </row>
    <row r="7">
      <c r="A7" s="3" t="inlineStr">
        <is>
          <t>CV industrial por produto</t>
        </is>
      </c>
      <c r="B7" s="3" t="inlineStr">
        <is>
          <t>R$ 1,85/2,10/1,45/2,45/24</t>
        </is>
      </c>
      <c r="C7" s="4" t="inlineStr">
        <is>
          <t>§13.2 (cimento granel [93], agregados SINAPI [11], MO CCT)</t>
        </is>
      </c>
      <c r="D7" s="4" t="inlineStr">
        <is>
          <t>aba Custo Unitário da planilha v3</t>
        </is>
      </c>
    </row>
    <row r="8">
      <c r="A8" s="3" t="inlineStr">
        <is>
          <t>Fixos R$ 52 mil/mês</t>
        </is>
      </c>
      <c r="B8" s="3" t="inlineStr">
        <is>
          <t>13,03%</t>
        </is>
      </c>
      <c r="C8" s="4" t="inlineStr">
        <is>
          <t>§13.3 decomposto item a item</t>
        </is>
      </c>
      <c r="D8" s="4" t="inlineStr">
        <is>
          <t>—</t>
        </is>
      </c>
    </row>
    <row r="9">
      <c r="A9" s="3" t="inlineStr">
        <is>
          <t>DAS 15% (topo) / 11,6% (ano 1)</t>
        </is>
      </c>
      <c r="B9" s="3" t="inlineStr">
        <is>
          <t>—</t>
        </is>
      </c>
      <c r="C9" s="4" t="inlineStr">
        <is>
          <t>Anexo II [140]; LC 123 [139]</t>
        </is>
      </c>
      <c r="D9" s="4" t="inlineStr">
        <is>
          <t>contador antes do start-up</t>
        </is>
      </c>
    </row>
    <row r="10">
      <c r="A10" s="3" t="inlineStr">
        <is>
          <t>Capacidade efetiva 210 dias</t>
        </is>
      </c>
      <c r="B10" s="3" t="inlineStr">
        <is>
          <t>OEE 76%</t>
        </is>
      </c>
      <c r="C10" s="4" t="inlineStr">
        <is>
          <t>§3.7 (calendário [141][142]; manutenção [145][146]; OEE [143][144])</t>
        </is>
      </c>
      <c r="D10" s="4" t="inlineStr">
        <is>
          <t>—</t>
        </is>
      </c>
    </row>
    <row r="11">
      <c r="A11" s="3" t="inlineStr">
        <is>
          <t>CAPEX por rubrica</t>
        </is>
      </c>
      <c r="B11" s="3" t="inlineStr">
        <is>
          <t>aba Usos e Fontes</t>
        </is>
      </c>
      <c r="C11" s="4" t="inlineStr">
        <is>
          <t>§13.1 (galpão [128][129]; norma EDP [13])</t>
        </is>
      </c>
      <c r="D11" s="4" t="inlineStr">
        <is>
          <t>3 orçamentos por rubrica no protocolo</t>
        </is>
      </c>
    </row>
    <row r="12">
      <c r="A12" s="3" t="inlineStr">
        <is>
          <t>Financiamento 4,4 mi/144m/24m</t>
        </is>
      </c>
      <c r="B12" s="3" t="inlineStr">
        <is>
          <t>49,1%</t>
        </is>
      </c>
      <c r="C12" s="4" t="inlineStr">
        <is>
          <t>simulacao-fne-bnb.md — motor oficial validado</t>
        </is>
      </c>
      <c r="D12" s="4" t="inlineStr">
        <is>
          <t>sistema BNB no protocolo</t>
        </is>
      </c>
    </row>
    <row r="13">
      <c r="A13" s="3" t="inlineStr">
        <is>
          <t>Terreno</t>
        </is>
      </c>
      <c r="B13" s="3" t="inlineStr">
        <is>
          <t>A INFORMAR</t>
        </is>
      </c>
      <c r="C13" s="4" t="inlineStr">
        <is>
          <t>resposta do consultor 16/08/2026 (já é da GTK)</t>
        </is>
      </c>
      <c r="D13" s="4" t="inlineStr">
        <is>
          <t>avaliação + matrícula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56" customWidth="1" min="3" max="3"/>
  </cols>
  <sheetData>
    <row r="1">
      <c r="A1" s="1" t="inlineStr">
        <is>
          <t>CONFERÊNCIA E PROVA DE INTEGRIDADE (ano de estabilização, financiamento R$ 4,4 mi)</t>
        </is>
      </c>
    </row>
    <row r="3">
      <c r="A3" s="11" t="inlineStr">
        <is>
          <t>Linha</t>
        </is>
      </c>
      <c r="B3" s="11" t="inlineStr">
        <is>
          <t>R$</t>
        </is>
      </c>
      <c r="C3" s="11" t="inlineStr">
        <is>
          <t>Status</t>
        </is>
      </c>
    </row>
    <row r="4">
      <c r="A4" s="3" t="inlineStr">
        <is>
          <t>Receita bruta</t>
        </is>
      </c>
      <c r="B4" s="14" t="n">
        <v>4791000</v>
      </c>
      <c r="C4" s="4" t="inlineStr">
        <is>
          <t>✓ §5.4</t>
        </is>
      </c>
    </row>
    <row r="5">
      <c r="A5" s="3" t="inlineStr">
        <is>
          <t>(−) G31 — variáveis industriais</t>
        </is>
      </c>
      <c r="B5" s="14" t="n">
        <v>-2361193</v>
      </c>
      <c r="C5" s="4" t="inlineStr">
        <is>
          <t>✓ composição aberta</t>
        </is>
      </c>
    </row>
    <row r="6">
      <c r="A6" s="3" t="inlineStr">
        <is>
          <t>(−) DAS Simples 15%</t>
        </is>
      </c>
      <c r="B6" s="14" t="n">
        <v>-718650</v>
      </c>
      <c r="C6" s="4" t="inlineStr">
        <is>
          <t>✓ topo da faixa (conservador)</t>
        </is>
      </c>
    </row>
    <row r="7">
      <c r="A7" s="3" t="inlineStr">
        <is>
          <t>(−) Frete/comercial 4,5%</t>
        </is>
      </c>
      <c r="B7" s="14" t="n">
        <v>-215595</v>
      </c>
      <c r="C7" s="4" t="inlineStr">
        <is>
          <t>✓</t>
        </is>
      </c>
    </row>
    <row r="8">
      <c r="A8" s="3" t="inlineStr">
        <is>
          <t>(−) Fixos desembolsáveis</t>
        </is>
      </c>
      <c r="B8" s="14" t="n">
        <v>-624000</v>
      </c>
      <c r="C8" s="4" t="inlineStr">
        <is>
          <t>✓ §13.3</t>
        </is>
      </c>
    </row>
    <row r="9">
      <c r="A9" s="15">
        <f> EBITDA (confere com estudo: MC derivada 31,2%)</f>
        <v/>
      </c>
      <c r="B9" s="14" t="n">
        <v>871562</v>
      </c>
      <c r="C9" s="4" t="inlineStr">
        <is>
          <t>✓ estudo §13.4 (adotado 30% → 813 mil, mais conservador)</t>
        </is>
      </c>
    </row>
    <row r="10">
      <c r="A10" s="3" t="inlineStr">
        <is>
          <t>(−) Depreciação estimada</t>
        </is>
      </c>
      <c r="B10" s="14" t="n">
        <v>-491000</v>
      </c>
      <c r="C10" s="4" t="inlineStr">
        <is>
          <t>⚠ estimativa (equip. 10a; obras 25a; bandejas 5a) — planilha oficial recalcula</t>
        </is>
      </c>
    </row>
    <row r="11">
      <c r="A11" s="3" t="inlineStr">
        <is>
          <t>(−) Juros FNE ano 3 (motor oficial)</t>
        </is>
      </c>
      <c r="B11" s="14" t="n">
        <v>-376072</v>
      </c>
      <c r="C11" s="4" t="inlineStr">
        <is>
          <t>✓ anexo simulação</t>
        </is>
      </c>
    </row>
    <row r="12">
      <c r="A12" s="15">
        <f> LUCRO CONTÁBIL ano 3</f>
        <v/>
      </c>
      <c r="B12" s="14" t="n">
        <v>4490</v>
      </c>
      <c r="C12" s="4" t="inlineStr">
        <is>
          <t>⚠ ~zero no 1º ano de amortização plena — sobe ano a ano com a queda dos juros (ano 12 ≈ R$ 350–400 mil)</t>
        </is>
      </c>
    </row>
    <row r="13">
      <c r="A13" s="3" t="inlineStr">
        <is>
          <t>Capacidade de pagamento (métrica do banco)</t>
        </is>
      </c>
      <c r="B13" s="14" t="n">
        <v>739273</v>
      </c>
      <c r="C13" s="4" t="inlineStr">
        <is>
          <t>✓ comprometimento 49,1% — dentro da janela</t>
        </is>
      </c>
    </row>
    <row r="15">
      <c r="A15" s="2" t="inlineStr">
        <is>
          <t>Leitura de defesa: o banco decide pela CAPACIDADE DE PAGAMENTO (caixa), não pelo lucro contábil do ano de pico de juros+depreciação; a margem líquida média do horizonte (~5–8%) fica dentro da referência da indústria geral (5–15%, CNI/IBGE-PIA — validar dado atualizado na diligência).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2026-08-16T17:37:01Z</dcterms:created>
  <dcterms:modified xmlns:dcterms="http://purl.org/dc/terms/" xmlns:xsi="http://www.w3.org/2001/XMLSchema-instance" xsi:type="dcterms:W3CDTF">2026-08-16T17:37:01Z</dcterms:modified>
</cp:coreProperties>
</file>