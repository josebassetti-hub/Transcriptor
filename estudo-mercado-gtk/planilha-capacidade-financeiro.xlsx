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missas" sheetId="1" state="visible" r:id="rId1"/>
    <sheet xmlns:r="http://schemas.openxmlformats.org/officeDocument/2006/relationships" name="Capacidade" sheetId="2" state="visible" r:id="rId2"/>
    <sheet xmlns:r="http://schemas.openxmlformats.org/officeDocument/2006/relationships" name="Custo Unitário" sheetId="3" state="visible" r:id="rId3"/>
    <sheet xmlns:r="http://schemas.openxmlformats.org/officeDocument/2006/relationships" name="Cenários" sheetId="4" state="visible" r:id="rId4"/>
    <sheet xmlns:r="http://schemas.openxmlformats.org/officeDocument/2006/relationships" name="CAPEX e Fund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R$ #,##0.00"/>
    <numFmt numFmtId="165" formatCode="0.0000"/>
    <numFmt numFmtId="166" formatCode="R$ #,##0"/>
    <numFmt numFmtId="167" formatCode="0.0%"/>
    <numFmt numFmtId="168" formatCode="0.0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1"/>
    </font>
    <font>
      <name val="Arial"/>
    </font>
    <font>
      <name val="Arial"/>
      <color rgb="000000FF"/>
    </font>
    <font>
      <name val="Arial"/>
      <b val="1"/>
      <color rgb="00FFFFFF"/>
    </font>
    <font>
      <name val="Arial"/>
      <color rgb="00008000"/>
    </font>
  </fonts>
  <fills count="5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FFFF00"/>
      </patternFill>
    </fill>
    <fill>
      <patternFill patternType="solid">
        <fgColor rgb="001F4E5F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1" pivotButton="0" quotePrefix="0" xfId="0"/>
    <xf numFmtId="3" fontId="5" fillId="0" borderId="1" pivotButton="0" quotePrefix="0" xfId="0"/>
    <xf numFmtId="0" fontId="2" fillId="0" borderId="1" pivotButton="0" quotePrefix="0" xfId="0"/>
    <xf numFmtId="164" fontId="5" fillId="0" borderId="1" pivotButton="0" quotePrefix="0" xfId="0"/>
    <xf numFmtId="164" fontId="5" fillId="3" borderId="1" pivotButton="0" quotePrefix="0" xfId="0"/>
    <xf numFmtId="2" fontId="5" fillId="0" borderId="1" pivotButton="0" quotePrefix="0" xfId="0"/>
    <xf numFmtId="165" fontId="5" fillId="0" borderId="1" pivotButton="0" quotePrefix="0" xfId="0"/>
    <xf numFmtId="166" fontId="5" fillId="0" borderId="1" pivotButton="0" quotePrefix="0" xfId="0"/>
    <xf numFmtId="167" fontId="5" fillId="0" borderId="1" pivotButton="0" quotePrefix="0" xfId="0"/>
    <xf numFmtId="166" fontId="5" fillId="3" borderId="1" pivotButton="0" quotePrefix="0" xfId="0"/>
    <xf numFmtId="167" fontId="5" fillId="3" borderId="1" pivotButton="0" quotePrefix="0" xfId="0"/>
    <xf numFmtId="0" fontId="6" fillId="4" borderId="1" applyAlignment="1" pivotButton="0" quotePrefix="0" xfId="0">
      <alignment horizontal="center" wrapText="1"/>
    </xf>
    <xf numFmtId="3" fontId="7" fillId="0" borderId="1" pivotButton="0" quotePrefix="0" xfId="0"/>
    <xf numFmtId="3" fontId="4" fillId="0" borderId="1" pivotButton="0" quotePrefix="0" xfId="0"/>
    <xf numFmtId="168" fontId="5" fillId="0" borderId="1" pivotButton="0" quotePrefix="0" xfId="0"/>
    <xf numFmtId="0" fontId="3" fillId="2" borderId="0" pivotButton="0" quotePrefix="0" xfId="0"/>
    <xf numFmtId="164" fontId="7" fillId="0" borderId="1" pivotButton="0" quotePrefix="0" xfId="0"/>
    <xf numFmtId="164" fontId="4" fillId="0" borderId="1" pivotButton="0" quotePrefix="0" xfId="0"/>
    <xf numFmtId="0" fontId="3" fillId="0" borderId="1" pivotButton="0" quotePrefix="0" xfId="0"/>
    <xf numFmtId="167" fontId="4" fillId="0" borderId="1" pivotButton="0" quotePrefix="0" xfId="0"/>
    <xf numFmtId="0" fontId="3" fillId="0" borderId="0" pivotButton="0" quotePrefix="0" xfId="0"/>
    <xf numFmtId="166" fontId="4" fillId="0" borderId="1" pivotButton="0" quotePrefix="0" xfId="0"/>
    <xf numFmtId="166" fontId="7" fillId="0" borderId="1" pivotButton="0" quotePrefix="0" xfId="0"/>
    <xf numFmtId="166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26" customWidth="1" min="3" max="3"/>
    <col width="26" customWidth="1" min="4" max="4"/>
    <col width="26" customWidth="1" min="5" max="5"/>
  </cols>
  <sheetData>
    <row r="1">
      <c r="A1" s="1" t="inlineStr">
        <is>
          <t>GTK PRÉ-MOLDADOS — PREMISSAS DO MODELO (edite apenas as células AZUIS; amarelas = premissas-chave)</t>
        </is>
      </c>
    </row>
    <row r="2">
      <c r="A2" s="2" t="inlineStr">
        <is>
          <t>Fontes: proposta Gervasi REV00 12/05/2026; SINAPI-ES 06/2026; referências do Estudo de Mercado ago/2026 (ver fontes.md)</t>
        </is>
      </c>
    </row>
    <row r="4">
      <c r="A4" s="3" t="inlineStr">
        <is>
          <t>Produção XP350 (por turno de 8h, fator 90% — proposta Gervasi)</t>
        </is>
      </c>
      <c r="B4" s="4" t="n"/>
      <c r="C4" s="4" t="n"/>
      <c r="D4" s="5" t="n"/>
    </row>
    <row r="5">
      <c r="A5" s="6" t="inlineStr">
        <is>
          <t>Bloco 14x19x39 — peças/turno</t>
        </is>
      </c>
      <c r="B5" s="7" t="n">
        <v>7020</v>
      </c>
      <c r="C5" s="8" t="inlineStr">
        <is>
          <t>Proposta Gervasi p.3</t>
        </is>
      </c>
      <c r="D5" s="4" t="n"/>
      <c r="E5" s="5" t="n"/>
    </row>
    <row r="6">
      <c r="A6" s="6" t="inlineStr">
        <is>
          <t>Bloco 9x19x39 — peças/turno</t>
        </is>
      </c>
      <c r="B6" s="7" t="n">
        <v>10530</v>
      </c>
      <c r="C6" s="8" t="inlineStr">
        <is>
          <t>Proposta Gervasi p.3</t>
        </is>
      </c>
      <c r="D6" s="4" t="n"/>
      <c r="E6" s="5" t="n"/>
    </row>
    <row r="7">
      <c r="A7" s="6" t="inlineStr">
        <is>
          <t>Bloco 19x19x39 — peças/turno</t>
        </is>
      </c>
      <c r="B7" s="7" t="n">
        <v>5265</v>
      </c>
      <c r="C7" s="8" t="inlineStr">
        <is>
          <t>Proposta Gervasi p.3</t>
        </is>
      </c>
      <c r="D7" s="4" t="n"/>
      <c r="E7" s="5" t="n"/>
    </row>
    <row r="8">
      <c r="A8" s="6" t="inlineStr">
        <is>
          <t>Paver H6 — m²/turno</t>
        </is>
      </c>
      <c r="B8" s="7" t="n">
        <v>530</v>
      </c>
      <c r="C8" s="8" t="inlineStr">
        <is>
          <t>Proposta Gervasi p.3 (dígitos comprimidos; ver estudo §3.3)</t>
        </is>
      </c>
      <c r="D8" s="4" t="n"/>
      <c r="E8" s="5" t="n"/>
    </row>
    <row r="9">
      <c r="A9" s="6" t="inlineStr">
        <is>
          <t>Dias úteis/mês</t>
        </is>
      </c>
      <c r="B9" s="7" t="n">
        <v>22</v>
      </c>
      <c r="C9" s="8" t="inlineStr">
        <is>
          <t>premissa</t>
        </is>
      </c>
      <c r="D9" s="4" t="n"/>
      <c r="E9" s="5" t="n"/>
    </row>
    <row r="10">
      <c r="A10" s="3" t="inlineStr">
        <is>
          <t>Preços de venda posto fábrica (R$/un ou R$/m²)</t>
        </is>
      </c>
      <c r="B10" s="4" t="n"/>
      <c r="C10" s="4" t="n"/>
      <c r="D10" s="5" t="n"/>
    </row>
    <row r="11">
      <c r="A11" s="6" t="inlineStr">
        <is>
          <t>Bloco 14 vedação</t>
        </is>
      </c>
      <c r="B11" s="9" t="n">
        <v>3.3</v>
      </c>
      <c r="C11" s="8" t="inlineStr">
        <is>
          <t>Estudo §6.4 (10–25% abaixo da mediana SINAPI-ES)</t>
        </is>
      </c>
      <c r="D11" s="4" t="n"/>
      <c r="E11" s="5" t="n"/>
    </row>
    <row r="12">
      <c r="A12" s="6" t="inlineStr">
        <is>
          <t>Bloco 14 estrutural fbk 6–8</t>
        </is>
      </c>
      <c r="B12" s="9" t="n">
        <v>4.5</v>
      </c>
      <c r="C12" s="8" t="inlineStr">
        <is>
          <t>Estudo §6.4</t>
        </is>
      </c>
      <c r="D12" s="4" t="n"/>
      <c r="E12" s="5" t="n"/>
    </row>
    <row r="13">
      <c r="A13" s="6" t="inlineStr">
        <is>
          <t>Bloco 9 vedação</t>
        </is>
      </c>
      <c r="B13" s="9" t="n">
        <v>2.8</v>
      </c>
      <c r="C13" s="8" t="inlineStr">
        <is>
          <t>Estudo §6.4</t>
        </is>
      </c>
      <c r="D13" s="4" t="n"/>
      <c r="E13" s="5" t="n"/>
    </row>
    <row r="14">
      <c r="A14" s="6" t="inlineStr">
        <is>
          <t>Bloco 19 estrutural</t>
        </is>
      </c>
      <c r="B14" s="9" t="n">
        <v>5.5</v>
      </c>
      <c r="C14" s="8" t="inlineStr">
        <is>
          <t>Estudo §6.4</t>
        </is>
      </c>
      <c r="D14" s="4" t="n"/>
      <c r="E14" s="5" t="n"/>
    </row>
    <row r="15">
      <c r="A15" s="6" t="inlineStr">
        <is>
          <t>Paver 35 MPa e=6 (m²)</t>
        </is>
      </c>
      <c r="B15" s="9" t="n">
        <v>57</v>
      </c>
      <c r="C15" s="8" t="inlineStr">
        <is>
          <t>Estudo §6.4</t>
        </is>
      </c>
      <c r="D15" s="4" t="n"/>
      <c r="E15" s="5" t="n"/>
    </row>
    <row r="16">
      <c r="A16" s="3" t="inlineStr">
        <is>
          <t>Custos de insumos (posto fábrica)</t>
        </is>
      </c>
      <c r="B16" s="4" t="n"/>
      <c r="C16" s="4" t="n"/>
      <c r="D16" s="5" t="n"/>
    </row>
    <row r="17">
      <c r="A17" s="6" t="inlineStr">
        <is>
          <t>Cimento a granel (R$/kg)</t>
        </is>
      </c>
      <c r="B17" s="10" t="n">
        <v>0.55</v>
      </c>
      <c r="C17" s="8" t="inlineStr">
        <is>
          <t>R$ 450/t + frete — ref. nacional 2025 [fontes.md]</t>
        </is>
      </c>
      <c r="D17" s="4" t="n"/>
      <c r="E17" s="5" t="n"/>
    </row>
    <row r="18">
      <c r="A18" s="6" t="inlineStr">
        <is>
          <t>Agregados mix (R$/m³)</t>
        </is>
      </c>
      <c r="B18" s="9" t="n">
        <v>165</v>
      </c>
      <c r="C18" s="8" t="inlineStr">
        <is>
          <t>SINAPI-ES 06/2026 + frete</t>
        </is>
      </c>
      <c r="D18" s="4" t="n"/>
      <c r="E18" s="5" t="n"/>
    </row>
    <row r="19">
      <c r="A19" s="6" t="inlineStr">
        <is>
          <t>Consumo cimento bloco 14 vedação (kg/un)</t>
        </is>
      </c>
      <c r="B19" s="11" t="n">
        <v>1</v>
      </c>
      <c r="C19" s="8" t="inlineStr">
        <is>
          <t>WM Máquinas + traço típico; Gervasi economiza até 15%</t>
        </is>
      </c>
      <c r="D19" s="4" t="n"/>
      <c r="E19" s="5" t="n"/>
    </row>
    <row r="20">
      <c r="A20" s="6" t="inlineStr">
        <is>
          <t>Consumo concreto bloco 14 (m³/un)</t>
        </is>
      </c>
      <c r="B20" s="12" t="n">
        <v>0.0054</v>
      </c>
      <c r="C20" s="8" t="inlineStr">
        <is>
          <t>5,4 m³/h ÷ 1.000 pç/h (proposta)</t>
        </is>
      </c>
      <c r="D20" s="4" t="n"/>
      <c r="E20" s="5" t="n"/>
    </row>
    <row r="21">
      <c r="A21" s="6" t="inlineStr">
        <is>
          <t>Aditivo+energia+diesel (R$/un bloco 14)</t>
        </is>
      </c>
      <c r="B21" s="9" t="n">
        <v>0.12</v>
      </c>
      <c r="C21" s="8" t="inlineStr">
        <is>
          <t>Estudo §13.2</t>
        </is>
      </c>
      <c r="D21" s="4" t="n"/>
      <c r="E21" s="5" t="n"/>
    </row>
    <row r="22">
      <c r="A22" s="6" t="inlineStr">
        <is>
          <t>Mão de obra direta (R$/mês, 6 pessoas c/ encargos)</t>
        </is>
      </c>
      <c r="B22" s="13" t="n">
        <v>32000</v>
      </c>
      <c r="C22" s="8" t="inlineStr">
        <is>
          <t>CCT construção ES 2025/27 + encargos</t>
        </is>
      </c>
      <c r="D22" s="4" t="n"/>
      <c r="E22" s="5" t="n"/>
    </row>
    <row r="23">
      <c r="A23" s="6" t="inlineStr">
        <is>
          <t>Manutenção e moldes (R$/un)</t>
        </is>
      </c>
      <c r="B23" s="9" t="n">
        <v>0.08</v>
      </c>
      <c r="C23" s="8" t="inlineStr">
        <is>
          <t>provisão</t>
        </is>
      </c>
      <c r="D23" s="4" t="n"/>
      <c r="E23" s="5" t="n"/>
    </row>
    <row r="24">
      <c r="A24" s="6" t="inlineStr">
        <is>
          <t>Tributos s/ receita (Simples ind.)</t>
        </is>
      </c>
      <c r="B24" s="14" t="n">
        <v>0.08500000000000001</v>
      </c>
      <c r="C24" s="8" t="inlineStr">
        <is>
          <t>faixa relevante — validar c/ contador</t>
        </is>
      </c>
      <c r="D24" s="4" t="n"/>
      <c r="E24" s="5" t="n"/>
    </row>
    <row r="25">
      <c r="A25" s="6" t="inlineStr">
        <is>
          <t>Frete médio embutido s/ receita</t>
        </is>
      </c>
      <c r="B25" s="14" t="n">
        <v>0.045</v>
      </c>
      <c r="C25" s="8" t="inlineStr">
        <is>
          <t>parcela CIF do mix</t>
        </is>
      </c>
      <c r="D25" s="4" t="n"/>
      <c r="E25" s="5" t="n"/>
    </row>
    <row r="26">
      <c r="A26" s="6" t="inlineStr">
        <is>
          <t>Custo fixo desembolsável (R$/mês)</t>
        </is>
      </c>
      <c r="B26" s="15" t="n">
        <v>52000</v>
      </c>
      <c r="C26" s="8" t="inlineStr">
        <is>
          <t>Estudo §13.3</t>
        </is>
      </c>
      <c r="D26" s="4" t="n"/>
      <c r="E26" s="5" t="n"/>
    </row>
    <row r="27">
      <c r="A27" s="6" t="inlineStr">
        <is>
          <t>Margem de contribuição média do mix (% receita)</t>
        </is>
      </c>
      <c r="B27" s="16" t="n">
        <v>0.35</v>
      </c>
      <c r="C27" s="8" t="inlineStr">
        <is>
          <t>Estudo §13.4 — mix vedação+estrutural+paver</t>
        </is>
      </c>
      <c r="D27" s="4" t="n"/>
      <c r="E27" s="5" t="n"/>
    </row>
    <row r="28">
      <c r="A28" s="6" t="inlineStr">
        <is>
          <t>Serviço da dívida FNE estimado (R$/mês, SAC pós-carência)</t>
        </is>
      </c>
      <c r="B28" s="13" t="n">
        <v>60000</v>
      </c>
      <c r="C28" s="8" t="inlineStr">
        <is>
          <t>≈R$ 5 mi, 10 anos SAC — substituir pela simulação BNB</t>
        </is>
      </c>
      <c r="D28" s="4" t="n"/>
      <c r="E28" s="5" t="n"/>
    </row>
  </sheetData>
  <mergeCells count="25">
    <mergeCell ref="A4:D4"/>
    <mergeCell ref="C22:E22"/>
    <mergeCell ref="C9:E9"/>
    <mergeCell ref="C21:E21"/>
    <mergeCell ref="A10:D10"/>
    <mergeCell ref="C12:E12"/>
    <mergeCell ref="C11:E11"/>
    <mergeCell ref="C27:E27"/>
    <mergeCell ref="C23:E23"/>
    <mergeCell ref="C8:E8"/>
    <mergeCell ref="C17:E17"/>
    <mergeCell ref="C7:E7"/>
    <mergeCell ref="C28:E28"/>
    <mergeCell ref="C13:E13"/>
    <mergeCell ref="C19:E19"/>
    <mergeCell ref="C18:E18"/>
    <mergeCell ref="A16:D16"/>
    <mergeCell ref="C15:E15"/>
    <mergeCell ref="C6:E6"/>
    <mergeCell ref="C24:E24"/>
    <mergeCell ref="C14:E14"/>
    <mergeCell ref="C5:E5"/>
    <mergeCell ref="C26:E26"/>
    <mergeCell ref="C20:E20"/>
    <mergeCell ref="C25:E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>
      <c r="A1" s="1" t="inlineStr">
        <is>
          <t>CAPACIDADE DE PRODUÇÃO — LINHA GERVASI XP350</t>
        </is>
      </c>
    </row>
    <row r="3">
      <c r="A3" s="17" t="inlineStr">
        <is>
          <t>Produto</t>
        </is>
      </c>
      <c r="B3" s="17" t="inlineStr">
        <is>
          <t>Peças/bandeja</t>
        </is>
      </c>
      <c r="C3" s="17" t="inlineStr">
        <is>
          <t>Peças/hora</t>
        </is>
      </c>
      <c r="D3" s="17" t="inlineStr">
        <is>
          <t>Por turno 8h (90%)</t>
        </is>
      </c>
      <c r="E3" s="17" t="inlineStr">
        <is>
          <t>Por mês (1 turno)</t>
        </is>
      </c>
      <c r="F3" s="17" t="inlineStr">
        <is>
          <t>Por ano (1 turno)</t>
        </is>
      </c>
      <c r="G3" s="17" t="inlineStr">
        <is>
          <t>Por ano (2 turnos)</t>
        </is>
      </c>
      <c r="H3" s="17" t="inlineStr">
        <is>
          <t>Concreto (m³/h)</t>
        </is>
      </c>
    </row>
    <row r="4">
      <c r="A4" s="6" t="inlineStr">
        <is>
          <t>Bloco 14×19×39 (un)</t>
        </is>
      </c>
      <c r="B4" s="7" t="n">
        <v>4</v>
      </c>
      <c r="C4" s="7" t="n">
        <v>1000</v>
      </c>
      <c r="D4" s="18">
        <f>Premissas!$B$5</f>
        <v/>
      </c>
      <c r="E4" s="19">
        <f>D4*Premissas!$B$9</f>
        <v/>
      </c>
      <c r="F4" s="19">
        <f>E4*12</f>
        <v/>
      </c>
      <c r="G4" s="19">
        <f>F4*2</f>
        <v/>
      </c>
      <c r="H4" s="20" t="n">
        <v>5.4</v>
      </c>
    </row>
    <row r="5">
      <c r="A5" s="6" t="inlineStr">
        <is>
          <t>Bloco 9×19×39 (un)</t>
        </is>
      </c>
      <c r="B5" s="7" t="n">
        <v>6</v>
      </c>
      <c r="C5" s="7" t="n">
        <v>1200</v>
      </c>
      <c r="D5" s="18">
        <f>Premissas!$B$6</f>
        <v/>
      </c>
      <c r="E5" s="19">
        <f>D5*Premissas!$B$9</f>
        <v/>
      </c>
      <c r="F5" s="19">
        <f>E5*12</f>
        <v/>
      </c>
      <c r="G5" s="19">
        <f>F5*2</f>
        <v/>
      </c>
      <c r="H5" s="20" t="n">
        <v>7.3</v>
      </c>
    </row>
    <row r="6">
      <c r="A6" s="6" t="inlineStr">
        <is>
          <t>Bloco 19×19×39 (un)</t>
        </is>
      </c>
      <c r="B6" s="7" t="n">
        <v>3</v>
      </c>
      <c r="C6" s="7" t="n">
        <v>750</v>
      </c>
      <c r="D6" s="18">
        <f>Premissas!$B$7</f>
        <v/>
      </c>
      <c r="E6" s="19">
        <f>D6*Premissas!$B$9</f>
        <v/>
      </c>
      <c r="F6" s="19">
        <f>E6*12</f>
        <v/>
      </c>
      <c r="G6" s="19">
        <f>F6*2</f>
        <v/>
      </c>
      <c r="H6" s="20" t="n">
        <v>4.7</v>
      </c>
    </row>
    <row r="7">
      <c r="A7" s="6" t="inlineStr">
        <is>
          <t>Paver H6 (m²)</t>
        </is>
      </c>
      <c r="B7" s="11" t="n">
        <v>0.37</v>
      </c>
      <c r="C7" s="7" t="n">
        <v>74</v>
      </c>
      <c r="D7" s="18">
        <f>Premissas!$B$8</f>
        <v/>
      </c>
      <c r="E7" s="19">
        <f>D7*Premissas!$B$9</f>
        <v/>
      </c>
      <c r="F7" s="19">
        <f>E7*12</f>
        <v/>
      </c>
      <c r="G7" s="19">
        <f>F7*2</f>
        <v/>
      </c>
      <c r="H7" s="20" t="n">
        <v>4.1</v>
      </c>
    </row>
    <row r="9">
      <c r="A9" s="2" t="inlineStr">
        <is>
          <t>Nota: valores por turno conforme proposta Gervasi (fator 90%). Troca de molde: 15–20 min. Silo 90 t ≈ 13 dias úteis de autonomia em produção plena de bloco 14.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CUSTO VARIÁVEL E MARGEM POR PRODUTO (bloco 14 vedação detalhado; demais derivados)</t>
        </is>
      </c>
    </row>
    <row r="3">
      <c r="A3" s="21" t="inlineStr">
        <is>
          <t>Bloco 14×19×39 — vedação</t>
        </is>
      </c>
    </row>
    <row r="4">
      <c r="A4" s="6" t="inlineStr">
        <is>
          <t>Cimento (kg × R$/kg)</t>
        </is>
      </c>
      <c r="B4" s="22">
        <f>Premissas!$B$19*Premissas!$B$17</f>
        <v/>
      </c>
    </row>
    <row r="5">
      <c r="A5" s="6" t="inlineStr">
        <is>
          <t>Agregados (m³ × R$/m³)</t>
        </is>
      </c>
      <c r="B5" s="22">
        <f>Premissas!$B$20*Premissas!$B$18</f>
        <v/>
      </c>
    </row>
    <row r="6">
      <c r="A6" s="6" t="inlineStr">
        <is>
          <t>Aditivo + energia + diesel</t>
        </is>
      </c>
      <c r="B6" s="22">
        <f>Premissas!$B$21</f>
        <v/>
      </c>
    </row>
    <row r="7">
      <c r="A7" s="6" t="inlineStr">
        <is>
          <t>Mão de obra direta (rateio mensal ÷ produção)</t>
        </is>
      </c>
      <c r="B7" s="22">
        <f>Premissas!$B$22/(Premissas!$B$5*Premissas!$B$9)</f>
        <v/>
      </c>
    </row>
    <row r="8">
      <c r="A8" s="6" t="inlineStr">
        <is>
          <t>Manutenção e moldes</t>
        </is>
      </c>
      <c r="B8" s="22">
        <f>Premissas!$B$23</f>
        <v/>
      </c>
    </row>
    <row r="9">
      <c r="A9" s="6" t="inlineStr">
        <is>
          <t>CUSTO VARIÁVEL INDUSTRIAL (un)</t>
        </is>
      </c>
      <c r="B9" s="23">
        <f>SUM(B4:B8)</f>
        <v/>
      </c>
    </row>
    <row r="10">
      <c r="A10" s="6" t="inlineStr">
        <is>
          <t>Tributos sobre venda (% × PV)</t>
        </is>
      </c>
      <c r="B10" s="22">
        <f>Premissas!$B$24*Premissas!$B$11</f>
        <v/>
      </c>
    </row>
    <row r="11">
      <c r="A11" s="6" t="inlineStr">
        <is>
          <t>Frete embutido (% × PV)</t>
        </is>
      </c>
      <c r="B11" s="22">
        <f>Premissas!$B$25*Premissas!$B$11</f>
        <v/>
      </c>
    </row>
    <row r="12">
      <c r="A12" s="6" t="inlineStr">
        <is>
          <t>CUSTO VARIÁVEL TOTAL (un)</t>
        </is>
      </c>
      <c r="B12" s="23">
        <f>B9+B10+B11</f>
        <v/>
      </c>
    </row>
    <row r="13">
      <c r="A13" s="6" t="inlineStr">
        <is>
          <t>Preço de venda — bloco 14 vedação</t>
        </is>
      </c>
      <c r="B13" s="22">
        <f>Premissas!$B$11</f>
        <v/>
      </c>
    </row>
    <row r="14">
      <c r="A14" s="24" t="inlineStr">
        <is>
          <t>MARGEM DE CONTRIBUIÇÃO (R$/un)</t>
        </is>
      </c>
      <c r="B14" s="23">
        <f>B13-B12</f>
        <v/>
      </c>
    </row>
    <row r="15">
      <c r="A15" s="24" t="inlineStr">
        <is>
          <t>MARGEM DE CONTRIBUIÇÃO (%)</t>
        </is>
      </c>
      <c r="B15" s="25">
        <f>B14/B13</f>
        <v/>
      </c>
    </row>
    <row r="17">
      <c r="A17" s="21" t="inlineStr">
        <is>
          <t>Margens indicativas dos demais produtos (traço mais rico no estrutural/paver — estudo §13.2)</t>
        </is>
      </c>
    </row>
    <row r="18">
      <c r="A18" s="17" t="inlineStr">
        <is>
          <t>Produto</t>
        </is>
      </c>
      <c r="B18" s="17" t="inlineStr">
        <is>
          <t>PV (R$)</t>
        </is>
      </c>
      <c r="C18" s="17" t="inlineStr">
        <is>
          <t>CV total (R$)</t>
        </is>
      </c>
      <c r="D18" s="17" t="inlineStr">
        <is>
          <t>MC (R$)</t>
        </is>
      </c>
      <c r="E18" s="17" t="inlineStr">
        <is>
          <t>MC (%)</t>
        </is>
      </c>
    </row>
    <row r="19">
      <c r="A19" s="6" t="inlineStr">
        <is>
          <t>Bloco 9 vedação</t>
        </is>
      </c>
      <c r="B19" s="22">
        <f>Premissas!$B$13</f>
        <v/>
      </c>
      <c r="C19" s="9" t="n">
        <v>2.05</v>
      </c>
      <c r="D19" s="23">
        <f>B19-C19</f>
        <v/>
      </c>
      <c r="E19" s="25">
        <f>D19/B19</f>
        <v/>
      </c>
    </row>
    <row r="20">
      <c r="A20" s="6" t="inlineStr">
        <is>
          <t>Bloco 14 estrutural fbk 6–8</t>
        </is>
      </c>
      <c r="B20" s="22">
        <f>Premissas!$B$12</f>
        <v/>
      </c>
      <c r="C20" s="9" t="n">
        <v>2.6</v>
      </c>
      <c r="D20" s="23">
        <f>B20-C20</f>
        <v/>
      </c>
      <c r="E20" s="25">
        <f>D20/B20</f>
        <v/>
      </c>
    </row>
    <row r="21">
      <c r="A21" s="6" t="inlineStr">
        <is>
          <t>Bloco 19 estrutural</t>
        </is>
      </c>
      <c r="B21" s="22">
        <f>Premissas!$B$14</f>
        <v/>
      </c>
      <c r="C21" s="9" t="n">
        <v>3.3</v>
      </c>
      <c r="D21" s="23">
        <f>B21-C21</f>
        <v/>
      </c>
      <c r="E21" s="25">
        <f>D21/B21</f>
        <v/>
      </c>
    </row>
    <row r="22">
      <c r="A22" s="6" t="inlineStr">
        <is>
          <t>Paver e=6 (m²)</t>
        </is>
      </c>
      <c r="B22" s="22">
        <f>Premissas!$B$15</f>
        <v/>
      </c>
      <c r="C22" s="9" t="n">
        <v>30</v>
      </c>
      <c r="D22" s="23">
        <f>B22-C22</f>
        <v/>
      </c>
      <c r="E22" s="25">
        <f>D22/B22</f>
        <v/>
      </c>
    </row>
  </sheetData>
  <mergeCells count="2">
    <mergeCell ref="A17:D17"/>
    <mergeCell ref="A3:B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</cols>
  <sheetData>
    <row r="1">
      <c r="A1" s="1" t="inlineStr">
        <is>
          <t>CENÁRIOS DE UTILIZAÇÃO (1 turno) — RECEITA, EBITDA E PONTO DE EQUILÍBRIO</t>
        </is>
      </c>
    </row>
    <row r="3">
      <c r="A3" s="26" t="inlineStr">
        <is>
          <t>Receita anual a 100% de 1 turno (mix do estudo §5.4/§13):</t>
        </is>
      </c>
      <c r="B3" s="13" t="n">
        <v>7000000</v>
      </c>
      <c r="C3" s="2" t="inlineStr">
        <is>
          <t>mix: 60% bloco14 (ved+estr), 15% bloco 9, 10% bloco 19/canaleta, 15% paver</t>
        </is>
      </c>
    </row>
    <row r="5">
      <c r="A5" s="17" t="inlineStr">
        <is>
          <t>Cenário</t>
        </is>
      </c>
      <c r="B5" s="17" t="inlineStr">
        <is>
          <t>Utilização</t>
        </is>
      </c>
      <c r="C5" s="17" t="inlineStr">
        <is>
          <t>Receita anual</t>
        </is>
      </c>
      <c r="D5" s="17" t="inlineStr">
        <is>
          <t>Margem contribuição</t>
        </is>
      </c>
      <c r="E5" s="17" t="inlineStr">
        <is>
          <t>Custos fixos ano</t>
        </is>
      </c>
      <c r="F5" s="17" t="inlineStr">
        <is>
          <t>EBITDA</t>
        </is>
      </c>
      <c r="G5" s="17" t="inlineStr">
        <is>
          <t>EBITDA – dívida FNE</t>
        </is>
      </c>
    </row>
    <row r="6">
      <c r="A6" s="6" t="inlineStr">
        <is>
          <t>Pessimista (ano 1 fraco)</t>
        </is>
      </c>
      <c r="B6" s="14" t="n">
        <v>0.35</v>
      </c>
      <c r="C6" s="27">
        <f>$B$3*B6</f>
        <v/>
      </c>
      <c r="D6" s="28">
        <f>C6*Premissas!$B$27</f>
        <v/>
      </c>
      <c r="E6" s="28">
        <f>Premissas!$B$26*12</f>
        <v/>
      </c>
      <c r="F6" s="27">
        <f>D6-E6</f>
        <v/>
      </c>
      <c r="G6" s="27">
        <f>F6-Premissas!$B$28*12</f>
        <v/>
      </c>
    </row>
    <row r="7">
      <c r="A7" s="6" t="inlineStr">
        <is>
          <t>Base ano 1</t>
        </is>
      </c>
      <c r="B7" s="14" t="n">
        <v>0.425</v>
      </c>
      <c r="C7" s="27">
        <f>$B$3*B7</f>
        <v/>
      </c>
      <c r="D7" s="28">
        <f>C7*Premissas!$B$27</f>
        <v/>
      </c>
      <c r="E7" s="28">
        <f>Premissas!$B$26*12</f>
        <v/>
      </c>
      <c r="F7" s="27">
        <f>D7-E7</f>
        <v/>
      </c>
      <c r="G7" s="27">
        <f>F7-Premissas!$B$28*12</f>
        <v/>
      </c>
    </row>
    <row r="8">
      <c r="A8" s="6" t="inlineStr">
        <is>
          <t>Base ano 2</t>
        </is>
      </c>
      <c r="B8" s="14" t="n">
        <v>0.6</v>
      </c>
      <c r="C8" s="27">
        <f>$B$3*B8</f>
        <v/>
      </c>
      <c r="D8" s="28">
        <f>C8*Premissas!$B$27</f>
        <v/>
      </c>
      <c r="E8" s="28">
        <f>Premissas!$B$26*12</f>
        <v/>
      </c>
      <c r="F8" s="27">
        <f>D8-E8</f>
        <v/>
      </c>
      <c r="G8" s="27">
        <f>F8-Premissas!$B$28*12</f>
        <v/>
      </c>
    </row>
    <row r="9">
      <c r="A9" s="6" t="inlineStr">
        <is>
          <t>Base ano 3 (regime)</t>
        </is>
      </c>
      <c r="B9" s="14" t="n">
        <v>0.775</v>
      </c>
      <c r="C9" s="27">
        <f>$B$3*B9</f>
        <v/>
      </c>
      <c r="D9" s="28">
        <f>C9*Premissas!$B$27</f>
        <v/>
      </c>
      <c r="E9" s="28">
        <f>Premissas!$B$26*12</f>
        <v/>
      </c>
      <c r="F9" s="27">
        <f>D9-E9</f>
        <v/>
      </c>
      <c r="G9" s="27">
        <f>F9-Premissas!$B$28*12</f>
        <v/>
      </c>
    </row>
    <row r="10">
      <c r="A10" s="6" t="inlineStr">
        <is>
          <t>Pleno 1 turno</t>
        </is>
      </c>
      <c r="B10" s="14" t="n">
        <v>0.95</v>
      </c>
      <c r="C10" s="27">
        <f>$B$3*B10</f>
        <v/>
      </c>
      <c r="D10" s="28">
        <f>C10*Premissas!$B$27</f>
        <v/>
      </c>
      <c r="E10" s="28">
        <f>Premissas!$B$26*12</f>
        <v/>
      </c>
      <c r="F10" s="27">
        <f>D10-E10</f>
        <v/>
      </c>
      <c r="G10" s="27">
        <f>F10-Premissas!$B$28*12</f>
        <v/>
      </c>
    </row>
    <row r="13">
      <c r="A13" s="21" t="inlineStr">
        <is>
          <t>Ponto de equilíbrio</t>
        </is>
      </c>
    </row>
    <row r="14">
      <c r="A14" s="6" t="inlineStr">
        <is>
          <t>Receita de equilíbrio operacional (R$/mês)</t>
        </is>
      </c>
      <c r="B14" s="27">
        <f>Premissas!$B$26/Premissas!$B$27</f>
        <v/>
      </c>
    </row>
    <row r="15">
      <c r="A15" s="6" t="inlineStr">
        <is>
          <t>Equilíbrio operacional (% da capacidade de 1 turno)</t>
        </is>
      </c>
      <c r="B15" s="25">
        <f>B14*12/$B$3</f>
        <v/>
      </c>
    </row>
    <row r="16">
      <c r="A16" s="6" t="inlineStr">
        <is>
          <t>Receita de equilíbrio com dívida FNE (R$/mês)</t>
        </is>
      </c>
      <c r="B16" s="27">
        <f>(Premissas!$B$26+Premissas!$B$28)/Premissas!$B$27</f>
        <v/>
      </c>
    </row>
    <row r="17">
      <c r="A17" s="6" t="inlineStr">
        <is>
          <t>Equilíbrio com dívida (% da capacidade de 1 turno)</t>
        </is>
      </c>
      <c r="B17" s="25">
        <f>B16*12/$B$3</f>
        <v/>
      </c>
    </row>
  </sheetData>
  <mergeCells count="1">
    <mergeCell ref="A13:C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44" customWidth="1" min="3" max="3"/>
  </cols>
  <sheetData>
    <row r="1">
      <c r="A1" s="1" t="inlineStr">
        <is>
          <t>INVESTIMENTO TOTAL DO PROJETO (valores médios das faixas do estudo §13.1)</t>
        </is>
      </c>
    </row>
    <row r="3">
      <c r="A3" s="17" t="inlineStr">
        <is>
          <t>Item</t>
        </is>
      </c>
      <c r="B3" s="17" t="inlineStr">
        <is>
          <t>Valor (R$)</t>
        </is>
      </c>
      <c r="C3" s="17" t="inlineStr">
        <is>
          <t>Observação</t>
        </is>
      </c>
    </row>
    <row r="4">
      <c r="A4" s="6" t="inlineStr">
        <is>
          <t>Linha Gervasi XP350 completa (proposta REV00 12/05/2026)</t>
        </is>
      </c>
      <c r="B4" s="13" t="n">
        <v>2723000</v>
      </c>
      <c r="C4" s="8" t="inlineStr">
        <is>
          <t>contratada; R$ 600 mil pagos</t>
        </is>
      </c>
    </row>
    <row r="5">
      <c r="A5" s="6" t="inlineStr">
        <is>
          <t>Galpão industrial ≈1.500 m² + piso + fundações</t>
        </is>
      </c>
      <c r="B5" s="13" t="n">
        <v>2250000</v>
      </c>
      <c r="C5" s="8" t="inlineStr">
        <is>
          <t>R$ 1.250–1.900/m² (média adotada 1.500)</t>
        </is>
      </c>
    </row>
    <row r="6">
      <c r="A6" s="6" t="inlineStr">
        <is>
          <t>Terraplanagem, pátio, acessos, cerca, água</t>
        </is>
      </c>
      <c r="B6" s="13" t="n">
        <v>450000</v>
      </c>
      <c r="C6" s="8" t="inlineStr">
        <is>
          <t>faixa 350–550 mil</t>
        </is>
      </c>
    </row>
    <row r="7">
      <c r="A7" s="6" t="inlineStr">
        <is>
          <t>Entrada de energia MT + instalações elétricas</t>
        </is>
      </c>
      <c r="B7" s="13" t="n">
        <v>150000</v>
      </c>
      <c r="C7" s="8" t="inlineStr">
        <is>
          <t>subestação simplificada EDP ≤300 kVA</t>
        </is>
      </c>
    </row>
    <row r="8">
      <c r="A8" s="6" t="inlineStr">
        <is>
          <t>Bandejas (≈5.000) + gaiolas de cura + pallets</t>
        </is>
      </c>
      <c r="B8" s="13" t="n">
        <v>350000</v>
      </c>
      <c r="C8" s="8" t="inlineStr">
        <is>
          <t>faixa 280–420 mil — item não incluso na proposta</t>
        </is>
      </c>
    </row>
    <row r="9">
      <c r="A9" s="6" t="inlineStr">
        <is>
          <t>Pá carregadeira + empilhadeira (seminovas)</t>
        </is>
      </c>
      <c r="B9" s="13" t="n">
        <v>350000</v>
      </c>
      <c r="C9" s="8" t="inlineStr">
        <is>
          <t>faixa 280–420 mil</t>
        </is>
      </c>
    </row>
    <row r="10">
      <c r="A10" s="6" t="inlineStr">
        <is>
          <t>Compressor, ferramentas, laboratório interno, EPIs</t>
        </is>
      </c>
      <c r="B10" s="13" t="n">
        <v>75000</v>
      </c>
      <c r="C10" s="8" t="inlineStr">
        <is>
          <t>faixa 60–90 mil</t>
        </is>
      </c>
    </row>
    <row r="11">
      <c r="A11" s="6" t="inlineStr">
        <is>
          <t>Licenças, projetos, ART, consultorias, seguros</t>
        </is>
      </c>
      <c r="B11" s="13" t="n">
        <v>80000</v>
      </c>
      <c r="C11" s="8" t="inlineStr">
        <is>
          <t>faixa 60–100 mil</t>
        </is>
      </c>
    </row>
    <row r="12">
      <c r="A12" s="6" t="inlineStr">
        <is>
          <t>Montagem, frete FOB Içara-SC, startup</t>
        </is>
      </c>
      <c r="B12" s="13" t="n">
        <v>150000</v>
      </c>
      <c r="C12" s="8" t="inlineStr">
        <is>
          <t>faixa 120–180 mil</t>
        </is>
      </c>
    </row>
    <row r="13">
      <c r="A13" s="24" t="inlineStr">
        <is>
          <t>SUBTOTAL CAPEX</t>
        </is>
      </c>
      <c r="B13" s="27">
        <f>SUM(B4:B12)</f>
        <v/>
      </c>
    </row>
    <row r="14">
      <c r="A14" s="6" t="inlineStr">
        <is>
          <t>Capital de giro inicial</t>
        </is>
      </c>
      <c r="B14" s="13" t="n">
        <v>800000</v>
      </c>
      <c r="C14" s="8" t="inlineStr">
        <is>
          <t>faixa 700–900 mil — ciclo financeiro 45–60 dias</t>
        </is>
      </c>
    </row>
    <row r="15">
      <c r="A15" s="24" t="inlineStr">
        <is>
          <t>INVESTIMENTO TOTAL</t>
        </is>
      </c>
      <c r="B15" s="29">
        <f>B13+B14</f>
        <v/>
      </c>
    </row>
    <row r="17">
      <c r="A17" s="3" t="inlineStr">
        <is>
          <t>Funding indicativo</t>
        </is>
      </c>
      <c r="B17" s="4" t="n"/>
      <c r="C17" s="5" t="n"/>
    </row>
    <row r="18">
      <c r="A18" s="6" t="inlineStr">
        <is>
          <t>FNE/BNB (equipamentos + obras civis financiáveis)</t>
        </is>
      </c>
      <c r="B18" s="27">
        <f>0.65*B15</f>
        <v/>
      </c>
      <c r="C18" s="8" t="inlineStr">
        <is>
          <t>≈65% — calibrar no projeto de crédito</t>
        </is>
      </c>
    </row>
    <row r="19">
      <c r="A19" s="6" t="inlineStr">
        <is>
          <t>Recursos próprios (capital social subscrito R$ 7,5 mi)</t>
        </is>
      </c>
      <c r="B19" s="27">
        <f>B15-B18</f>
        <v/>
      </c>
    </row>
  </sheetData>
  <mergeCells count="1">
    <mergeCell ref="A17:C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2026-08-16T13:34:55Z</dcterms:created>
  <dcterms:modified xmlns:dcterms="http://purl.org/dc/terms/" xmlns:xsi="http://www.w3.org/2001/XMLSchema-instance" xsi:type="dcterms:W3CDTF">2026-08-16T13:34:55Z</dcterms:modified>
</cp:coreProperties>
</file>