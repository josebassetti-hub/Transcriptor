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missas" sheetId="1" state="visible" r:id="rId1"/>
    <sheet xmlns:r="http://schemas.openxmlformats.org/officeDocument/2006/relationships" name="Mix e Plano" sheetId="2" state="visible" r:id="rId2"/>
    <sheet xmlns:r="http://schemas.openxmlformats.org/officeDocument/2006/relationships" name="Custo Unitário" sheetId="3" state="visible" r:id="rId3"/>
    <sheet xmlns:r="http://schemas.openxmlformats.org/officeDocument/2006/relationships" name="Cenários e DSCR" sheetId="4" state="visible" r:id="rId4"/>
    <sheet xmlns:r="http://schemas.openxmlformats.org/officeDocument/2006/relationships" name="CAPEX e Fundin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"/>
    <numFmt numFmtId="165" formatCode="0.0%"/>
    <numFmt numFmtId="166" formatCode="R$ #,##0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11"/>
    </font>
    <font>
      <name val="Arial"/>
    </font>
    <font>
      <name val="Arial"/>
      <color rgb="000000FF"/>
    </font>
    <font>
      <name val="Arial"/>
      <b val="1"/>
      <color rgb="00FFFFFF"/>
    </font>
    <font>
      <name val="Arial"/>
      <color rgb="00008000"/>
    </font>
  </fonts>
  <fills count="5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F00"/>
      </patternFill>
    </fill>
    <fill>
      <patternFill patternType="solid">
        <fgColor rgb="001F4E5F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3" fontId="5" fillId="0" borderId="1" pivotButton="0" quotePrefix="0" xfId="0"/>
    <xf numFmtId="0" fontId="2" fillId="0" borderId="1" pivotButton="0" quotePrefix="0" xfId="0"/>
    <xf numFmtId="3" fontId="5" fillId="3" borderId="1" pivotButton="0" quotePrefix="0" xfId="0"/>
    <xf numFmtId="164" fontId="5" fillId="0" borderId="1" pivotButton="0" quotePrefix="0" xfId="0"/>
    <xf numFmtId="165" fontId="5" fillId="3" borderId="1" pivotButton="0" quotePrefix="0" xfId="0"/>
    <xf numFmtId="165" fontId="5" fillId="0" borderId="1" pivotButton="0" quotePrefix="0" xfId="0"/>
    <xf numFmtId="166" fontId="5" fillId="0" borderId="1" pivotButton="0" quotePrefix="0" xfId="0"/>
    <xf numFmtId="166" fontId="5" fillId="3" borderId="1" pivotButton="0" quotePrefix="0" xfId="0"/>
    <xf numFmtId="0" fontId="6" fillId="4" borderId="1" applyAlignment="1" pivotButton="0" quotePrefix="0" xfId="0">
      <alignment horizontal="center" wrapText="1"/>
    </xf>
    <xf numFmtId="3" fontId="7" fillId="0" borderId="1" pivotButton="0" quotePrefix="0" xfId="0"/>
    <xf numFmtId="167" fontId="4" fillId="0" borderId="1" pivotButton="0" quotePrefix="0" xfId="0"/>
    <xf numFmtId="164" fontId="7" fillId="0" borderId="1" pivotButton="0" quotePrefix="0" xfId="0"/>
    <xf numFmtId="166" fontId="4" fillId="0" borderId="1" pivotButton="0" quotePrefix="0" xfId="0"/>
    <xf numFmtId="165" fontId="4" fillId="0" borderId="1" pivotButton="0" quotePrefix="0" xfId="0"/>
    <xf numFmtId="0" fontId="3" fillId="0" borderId="1" pivotButton="0" quotePrefix="0" xfId="0"/>
    <xf numFmtId="166" fontId="4" fillId="3" borderId="1" pivotButton="0" quotePrefix="0" xfId="0"/>
    <xf numFmtId="167" fontId="7" fillId="0" borderId="1" pivotButton="0" quotePrefix="0" xfId="0"/>
    <xf numFmtId="165" fontId="7" fillId="0" borderId="1" pivotButton="0" quotePrefix="0" xfId="0"/>
    <xf numFmtId="164" fontId="4" fillId="0" borderId="1" pivotButton="0" quotePrefix="0" xfId="0"/>
    <xf numFmtId="166" fontId="7" fillId="0" borderId="1" pivotButton="0" quotePrefix="0" xfId="0"/>
    <xf numFmtId="2" fontId="4" fillId="0" borderId="1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30" customWidth="1" min="3" max="3"/>
    <col width="30" customWidth="1" min="4" max="4"/>
    <col width="30" customWidth="1" min="5" max="5"/>
  </cols>
  <sheetData>
    <row r="1">
      <c r="A1" s="1" t="inlineStr">
        <is>
          <t>GTK PRÉ-MOLDADOS — PREMISSAS (edite as células AZUIS; amarelas = premissas-chave)</t>
        </is>
      </c>
    </row>
    <row r="2">
      <c r="A2" s="2" t="inlineStr">
        <is>
          <t>Fontes: proposta Gervasi REV00 12/05/2026; SINAPI-ES 06/2026; Estudo de Mercado v3 ago/2026 (refs. em fontes.md)</t>
        </is>
      </c>
    </row>
    <row r="4">
      <c r="A4" s="3" t="inlineStr">
        <is>
          <t>Produção XP350 (por turno de 8h, fator 90% — proposta Gervasi)</t>
        </is>
      </c>
      <c r="B4" s="4" t="n"/>
      <c r="C4" s="4" t="n"/>
      <c r="D4" s="4" t="n"/>
      <c r="E4" s="5" t="n"/>
    </row>
    <row r="5">
      <c r="A5" s="6" t="inlineStr">
        <is>
          <t>Bloco 14x19x39 — peças/turno</t>
        </is>
      </c>
      <c r="B5" s="7" t="n">
        <v>7020</v>
      </c>
      <c r="C5" s="8" t="inlineStr">
        <is>
          <t>Proposta Gervasi p.3</t>
        </is>
      </c>
      <c r="D5" s="4" t="n"/>
      <c r="E5" s="5" t="n"/>
    </row>
    <row r="6">
      <c r="A6" s="6" t="inlineStr">
        <is>
          <t>Bloco 9x19x39 — peças/turno</t>
        </is>
      </c>
      <c r="B6" s="7" t="n">
        <v>10530</v>
      </c>
      <c r="C6" s="8" t="inlineStr">
        <is>
          <t>Proposta Gervasi p.3</t>
        </is>
      </c>
      <c r="D6" s="4" t="n"/>
      <c r="E6" s="5" t="n"/>
    </row>
    <row r="7">
      <c r="A7" s="6" t="inlineStr">
        <is>
          <t>Bloco 19x19x39 — peças/turno</t>
        </is>
      </c>
      <c r="B7" s="7" t="n">
        <v>5265</v>
      </c>
      <c r="C7" s="8" t="inlineStr">
        <is>
          <t>Proposta Gervasi p.3</t>
        </is>
      </c>
      <c r="D7" s="4" t="n"/>
      <c r="E7" s="5" t="n"/>
    </row>
    <row r="8">
      <c r="A8" s="6" t="inlineStr">
        <is>
          <t>Paver H6 — m²/turno</t>
        </is>
      </c>
      <c r="B8" s="7" t="n">
        <v>530</v>
      </c>
      <c r="C8" s="8" t="inlineStr">
        <is>
          <t>Proposta Gervasi p.3 (ver estudo §3.3)</t>
        </is>
      </c>
      <c r="D8" s="4" t="n"/>
      <c r="E8" s="5" t="n"/>
    </row>
    <row r="9">
      <c r="A9" s="3" t="inlineStr">
        <is>
          <t>Calendário e capacidade efetiva (estudo §3.7)</t>
        </is>
      </c>
      <c r="B9" s="4" t="n"/>
      <c r="C9" s="4" t="n"/>
      <c r="D9" s="4" t="n"/>
      <c r="E9" s="5" t="n"/>
    </row>
    <row r="10">
      <c r="A10" s="6" t="inlineStr">
        <is>
          <t>Dias úteis na planta (2027, já sem feriados locais)</t>
        </is>
      </c>
      <c r="B10" s="7" t="n">
        <v>249</v>
      </c>
      <c r="C10" s="8" t="inlineStr">
        <is>
          <t>252 nacionais − 3 locais [141][142]</t>
        </is>
      </c>
      <c r="D10" s="4" t="n"/>
      <c r="E10" s="5" t="n"/>
    </row>
    <row r="11">
      <c r="A11" s="6" t="inlineStr">
        <is>
          <t>Dias efetivos de produção vendável/ano (OEE ~76%)</t>
        </is>
      </c>
      <c r="B11" s="9" t="n">
        <v>210</v>
      </c>
      <c r="C11" s="8" t="inlineStr">
        <is>
          <t>cascata §3.7: manutenção, trocas, corretivas, refugo</t>
        </is>
      </c>
      <c r="D11" s="4" t="n"/>
      <c r="E11" s="5" t="n"/>
    </row>
    <row r="12">
      <c r="A12" s="3" t="inlineStr">
        <is>
          <t>Preços de venda posto fábrica</t>
        </is>
      </c>
      <c r="B12" s="4" t="n"/>
      <c r="C12" s="4" t="n"/>
      <c r="D12" s="4" t="n"/>
      <c r="E12" s="5" t="n"/>
    </row>
    <row r="13">
      <c r="A13" s="6" t="inlineStr">
        <is>
          <t>Bloco 14 vedação (R$/un)</t>
        </is>
      </c>
      <c r="B13" s="10" t="n">
        <v>3.3</v>
      </c>
      <c r="C13" s="8" t="inlineStr">
        <is>
          <t>Estudo §6.4</t>
        </is>
      </c>
      <c r="D13" s="4" t="n"/>
      <c r="E13" s="5" t="n"/>
    </row>
    <row r="14">
      <c r="A14" s="6" t="inlineStr">
        <is>
          <t>Bloco 14 estrutural fbk 6–8 (R$/un)</t>
        </is>
      </c>
      <c r="B14" s="10" t="n">
        <v>4.5</v>
      </c>
      <c r="C14" s="8" t="inlineStr">
        <is>
          <t>Estudo §6.4</t>
        </is>
      </c>
      <c r="D14" s="4" t="n"/>
      <c r="E14" s="5" t="n"/>
    </row>
    <row r="15">
      <c r="A15" s="6" t="inlineStr">
        <is>
          <t>Bloco 9 vedação (R$/un)</t>
        </is>
      </c>
      <c r="B15" s="10" t="n">
        <v>2.8</v>
      </c>
      <c r="C15" s="8" t="inlineStr">
        <is>
          <t>Estudo §6.4</t>
        </is>
      </c>
      <c r="D15" s="4" t="n"/>
      <c r="E15" s="5" t="n"/>
    </row>
    <row r="16">
      <c r="A16" s="6" t="inlineStr">
        <is>
          <t>Bloco 19/canaleta (R$/un)</t>
        </is>
      </c>
      <c r="B16" s="10" t="n">
        <v>5.5</v>
      </c>
      <c r="C16" s="8" t="inlineStr">
        <is>
          <t>Estudo §6.4</t>
        </is>
      </c>
      <c r="D16" s="4" t="n"/>
      <c r="E16" s="5" t="n"/>
    </row>
    <row r="17">
      <c r="A17" s="6" t="inlineStr">
        <is>
          <t>Paver 35 MPa e=6 (R$/m²)</t>
        </is>
      </c>
      <c r="B17" s="10" t="n">
        <v>57</v>
      </c>
      <c r="C17" s="8" t="inlineStr">
        <is>
          <t>Estudo §6.4</t>
        </is>
      </c>
      <c r="D17" s="4" t="n"/>
      <c r="E17" s="5" t="n"/>
    </row>
    <row r="18">
      <c r="A18" s="3" t="inlineStr">
        <is>
          <t>Custos variáveis industriais (sem tributos/frete)</t>
        </is>
      </c>
      <c r="B18" s="4" t="n"/>
      <c r="C18" s="4" t="n"/>
      <c r="D18" s="4" t="n"/>
      <c r="E18" s="5" t="n"/>
    </row>
    <row r="19">
      <c r="A19" s="6" t="inlineStr">
        <is>
          <t>CV industrial — bloco 14 vedação (R$/un)</t>
        </is>
      </c>
      <c r="B19" s="10" t="n">
        <v>1.85</v>
      </c>
      <c r="C19" s="8" t="inlineStr">
        <is>
          <t>Estudo §13.2 (cimento 0,55 + agregados 0,89 + MO/energia/manut.)</t>
        </is>
      </c>
      <c r="D19" s="4" t="n"/>
      <c r="E19" s="5" t="n"/>
    </row>
    <row r="20">
      <c r="A20" s="6" t="inlineStr">
        <is>
          <t>CV industrial — bloco 14 estrutural (R$/un)</t>
        </is>
      </c>
      <c r="B20" s="10" t="n">
        <v>2.1</v>
      </c>
      <c r="C20" s="8" t="inlineStr">
        <is>
          <t>traço mais rico</t>
        </is>
      </c>
      <c r="D20" s="4" t="n"/>
      <c r="E20" s="5" t="n"/>
    </row>
    <row r="21">
      <c r="A21" s="6" t="inlineStr">
        <is>
          <t>CV industrial — bloco 9 (R$/un)</t>
        </is>
      </c>
      <c r="B21" s="10" t="n">
        <v>1.45</v>
      </c>
      <c r="C21" s="8" t="inlineStr">
        <is>
          <t>proporcional ao volume de concreto</t>
        </is>
      </c>
      <c r="D21" s="4" t="n"/>
      <c r="E21" s="5" t="n"/>
    </row>
    <row r="22">
      <c r="A22" s="6" t="inlineStr">
        <is>
          <t>CV industrial — bloco 19/canaleta (R$/un)</t>
        </is>
      </c>
      <c r="B22" s="10" t="n">
        <v>2.45</v>
      </c>
      <c r="C22" s="8" t="inlineStr">
        <is>
          <t>proporcional</t>
        </is>
      </c>
      <c r="D22" s="4" t="n"/>
      <c r="E22" s="5" t="n"/>
    </row>
    <row r="23">
      <c r="A23" s="6" t="inlineStr">
        <is>
          <t>CV industrial — paver e=6 (R$/m²)</t>
        </is>
      </c>
      <c r="B23" s="10" t="n">
        <v>24</v>
      </c>
      <c r="C23" s="8" t="inlineStr">
        <is>
          <t>incl. pigmento parcial</t>
        </is>
      </c>
      <c r="D23" s="4" t="n"/>
      <c r="E23" s="5" t="n"/>
    </row>
    <row r="24">
      <c r="A24" s="3" t="inlineStr">
        <is>
          <t>Tributos e comercial</t>
        </is>
      </c>
      <c r="B24" s="4" t="n"/>
      <c r="C24" s="4" t="n"/>
      <c r="D24" s="4" t="n"/>
      <c r="E24" s="5" t="n"/>
    </row>
    <row r="25">
      <c r="A25" s="6" t="inlineStr">
        <is>
          <t>Carga tributária s/ receita (premissa conservadora)</t>
        </is>
      </c>
      <c r="B25" s="11" t="n">
        <v>0.15</v>
      </c>
      <c r="C25" s="8" t="inlineStr">
        <is>
          <t>cobre Simples Anexo II topo (15% [140]) e L. Presumido típico — definir c/ contador</t>
        </is>
      </c>
      <c r="D25" s="4" t="n"/>
      <c r="E25" s="5" t="n"/>
    </row>
    <row r="26">
      <c r="A26" s="6" t="inlineStr">
        <is>
          <t>Frete médio embutido s/ receita</t>
        </is>
      </c>
      <c r="B26" s="12" t="n">
        <v>0.045</v>
      </c>
      <c r="C26" s="8" t="inlineStr">
        <is>
          <t>parcela CIF do mix</t>
        </is>
      </c>
      <c r="D26" s="4" t="n"/>
      <c r="E26" s="5" t="n"/>
    </row>
    <row r="27">
      <c r="A27" s="6" t="inlineStr">
        <is>
          <t>MC média adotada (% receita)</t>
        </is>
      </c>
      <c r="B27" s="11" t="n">
        <v>0.3</v>
      </c>
      <c r="C27" s="8" t="inlineStr">
        <is>
          <t>derivada 31,2% na aba 'Mix e Plano' — adotada 30% (conservadora)</t>
        </is>
      </c>
      <c r="D27" s="4" t="n"/>
      <c r="E27" s="5" t="n"/>
    </row>
    <row r="28">
      <c r="A28" s="3" t="inlineStr">
        <is>
          <t>Estrutura de resultado e dívida</t>
        </is>
      </c>
      <c r="B28" s="4" t="n"/>
      <c r="C28" s="4" t="n"/>
      <c r="D28" s="4" t="n"/>
      <c r="E28" s="5" t="n"/>
    </row>
    <row r="29">
      <c r="A29" s="6" t="inlineStr">
        <is>
          <t>Custo fixo desembolsável (R$/mês)</t>
        </is>
      </c>
      <c r="B29" s="13" t="n">
        <v>52000</v>
      </c>
      <c r="C29" s="8" t="inlineStr">
        <is>
          <t>Estudo §13.3</t>
        </is>
      </c>
      <c r="D29" s="4" t="n"/>
      <c r="E29" s="5" t="n"/>
    </row>
    <row r="30">
      <c r="A30" s="6" t="inlineStr">
        <is>
          <t>Serviço da dívida FNE (R$/mês, SAC pós-carência)</t>
        </is>
      </c>
      <c r="B30" s="13" t="n">
        <v>48000</v>
      </c>
      <c r="C30" s="8" t="inlineStr">
        <is>
          <t>recomendação §13.4: ~R$ 4,0–4,5 mi em 12 anos — substituir pela simulação BNB</t>
        </is>
      </c>
      <c r="D30" s="4" t="n"/>
      <c r="E30" s="5" t="n"/>
    </row>
    <row r="31">
      <c r="A31" s="6" t="inlineStr">
        <is>
          <t>TETO DE RECEITA — pequena empresa EPP (R$/ano)</t>
        </is>
      </c>
      <c r="B31" s="14" t="n">
        <v>4800000</v>
      </c>
      <c r="C31" s="8" t="inlineStr">
        <is>
          <t>LC 123/2006, art. 3º, II [139]</t>
        </is>
      </c>
      <c r="D31" s="4" t="n"/>
      <c r="E31" s="5" t="n"/>
    </row>
  </sheetData>
  <mergeCells count="28">
    <mergeCell ref="C16:E16"/>
    <mergeCell ref="A24:E24"/>
    <mergeCell ref="C31:E31"/>
    <mergeCell ref="C22:E22"/>
    <mergeCell ref="C21:E21"/>
    <mergeCell ref="C11:E11"/>
    <mergeCell ref="C27:E27"/>
    <mergeCell ref="C23:E23"/>
    <mergeCell ref="C8:E8"/>
    <mergeCell ref="C17:E17"/>
    <mergeCell ref="C7:E7"/>
    <mergeCell ref="A18:E18"/>
    <mergeCell ref="A12:E12"/>
    <mergeCell ref="C13:E13"/>
    <mergeCell ref="C19:E19"/>
    <mergeCell ref="C30:E30"/>
    <mergeCell ref="C15:E15"/>
    <mergeCell ref="C6:E6"/>
    <mergeCell ref="A4:E4"/>
    <mergeCell ref="C14:E14"/>
    <mergeCell ref="C5:E5"/>
    <mergeCell ref="A28:E28"/>
    <mergeCell ref="C26:E26"/>
    <mergeCell ref="C29:E29"/>
    <mergeCell ref="C20:E20"/>
    <mergeCell ref="A9:E9"/>
    <mergeCell ref="C25:E25"/>
    <mergeCell ref="C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PLANO DE VENDAS — MIX PELA ABSORÇÃO DO MERCADO, LIMITADO AO TETO EPP (estudo §5.4)</t>
        </is>
      </c>
    </row>
    <row r="2">
      <c r="A2" s="2" t="inlineStr">
        <is>
          <t>Método em 3 passos: capacidade máxima por produto (§3.3) → horas alocadas na proporção do mercado → escala até o teto de R$ 4,8 mi. Volumes em AZUL.</t>
        </is>
      </c>
    </row>
    <row r="3">
      <c r="A3" s="15" t="inlineStr">
        <is>
          <t>Produto</t>
        </is>
      </c>
      <c r="B3" s="15" t="inlineStr">
        <is>
          <t>% do mercado (valor)</t>
        </is>
      </c>
      <c r="C3" s="15" t="inlineStr">
        <is>
          <t>Vendas/ano (un ou m²)</t>
        </is>
      </c>
      <c r="D3" s="15" t="inlineStr">
        <is>
          <t>Capacidade/turno</t>
        </is>
      </c>
      <c r="E3" s="15" t="inlineStr">
        <is>
          <t>Dias de produção</t>
        </is>
      </c>
      <c r="F3" s="15" t="inlineStr">
        <is>
          <t>Preço (R$)</t>
        </is>
      </c>
      <c r="G3" s="15" t="inlineStr">
        <is>
          <t>Receita (R$)</t>
        </is>
      </c>
      <c r="H3" s="15" t="inlineStr">
        <is>
          <t>% da receita</t>
        </is>
      </c>
      <c r="I3" s="15" t="inlineStr">
        <is>
          <t>MC do produto (%)</t>
        </is>
      </c>
      <c r="J3" s="15" t="inlineStr">
        <is>
          <t>MC (R$)</t>
        </is>
      </c>
    </row>
    <row r="4">
      <c r="A4" s="6" t="inlineStr">
        <is>
          <t>Bloco 14 vedação</t>
        </is>
      </c>
      <c r="B4" s="12" t="n">
        <v>0.36</v>
      </c>
      <c r="C4" s="7" t="n">
        <v>522655</v>
      </c>
      <c r="D4" s="16">
        <f>Premissas!$B$5</f>
        <v/>
      </c>
      <c r="E4" s="17">
        <f>C4/D4</f>
        <v/>
      </c>
      <c r="F4" s="18">
        <f>Premissas!$B$13</f>
        <v/>
      </c>
      <c r="G4" s="19">
        <f>C4*F4</f>
        <v/>
      </c>
      <c r="H4" s="20">
        <f>G4/$G$9</f>
        <v/>
      </c>
      <c r="I4" s="20">
        <f>(F4*(1-Premissas!$B$25-Premissas!$B$26)-Premissas!$B$19)/F4</f>
        <v/>
      </c>
      <c r="J4" s="19">
        <f>G4*I4</f>
        <v/>
      </c>
    </row>
    <row r="5">
      <c r="A5" s="6" t="inlineStr">
        <is>
          <t>Bloco 14 estrutural fbk 6–8</t>
        </is>
      </c>
      <c r="B5" s="12" t="n">
        <v>0.26</v>
      </c>
      <c r="C5" s="7" t="n">
        <v>276813</v>
      </c>
      <c r="D5" s="16">
        <f>Premissas!$B$5</f>
        <v/>
      </c>
      <c r="E5" s="17">
        <f>C5/D5</f>
        <v/>
      </c>
      <c r="F5" s="18">
        <f>Premissas!$B$14</f>
        <v/>
      </c>
      <c r="G5" s="19">
        <f>C5*F5</f>
        <v/>
      </c>
      <c r="H5" s="20">
        <f>G5/$G$9</f>
        <v/>
      </c>
      <c r="I5" s="20">
        <f>(F5*(1-Premissas!$B$25-Premissas!$B$26)-Premissas!$B$20)/F5</f>
        <v/>
      </c>
      <c r="J5" s="19">
        <f>G5*I5</f>
        <v/>
      </c>
    </row>
    <row r="6">
      <c r="A6" s="6" t="inlineStr">
        <is>
          <t>Bloco 9 vedação</t>
        </is>
      </c>
      <c r="B6" s="12" t="n">
        <v>0.09</v>
      </c>
      <c r="C6" s="7" t="n">
        <v>153996</v>
      </c>
      <c r="D6" s="16">
        <f>Premissas!$B$6</f>
        <v/>
      </c>
      <c r="E6" s="17">
        <f>C6/D6</f>
        <v/>
      </c>
      <c r="F6" s="18">
        <f>Premissas!$B$15</f>
        <v/>
      </c>
      <c r="G6" s="19">
        <f>C6*F6</f>
        <v/>
      </c>
      <c r="H6" s="20">
        <f>G6/$G$9</f>
        <v/>
      </c>
      <c r="I6" s="20">
        <f>(F6*(1-Premissas!$B$25-Premissas!$B$26)-Premissas!$B$21)/F6</f>
        <v/>
      </c>
      <c r="J6" s="19">
        <f>G6*I6</f>
        <v/>
      </c>
    </row>
    <row r="7">
      <c r="A7" s="6" t="inlineStr">
        <is>
          <t>Bloco 19 + canaletas</t>
        </is>
      </c>
      <c r="B7" s="12" t="n">
        <v>0.04</v>
      </c>
      <c r="C7" s="7" t="n">
        <v>34844</v>
      </c>
      <c r="D7" s="16">
        <f>Premissas!$B$7</f>
        <v/>
      </c>
      <c r="E7" s="17">
        <f>C7/D7</f>
        <v/>
      </c>
      <c r="F7" s="18">
        <f>Premissas!$B$16</f>
        <v/>
      </c>
      <c r="G7" s="19">
        <f>C7*F7</f>
        <v/>
      </c>
      <c r="H7" s="20">
        <f>G7/$G$9</f>
        <v/>
      </c>
      <c r="I7" s="20">
        <f>(F7*(1-Premissas!$B$25-Premissas!$B$26)-Premissas!$B$22)/F7</f>
        <v/>
      </c>
      <c r="J7" s="19">
        <f>G7*I7</f>
        <v/>
      </c>
    </row>
    <row r="8">
      <c r="A8" s="6" t="inlineStr">
        <is>
          <t>Paver 35 MPa e=6/8 (m²)</t>
        </is>
      </c>
      <c r="B8" s="12" t="n">
        <v>0.25</v>
      </c>
      <c r="C8" s="7" t="n">
        <v>21013</v>
      </c>
      <c r="D8" s="16">
        <f>Premissas!$B$8</f>
        <v/>
      </c>
      <c r="E8" s="17">
        <f>C8/D8</f>
        <v/>
      </c>
      <c r="F8" s="18">
        <f>Premissas!$B$17</f>
        <v/>
      </c>
      <c r="G8" s="19">
        <f>C8*F8</f>
        <v/>
      </c>
      <c r="H8" s="20">
        <f>G8/$G$9</f>
        <v/>
      </c>
      <c r="I8" s="20">
        <f>(F8*(1-Premissas!$B$25-Premissas!$B$26)-Premissas!$B$23)/F8</f>
        <v/>
      </c>
      <c r="J8" s="19">
        <f>G8*I8</f>
        <v/>
      </c>
    </row>
    <row r="9">
      <c r="A9" s="21" t="inlineStr">
        <is>
          <t>TOTAL — PLANO-BASE</t>
        </is>
      </c>
      <c r="B9" s="20">
        <f>SUM(B4:B8)</f>
        <v/>
      </c>
      <c r="E9" s="17">
        <f>SUM(E4:E8)</f>
        <v/>
      </c>
      <c r="G9" s="22">
        <f>SUM(G4:G8)</f>
        <v/>
      </c>
      <c r="J9" s="19">
        <f>SUM(J4:J8)</f>
        <v/>
      </c>
    </row>
    <row r="10">
      <c r="A10" s="21" t="inlineStr">
        <is>
          <t>Verificação do teto EPP (R$ 4,8 mi)</t>
        </is>
      </c>
      <c r="B10" s="6">
        <f>IF(G9&lt;=Premissas!$B$31,"OK — dentro do teto (folga de "&amp;TEXT(Premissas!$B$31-G9,"R$ #,##0")&amp;")","ULTRAPASSOU O TETO!")</f>
        <v/>
      </c>
      <c r="C10" s="4" t="n"/>
      <c r="D10" s="4" t="n"/>
      <c r="E10" s="5" t="n"/>
    </row>
    <row r="11">
      <c r="A11" s="6" t="inlineStr">
        <is>
          <t>R$ por dia de produção no mix</t>
        </is>
      </c>
      <c r="B11" s="19">
        <f>G9/E9</f>
        <v/>
      </c>
    </row>
    <row r="12">
      <c r="A12" s="21" t="inlineStr">
        <is>
          <t>CAPACIDADE EFETIVA anual (× dias efetivos §3.7)</t>
        </is>
      </c>
      <c r="B12" s="19">
        <f>(G9/E9)*Premissas!$B$11</f>
        <v/>
      </c>
    </row>
    <row r="13">
      <c r="A13" s="6" t="inlineStr">
        <is>
          <t>Utilização do plano-base (÷ capacidade efetiva)</t>
        </is>
      </c>
      <c r="B13" s="20">
        <f>G9/B12</f>
        <v/>
      </c>
    </row>
    <row r="14">
      <c r="A14" s="6" t="inlineStr">
        <is>
          <t>Folga (dias efetivos não usados)</t>
        </is>
      </c>
      <c r="B14" s="23">
        <f>Premissas!$B$11-E9</f>
        <v/>
      </c>
    </row>
    <row r="15">
      <c r="A15" s="6" t="inlineStr">
        <is>
          <t>MC média ponderada derivada (J9 ÷ G9)</t>
        </is>
      </c>
      <c r="B15" s="20">
        <f>J9/G9</f>
        <v/>
      </c>
    </row>
    <row r="16">
      <c r="A16" s="6" t="inlineStr">
        <is>
          <t>MC adotada no modelo (Premissas — conservadora)</t>
        </is>
      </c>
      <c r="B16" s="24">
        <f>Premissas!$B$27</f>
        <v/>
      </c>
    </row>
    <row r="18">
      <c r="A18" s="2" t="inlineStr">
        <is>
          <t>Nota: capacidade efetiva usa a célula B12 (=R$/dia × 210 dias efetivos). % de mercado por produto: paver 25% (R$ 3,9–8,3 mi de um SAM de 16–25 mi), estrutural+complementos 30%, vedação 45% — estudo §5.4/Apêndice A.</t>
        </is>
      </c>
    </row>
  </sheetData>
  <mergeCells count="1">
    <mergeCell ref="B10:E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CUSTO VARIÁVEL DETALHADO — BLOCO 14 VEDAÇÃO (demais produtos na aba 'Mix e Plano')</t>
        </is>
      </c>
    </row>
    <row r="3">
      <c r="A3" s="6" t="inlineStr">
        <is>
          <t>Cimento a granel: 1,00 kg × R$ 0,55/kg</t>
        </is>
      </c>
      <c r="B3" s="10" t="n">
        <v>0.55</v>
      </c>
      <c r="C3" s="8" t="inlineStr">
        <is>
          <t>1,05 kg ref. WM; Gervasi economiza até 15%; granel R$ 450/t + frete [93]</t>
        </is>
      </c>
      <c r="D3" s="4" t="n"/>
      <c r="E3" s="4" t="n"/>
      <c r="F3" s="5" t="n"/>
    </row>
    <row r="4">
      <c r="A4" s="6" t="inlineStr">
        <is>
          <t>Agregados: 0,0054 m³ × R$ 165/m³ (posto fábrica)</t>
        </is>
      </c>
      <c r="B4" s="10" t="n">
        <v>0.89</v>
      </c>
      <c r="C4" s="8" t="inlineStr">
        <is>
          <t>SINAPI-ES 06/2026 + frete [11]</t>
        </is>
      </c>
      <c r="D4" s="4" t="n"/>
      <c r="E4" s="4" t="n"/>
      <c r="F4" s="5" t="n"/>
    </row>
    <row r="5">
      <c r="A5" s="6" t="inlineStr">
        <is>
          <t>Aditivo + energia + diesel</t>
        </is>
      </c>
      <c r="B5" s="10" t="n">
        <v>0.12</v>
      </c>
      <c r="C5" s="8" t="inlineStr">
        <is>
          <t>estudo §13.2</t>
        </is>
      </c>
      <c r="D5" s="4" t="n"/>
      <c r="E5" s="4" t="n"/>
      <c r="F5" s="5" t="n"/>
    </row>
    <row r="6">
      <c r="A6" s="6" t="inlineStr">
        <is>
          <t>Mão de obra direta (rateio)</t>
        </is>
      </c>
      <c r="B6" s="10" t="n">
        <v>0.21</v>
      </c>
      <c r="C6" s="8" t="inlineStr">
        <is>
          <t>R$ 32 mil/mês ÷ 154,4 mil blocos</t>
        </is>
      </c>
      <c r="D6" s="4" t="n"/>
      <c r="E6" s="4" t="n"/>
      <c r="F6" s="5" t="n"/>
    </row>
    <row r="7">
      <c r="A7" s="6" t="inlineStr">
        <is>
          <t>Manutenção e moldes (provisão)</t>
        </is>
      </c>
      <c r="B7" s="10" t="n">
        <v>0.08</v>
      </c>
      <c r="C7" s="8" t="inlineStr">
        <is>
          <t>estudo §13.2</t>
        </is>
      </c>
      <c r="D7" s="4" t="n"/>
      <c r="E7" s="4" t="n"/>
      <c r="F7" s="5" t="n"/>
    </row>
    <row r="8">
      <c r="A8" s="21" t="inlineStr">
        <is>
          <t>CV INDUSTRIAL (soma) → alimenta Premissas!B19</t>
        </is>
      </c>
      <c r="B8" s="25">
        <f>SUM(B3:B7)</f>
        <v/>
      </c>
    </row>
    <row r="9">
      <c r="A9" s="6" t="inlineStr">
        <is>
          <t>Tributos (15% × PV)</t>
        </is>
      </c>
      <c r="B9" s="18">
        <f>Premissas!$B$25*Premissas!$B$13</f>
        <v/>
      </c>
    </row>
    <row r="10">
      <c r="A10" s="6" t="inlineStr">
        <is>
          <t>Frete embutido (4,5% × PV)</t>
        </is>
      </c>
      <c r="B10" s="18">
        <f>Premissas!$B$26*Premissas!$B$13</f>
        <v/>
      </c>
    </row>
    <row r="11">
      <c r="A11" s="21" t="inlineStr">
        <is>
          <t>CUSTO VARIÁVEL TOTAL</t>
        </is>
      </c>
      <c r="B11" s="25">
        <f>B8+B9+B10</f>
        <v/>
      </c>
    </row>
    <row r="12">
      <c r="A12" s="6" t="inlineStr">
        <is>
          <t>Preço de venda</t>
        </is>
      </c>
      <c r="B12" s="18">
        <f>Premissas!$B$13</f>
        <v/>
      </c>
    </row>
    <row r="13">
      <c r="A13" s="21" t="inlineStr">
        <is>
          <t>MARGEM DE CONTRIBUIÇÃO (R$/un | %)</t>
        </is>
      </c>
      <c r="B13" s="25">
        <f>B12-B11</f>
        <v/>
      </c>
      <c r="C13" s="20">
        <f>B13/B12</f>
        <v/>
      </c>
    </row>
  </sheetData>
  <mergeCells count="5">
    <mergeCell ref="C3:F3"/>
    <mergeCell ref="C4:F4"/>
    <mergeCell ref="C6:F6"/>
    <mergeCell ref="C7:F7"/>
    <mergeCell ref="C5:F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4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CENÁRIOS (base = teto EPP), PONTO DE EQUILÍBRIO E CAPACIDADE DE PAGAMENTO</t>
        </is>
      </c>
    </row>
    <row r="3">
      <c r="A3" s="15" t="inlineStr">
        <is>
          <t>Cenário</t>
        </is>
      </c>
      <c r="B3" s="15" t="inlineStr">
        <is>
          <t>Receita anual</t>
        </is>
      </c>
      <c r="C3" s="15" t="inlineStr">
        <is>
          <t>% da capacidade efetiva</t>
        </is>
      </c>
      <c r="D3" s="15" t="inlineStr">
        <is>
          <t>Margem contrib. (MC adotada)</t>
        </is>
      </c>
      <c r="E3" s="15" t="inlineStr">
        <is>
          <t>Custos fixos ano</t>
        </is>
      </c>
      <c r="F3" s="15" t="inlineStr">
        <is>
          <t>EBITDA</t>
        </is>
      </c>
      <c r="G3" s="15" t="inlineStr">
        <is>
          <t>DSCR (EBITDA ÷ dívida)</t>
        </is>
      </c>
    </row>
    <row r="4">
      <c r="A4" s="6" t="inlineStr">
        <is>
          <t>Ano 1 — ramp-up (piso)</t>
        </is>
      </c>
      <c r="B4" s="13" t="n">
        <v>2600000</v>
      </c>
      <c r="C4" s="20">
        <f>B4/'Mix e Plano'!$B$12</f>
        <v/>
      </c>
      <c r="D4" s="26">
        <f>B4*Premissas!$B$27</f>
        <v/>
      </c>
      <c r="E4" s="26">
        <f>Premissas!$B$29*12</f>
        <v/>
      </c>
      <c r="F4" s="19">
        <f>D4-E4</f>
        <v/>
      </c>
      <c r="G4" s="27">
        <f>F4/(Premissas!$B$30*12)</f>
        <v/>
      </c>
    </row>
    <row r="5">
      <c r="A5" s="6" t="inlineStr">
        <is>
          <t>Ano 1 — ramp-up (topo)</t>
        </is>
      </c>
      <c r="B5" s="13" t="n">
        <v>2900000</v>
      </c>
      <c r="C5" s="20">
        <f>B5/'Mix e Plano'!$B$12</f>
        <v/>
      </c>
      <c r="D5" s="26">
        <f>B5*Premissas!$B$27</f>
        <v/>
      </c>
      <c r="E5" s="26">
        <f>Premissas!$B$29*12</f>
        <v/>
      </c>
      <c r="F5" s="19">
        <f>D5-E5</f>
        <v/>
      </c>
      <c r="G5" s="27">
        <f>F5/(Premissas!$B$30*12)</f>
        <v/>
      </c>
    </row>
    <row r="6">
      <c r="A6" s="6" t="inlineStr">
        <is>
          <t>Ano 2</t>
        </is>
      </c>
      <c r="B6" s="13" t="n">
        <v>3850000</v>
      </c>
      <c r="C6" s="20">
        <f>B6/'Mix e Plano'!$B$12</f>
        <v/>
      </c>
      <c r="D6" s="26">
        <f>B6*Premissas!$B$27</f>
        <v/>
      </c>
      <c r="E6" s="26">
        <f>Premissas!$B$29*12</f>
        <v/>
      </c>
      <c r="F6" s="19">
        <f>D6-E6</f>
        <v/>
      </c>
      <c r="G6" s="27">
        <f>F6/(Premissas!$B$30*12)</f>
        <v/>
      </c>
    </row>
    <row r="7">
      <c r="A7" s="6" t="inlineStr">
        <is>
          <t>Ano 3+ — regime (teto EPP)</t>
        </is>
      </c>
      <c r="B7" s="26">
        <f>'Mix e Plano'!$G$9</f>
        <v/>
      </c>
      <c r="C7" s="20">
        <f>B7/'Mix e Plano'!$B$12</f>
        <v/>
      </c>
      <c r="D7" s="26">
        <f>B7*Premissas!$B$27</f>
        <v/>
      </c>
      <c r="E7" s="26">
        <f>Premissas!$B$29*12</f>
        <v/>
      </c>
      <c r="F7" s="19">
        <f>D7-E7</f>
        <v/>
      </c>
      <c r="G7" s="27">
        <f>F7/(Premissas!$B$30*12)</f>
        <v/>
      </c>
    </row>
    <row r="9">
      <c r="A9" s="28" t="inlineStr">
        <is>
          <t>Ponto de equilíbrio e dívida</t>
        </is>
      </c>
    </row>
    <row r="10">
      <c r="A10" s="6" t="inlineStr">
        <is>
          <t>Receita de equilíbrio operacional (R$/mês)</t>
        </is>
      </c>
      <c r="B10" s="19">
        <f>Premissas!$B$29/Premissas!$B$27</f>
        <v/>
      </c>
    </row>
    <row r="11">
      <c r="A11" s="6" t="inlineStr">
        <is>
          <t>Equilíbrio ÷ capacidade efetiva</t>
        </is>
      </c>
      <c r="B11" s="20">
        <f>B10*12/'Mix e Plano'!$B$12</f>
        <v/>
      </c>
    </row>
    <row r="12">
      <c r="A12" s="6" t="inlineStr">
        <is>
          <t>Equilíbrio ÷ teto EPP</t>
        </is>
      </c>
      <c r="B12" s="20">
        <f>B10*12/Premissas!$B$31</f>
        <v/>
      </c>
    </row>
    <row r="13">
      <c r="A13" s="6" t="inlineStr">
        <is>
          <t>Serviço anual da dívida (Premissas!B30 × 12)</t>
        </is>
      </c>
      <c r="B13" s="26">
        <f>Premissas!$B$30*12</f>
        <v/>
      </c>
    </row>
    <row r="14">
      <c r="A14" s="6" t="inlineStr">
        <is>
          <t>DSCR no regime (meta ≥ 1,35)</t>
        </is>
      </c>
      <c r="B14" s="27">
        <f>F7/B13</f>
        <v/>
      </c>
    </row>
    <row r="15">
      <c r="A15" s="6" t="inlineStr">
        <is>
          <t>Payback bruto (investimento ~R$ 7,4 mi ÷ EBITDA regime)</t>
        </is>
      </c>
      <c r="B15" s="17">
        <f>7378000/F7</f>
        <v/>
      </c>
    </row>
    <row r="17">
      <c r="A17" s="2" t="inlineStr">
        <is>
          <t>Recomendação (estudo §13.4): dívida FNE de ~R$ 4,0–4,5 mi em 12 anos (parcela média R$ 46–50 mil/mês) → DSCR 1,36–1,47; carência cobre o ano 1; bônus de adimplência dá folga adicional.</t>
        </is>
      </c>
    </row>
  </sheetData>
  <mergeCells count="1">
    <mergeCell ref="A9:C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44" customWidth="1" min="3" max="3"/>
  </cols>
  <sheetData>
    <row r="1">
      <c r="A1" s="1" t="inlineStr">
        <is>
          <t>INVESTIMENTO TOTAL DO PROJETO (valores médios das faixas do estudo §13.1)</t>
        </is>
      </c>
    </row>
    <row r="3">
      <c r="A3" s="15" t="inlineStr">
        <is>
          <t>Item</t>
        </is>
      </c>
      <c r="B3" s="15" t="inlineStr">
        <is>
          <t>Valor (R$)</t>
        </is>
      </c>
      <c r="C3" s="15" t="inlineStr">
        <is>
          <t>Observação</t>
        </is>
      </c>
    </row>
    <row r="4">
      <c r="A4" s="6" t="inlineStr">
        <is>
          <t>Linha Gervasi XP350 completa (proposta REV00 12/05/2026)</t>
        </is>
      </c>
      <c r="B4" s="13" t="n">
        <v>2723000</v>
      </c>
      <c r="C4" s="8" t="inlineStr">
        <is>
          <t>contratada; R$ 600 mil pagos</t>
        </is>
      </c>
    </row>
    <row r="5">
      <c r="A5" s="6" t="inlineStr">
        <is>
          <t>Galpão industrial ≈1.500 m² + piso + fundações</t>
        </is>
      </c>
      <c r="B5" s="13" t="n">
        <v>2250000</v>
      </c>
      <c r="C5" s="8" t="inlineStr">
        <is>
          <t>R$ 1.250–1.900/m² (média adotada 1.500)</t>
        </is>
      </c>
    </row>
    <row r="6">
      <c r="A6" s="6" t="inlineStr">
        <is>
          <t>Terraplanagem, pátio, acessos, cerca, água</t>
        </is>
      </c>
      <c r="B6" s="13" t="n">
        <v>450000</v>
      </c>
      <c r="C6" s="8" t="inlineStr">
        <is>
          <t>faixa 350–550 mil</t>
        </is>
      </c>
    </row>
    <row r="7">
      <c r="A7" s="6" t="inlineStr">
        <is>
          <t>Entrada de energia MT + instalações elétricas</t>
        </is>
      </c>
      <c r="B7" s="13" t="n">
        <v>150000</v>
      </c>
      <c r="C7" s="8" t="inlineStr">
        <is>
          <t>subestação simplificada EDP ≤300 kVA</t>
        </is>
      </c>
    </row>
    <row r="8">
      <c r="A8" s="6" t="inlineStr">
        <is>
          <t>Bandejas (≈5.000) + gaiolas de cura + pallets</t>
        </is>
      </c>
      <c r="B8" s="13" t="n">
        <v>350000</v>
      </c>
      <c r="C8" s="8" t="inlineStr">
        <is>
          <t>faixa 280–420 mil — não incluso na proposta</t>
        </is>
      </c>
    </row>
    <row r="9">
      <c r="A9" s="6" t="inlineStr">
        <is>
          <t>Pá carregadeira + empilhadeira (seminovas)</t>
        </is>
      </c>
      <c r="B9" s="13" t="n">
        <v>350000</v>
      </c>
      <c r="C9" s="8" t="inlineStr">
        <is>
          <t>faixa 280–420 mil</t>
        </is>
      </c>
    </row>
    <row r="10">
      <c r="A10" s="6" t="inlineStr">
        <is>
          <t>Compressor, ferramentas, laboratório interno, EPIs</t>
        </is>
      </c>
      <c r="B10" s="13" t="n">
        <v>75000</v>
      </c>
      <c r="C10" s="8" t="inlineStr">
        <is>
          <t>faixa 60–90 mil</t>
        </is>
      </c>
    </row>
    <row r="11">
      <c r="A11" s="6" t="inlineStr">
        <is>
          <t>Licenças, projetos, ART, consultorias, seguros</t>
        </is>
      </c>
      <c r="B11" s="13" t="n">
        <v>80000</v>
      </c>
      <c r="C11" s="8" t="inlineStr">
        <is>
          <t>faixa 60–100 mil</t>
        </is>
      </c>
    </row>
    <row r="12">
      <c r="A12" s="6" t="inlineStr">
        <is>
          <t>Montagem, frete FOB Içara-SC, startup</t>
        </is>
      </c>
      <c r="B12" s="13" t="n">
        <v>150000</v>
      </c>
      <c r="C12" s="8" t="inlineStr">
        <is>
          <t>faixa 120–180 mil</t>
        </is>
      </c>
    </row>
    <row r="13">
      <c r="A13" s="21" t="inlineStr">
        <is>
          <t>SUBTOTAL CAPEX</t>
        </is>
      </c>
      <c r="B13" s="19">
        <f>SUM(B4:B12)</f>
        <v/>
      </c>
    </row>
    <row r="14">
      <c r="A14" s="6" t="inlineStr">
        <is>
          <t>Capital de giro inicial</t>
        </is>
      </c>
      <c r="B14" s="13" t="n">
        <v>800000</v>
      </c>
      <c r="C14" s="8" t="inlineStr">
        <is>
          <t>faixa 700–900 mil — ciclo financeiro 45–60 dias</t>
        </is>
      </c>
    </row>
    <row r="15">
      <c r="A15" s="21" t="inlineStr">
        <is>
          <t>INVESTIMENTO TOTAL</t>
        </is>
      </c>
      <c r="B15" s="22">
        <f>B13+B14</f>
        <v/>
      </c>
    </row>
    <row r="17">
      <c r="A17" s="3" t="inlineStr">
        <is>
          <t>Funding indicativo (§13.4: DSCR ≥1,35)</t>
        </is>
      </c>
      <c r="B17" s="4" t="n"/>
      <c r="C17" s="5" t="n"/>
    </row>
    <row r="18">
      <c r="A18" s="6" t="inlineStr">
        <is>
          <t>FNE/BNB — recomendação ~R$ 4,0–4,5 mi em 12 anos</t>
        </is>
      </c>
      <c r="B18" s="13" t="n">
        <v>4500000</v>
      </c>
      <c r="C18" s="8" t="inlineStr">
        <is>
          <t>calibrar na simulação de capacidade de pagamento</t>
        </is>
      </c>
    </row>
    <row r="19">
      <c r="A19" s="6" t="inlineStr">
        <is>
          <t>Recursos próprios (capital social subscrito R$ 7,5 mi)</t>
        </is>
      </c>
      <c r="B19" s="19">
        <f>B15-B18</f>
        <v/>
      </c>
    </row>
  </sheetData>
  <mergeCells count="1">
    <mergeCell ref="A17:C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2026-08-16T17:06:25Z</dcterms:created>
  <dcterms:modified xmlns:dcterms="http://purl.org/dc/terms/" xmlns:xsi="http://www.w3.org/2001/XMLSchema-instance" xsi:type="dcterms:W3CDTF">2026-08-16T17:06:25Z</dcterms:modified>
</cp:coreProperties>
</file>