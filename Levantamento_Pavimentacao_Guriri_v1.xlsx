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 Geral" sheetId="1" state="visible" r:id="rId3"/>
    <sheet name="07 Balneário de Guriri" sheetId="2" state="visible" r:id="rId4"/>
    <sheet name="09 Bosque da Praia" sheetId="3" state="visible" r:id="rId5"/>
    <sheet name="10 Parque dos Albatrozes" sheetId="4" state="visible" r:id="rId6"/>
    <sheet name="13 Praia de Guriri" sheetId="5" state="visible" r:id="rId7"/>
    <sheet name="14 Jardim das Caiçaras" sheetId="6" state="visible" r:id="rId8"/>
    <sheet name="15 Morada do Sol" sheetId="7" state="visible" r:id="rId9"/>
    <sheet name="25 Park Res. Oitizeiro" sheetId="8" state="visible" r:id="rId10"/>
    <sheet name="27 Res. Mar Aberto" sheetId="9" state="visible" r:id="rId11"/>
    <sheet name="31 Melhorini Res. Parque" sheetId="10" state="visible" r:id="rId12"/>
    <sheet name="35 Verão Vermelho" sheetId="11" state="visible" r:id="rId13"/>
    <sheet name="36 Res. Ilha de Guriri I" sheetId="12" state="visible" r:id="rId14"/>
    <sheet name="39 Central" sheetId="13" state="visible" r:id="rId15"/>
    <sheet name="42 Res. Bom Jesus" sheetId="14" state="visible" r:id="rId16"/>
    <sheet name="47 Praiano" sheetId="15" state="visible" r:id="rId17"/>
    <sheet name="49 Vale do Amazonas" sheetId="16" state="visible" r:id="rId18"/>
    <sheet name="50 Flor Pan" sheetId="17" state="visible" r:id="rId19"/>
    <sheet name="60 Res. Evidência" sheetId="18" state="visible" r:id="rId20"/>
    <sheet name="70 Pontal de Guriri" sheetId="19" state="visible" r:id="rId21"/>
    <sheet name="78 João de Barro" sheetId="20" state="visible" r:id="rId22"/>
    <sheet name="80 Soma Cevolani" sheetId="21" state="visible" r:id="rId23"/>
    <sheet name="84 Pontal de Guriri II" sheetId="22" state="visible" r:id="rId2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<sst xmlns="http://schemas.openxmlformats.org/spreadsheetml/2006/main" count="4033" uniqueCount="697">
  <si>
    <t xml:space="preserve">Levantamento de pavimentação — Loteamentos de Guriri (São Mateus/ES)</t>
  </si>
  <si>
    <t xml:space="preserve">Pista = leito carroçável da rua; Passeio = calçada de pedestre. Elaborado em 19/08/2026 a partir de: plantas dos loteamentos, planilha oficial de loteamentos, OpenStreetMap (medição das vias) e AUDITORIA COMPLETA DE 637 PONTOS — 1 ponto a cada ~350 m de via, verificados um a um no Google Street View (517 pontos, imagens de fev/2012 a mai/2026, predominando nov-dez/2023 e mai/2026) e, onde não há cobertura de Street View, em imagem de satélite (120 pontos).</t>
  </si>
  <si>
    <t xml:space="preserve">Valores aproximados. Em cada ponto classificou-se a superfície da pista (asfalto e bloquete = pavimentada; saibro e areia = não pavimentada) e a existência de calçada nas testadas. 69% da metragem teve a situação decidida por ponto próprio; o restante herdou a taxa da mesma via em loteamento contíguo ou a taxa agregada da malha auditada do loteamento (ver coluna "Origem da classificação" em cada aba). Azul = premissa/entrada editável. Recomenda-se conferência em campo e junto à Prefeitura antes de uso oficial.</t>
  </si>
  <si>
    <t xml:space="preserve">Nº</t>
  </si>
  <si>
    <t xml:space="preserve">Loteamento</t>
  </si>
  <si>
    <t xml:space="preserve">Proprietário / empreendedor</t>
  </si>
  <si>
    <t xml:space="preserve">Matrícula (registro)</t>
  </si>
  <si>
    <t xml:space="preserve">Área oficial (m²)</t>
  </si>
  <si>
    <t xml:space="preserve">Nº de vias</t>
  </si>
  <si>
    <t xml:space="preserve">Extensão de vias (m)</t>
  </si>
  <si>
    <t xml:space="preserve">Pista pavimentada (m)</t>
  </si>
  <si>
    <t xml:space="preserve">% pavimentada</t>
  </si>
  <si>
    <t xml:space="preserve">Falta pavimentar — pista (m)</t>
  </si>
  <si>
    <t xml:space="preserve">Falta pavimentar — pista (m²)</t>
  </si>
  <si>
    <t xml:space="preserve">Passeio faltante (m de via)</t>
  </si>
  <si>
    <t xml:space="preserve">Passeio faltante (m²)</t>
  </si>
  <si>
    <t xml:space="preserve">Pontos auditados</t>
  </si>
  <si>
    <t xml:space="preserve">Metragem medida (m)</t>
  </si>
  <si>
    <t xml:space="preserve">Metragem só de planta (m)</t>
  </si>
  <si>
    <t xml:space="preserve">Falta s/ metragem medida (m)</t>
  </si>
  <si>
    <t xml:space="preserve">Falta s/ metragem de planta (m)</t>
  </si>
  <si>
    <t xml:space="preserve">% passeio existente</t>
  </si>
  <si>
    <t xml:space="preserve">Confiança do passeio</t>
  </si>
  <si>
    <t xml:space="preserve">Balneário de Guriri</t>
  </si>
  <si>
    <t xml:space="preserve">Município de São Mateus</t>
  </si>
  <si>
    <t xml:space="preserve">7.798/3-J (22/02/1979)</t>
  </si>
  <si>
    <t xml:space="preserve">alta</t>
  </si>
  <si>
    <t xml:space="preserve">Bosque da Praia</t>
  </si>
  <si>
    <t xml:space="preserve">TEGIL Territorial Guriri Ltda</t>
  </si>
  <si>
    <t xml:space="preserve">2.315 (14/12/1979)</t>
  </si>
  <si>
    <t xml:space="preserve">média</t>
  </si>
  <si>
    <t xml:space="preserve">Parque dos Albatrozes</t>
  </si>
  <si>
    <t xml:space="preserve">BINOTTE Emp. Imobiliários</t>
  </si>
  <si>
    <t xml:space="preserve">2.383 (18/06/1980)</t>
  </si>
  <si>
    <t xml:space="preserve">Praia de Guriri</t>
  </si>
  <si>
    <t xml:space="preserve">Dalla Bernardina Imob.</t>
  </si>
  <si>
    <t xml:space="preserve">2.025 (06/07/1983)</t>
  </si>
  <si>
    <t xml:space="preserve">Jardim das Caiçaras</t>
  </si>
  <si>
    <t xml:space="preserve">Caiçaras Emp. Imobiliários</t>
  </si>
  <si>
    <t xml:space="preserve">4.170 (05/05/1986)</t>
  </si>
  <si>
    <t xml:space="preserve">Morada do Sol</t>
  </si>
  <si>
    <t xml:space="preserve">Guriri Beach Turismo</t>
  </si>
  <si>
    <t xml:space="preserve">7.640 (09/10/1986)</t>
  </si>
  <si>
    <t xml:space="preserve">Parque Residencial Oitizeiro</t>
  </si>
  <si>
    <t xml:space="preserve">Alba Figueiredo Brasileiro</t>
  </si>
  <si>
    <t xml:space="preserve">14.380 (02/06/2000)</t>
  </si>
  <si>
    <t xml:space="preserve">Residencial Mar Aberto</t>
  </si>
  <si>
    <t xml:space="preserve">Mirante Emp. Imobiliários</t>
  </si>
  <si>
    <t xml:space="preserve">9.853 (25/08/2000)</t>
  </si>
  <si>
    <t xml:space="preserve">Melhorini Residencial Parque</t>
  </si>
  <si>
    <t xml:space="preserve">Domingos Melhorini</t>
  </si>
  <si>
    <t xml:space="preserve">9.300 (26/11/2001)</t>
  </si>
  <si>
    <t xml:space="preserve">Verão Vermelho</t>
  </si>
  <si>
    <t xml:space="preserve">Neri Mariani</t>
  </si>
  <si>
    <t xml:space="preserve">16.265 (24/10/2003)</t>
  </si>
  <si>
    <t xml:space="preserve">Residencial Ilha de Guriri I</t>
  </si>
  <si>
    <t xml:space="preserve">Airton Ruberth</t>
  </si>
  <si>
    <t xml:space="preserve">15.191 (12/11/2003)</t>
  </si>
  <si>
    <t xml:space="preserve">Central</t>
  </si>
  <si>
    <t xml:space="preserve">Kajuzal Camping</t>
  </si>
  <si>
    <t xml:space="preserve">16.104 (25/11/2003)</t>
  </si>
  <si>
    <t xml:space="preserve">Residencial Bom Jesus</t>
  </si>
  <si>
    <t xml:space="preserve">15.989 (23/12/2003)</t>
  </si>
  <si>
    <t xml:space="preserve">Praiano</t>
  </si>
  <si>
    <t xml:space="preserve">Praiano Guriri Clube</t>
  </si>
  <si>
    <t xml:space="preserve">10.725</t>
  </si>
  <si>
    <t xml:space="preserve">Vale do Amazonas</t>
  </si>
  <si>
    <t xml:space="preserve">Igor Vescovi Devens</t>
  </si>
  <si>
    <t xml:space="preserve">15.185</t>
  </si>
  <si>
    <t xml:space="preserve">baixa</t>
  </si>
  <si>
    <t xml:space="preserve">Flor Pan</t>
  </si>
  <si>
    <t xml:space="preserve">Antonio Costa</t>
  </si>
  <si>
    <t xml:space="preserve">15.189</t>
  </si>
  <si>
    <t xml:space="preserve">Residencial Evidência</t>
  </si>
  <si>
    <t xml:space="preserve">Anildo Moreira Tavares</t>
  </si>
  <si>
    <t xml:space="preserve">9.497</t>
  </si>
  <si>
    <t xml:space="preserve">Pontal de Guriri</t>
  </si>
  <si>
    <t xml:space="preserve">João Bosco Cevolane</t>
  </si>
  <si>
    <t xml:space="preserve">19.747</t>
  </si>
  <si>
    <t xml:space="preserve">João de Barro (COHAJOBA)</t>
  </si>
  <si>
    <t xml:space="preserve">COHAJOBA</t>
  </si>
  <si>
    <t xml:space="preserve">19.792</t>
  </si>
  <si>
    <t xml:space="preserve">Soma Cevolani (Golden Guriri)</t>
  </si>
  <si>
    <t xml:space="preserve">Soma Cevolani SPE</t>
  </si>
  <si>
    <t xml:space="preserve">52.586</t>
  </si>
  <si>
    <t xml:space="preserve">Pontal de Guriri II</t>
  </si>
  <si>
    <t xml:space="preserve">João Bosco Cevolane Ltda</t>
  </si>
  <si>
    <t xml:space="preserve">54.633</t>
  </si>
  <si>
    <t xml:space="preserve">TOTAL GERAL — GURIRI</t>
  </si>
  <si>
    <t xml:space="preserve">Notas e premissas:</t>
  </si>
  <si>
    <t xml:space="preserve">• Falta pavimentar (m²) = metros lineares faltantes × 8 m (largura média de pista adotada como premissa).</t>
  </si>
  <si>
    <t xml:space="preserve">• ATENÇÃO — "Passeio faltante (m de via)": são metros de VIA sem calçada completa nos dois lados, NÃO metros lineares de calçada. Para orçar calçada em metro linear, multiplique por 2 (dois lados).</t>
  </si>
  <si>
    <t xml:space="preserve">• A extensão de vias não abertas está incluída em "Falta pavimentar", pois são obras a executar; ela NÃO entra no cálculo de passeio.</t>
  </si>
  <si>
    <t xml:space="preserve">• Metragem medida = via com traçado existente medido sobre imagem; metragem só de planta = via prevista no projeto, sem traçado medido — sua existência física deve ser confirmada em campo antes de orçar.</t>
  </si>
  <si>
    <t xml:space="preserve">• Passeio faltante (m²) = metros de via aberta sem passeio completo × 4 m (2 lados × 2 m de largura de calçada); vias não abertas não entram no cálculo de passeio.</t>
  </si>
  <si>
    <t xml:space="preserve">• A extensão total inclui vias previstas em planta ainda não abertas (contam integralmente como “falta pavimentar”).</t>
  </si>
  <si>
    <t xml:space="preserve">• Células em azul nas abas = entradas/premissas editáveis (ex.: % de passeio existente por amostragem).</t>
  </si>
  <si>
    <t xml:space="preserve">• Áreas oficiais: planilha de loteamentos da Prefeitura de São Mateus e quadros de áreas das plantas.</t>
  </si>
  <si>
    <t xml:space="preserve">• Nº 7 (Balneário): a planta disponível cobre apenas um setor (386.000 m²); adotada a área da planilha oficial (578.500 m²).</t>
  </si>
  <si>
    <t xml:space="preserve">Loteamento Balneário de Guriri — planta nº 7</t>
  </si>
  <si>
    <t xml:space="preserve">Proprietário/empreendedor: Município de São Mateus   |   Matrícula: 7.798/3-J (22/02/1979)   |   Área oficial: 578.500 m²</t>
  </si>
  <si>
    <t xml:space="preserve">Auditoria completa: 58 pontos verificados neste loteamento (1 ponto a cada ~350 m de via) no Google Street View e. onde não há cobertura. em satélite. Metragem com traçado medido: 16.241 m; só de planta: 0 m.</t>
  </si>
  <si>
    <t xml:space="preserve">Rua / via</t>
  </si>
  <si>
    <t xml:space="preserve">Extensão da pista (m)</t>
  </si>
  <si>
    <t xml:space="preserve">Situação da pista</t>
  </si>
  <si>
    <t xml:space="preserve">% pista pavimentada</t>
  </si>
  <si>
    <t xml:space="preserve">Pavimentado (m)</t>
  </si>
  <si>
    <t xml:space="preserve">Falta pavimentar (m)</t>
  </si>
  <si>
    <t xml:space="preserve">Confiança</t>
  </si>
  <si>
    <t xml:space="preserve">Passeio (calçada)</t>
  </si>
  <si>
    <t xml:space="preserve">% passeio</t>
  </si>
  <si>
    <t xml:space="preserve">Origem da classificação</t>
  </si>
  <si>
    <t xml:space="preserve">Metragem</t>
  </si>
  <si>
    <t xml:space="preserve">Observações</t>
  </si>
  <si>
    <t xml:space="preserve">Avenida Oceano Atlântico</t>
  </si>
  <si>
    <t xml:space="preserve">Pavimentada</t>
  </si>
  <si>
    <t xml:space="preserve">Sim (maioria)</t>
  </si>
  <si>
    <t xml:space="preserve">8 ponto(s): 8 SV + 0 satélite (bloquete)</t>
  </si>
  <si>
    <t xml:space="preserve">medida (traçado)</t>
  </si>
  <si>
    <t xml:space="preserve">Primeira Avenida da planta/orla ES-010; asfalto cinza com estacionamento, quiosques e calcadao junto a praca.</t>
  </si>
  <si>
    <t xml:space="preserve">Avenida Governador Eurico Vieira de Rezende</t>
  </si>
  <si>
    <t xml:space="preserve">2 ponto(s): 1 SV + 1 satélite (asfalto, bloquete)</t>
  </si>
  <si>
    <t xml:space="preserve">Corresponde ao eixo Av. Guriri/praca do centro comercial; cinza, comercio denso.</t>
  </si>
  <si>
    <t xml:space="preserve">Avenida Esbertalina Barbosa Damiani</t>
  </si>
  <si>
    <t xml:space="preserve">Parcial</t>
  </si>
  <si>
    <t xml:space="preserve">1 ponto(s): 1 SV + 0 satélite (bloquete)</t>
  </si>
  <si>
    <t xml:space="preserve">Segunda Avenida da planta (limite oeste); cinza continua, rota de onibus. | corrigido por SV</t>
  </si>
  <si>
    <t xml:space="preserve">Rua Pinheiros</t>
  </si>
  <si>
    <t xml:space="preserve">Não pavimentada</t>
  </si>
  <si>
    <t xml:space="preserve">1 ponto(s): 1 SV + 0 satélite (saibro)</t>
  </si>
  <si>
    <t xml:space="preserve">Areia/bege no satelite (hz_18395/18435/18475).</t>
  </si>
  <si>
    <t xml:space="preserve">Rua Linhares</t>
  </si>
  <si>
    <t xml:space="preserve">5 ponto(s): 5 SV + 0 satélite (saibro)</t>
  </si>
  <si>
    <t xml:space="preserve">OSM unpaved; satelite mostra ~150 m cinza junto ao centro comercial (Zuliani/Eurico Rezende); restante ate -18.751 em areia.</t>
  </si>
  <si>
    <t xml:space="preserve">Avenida Oceano Índico</t>
  </si>
  <si>
    <t xml:space="preserve">2 ponto(s): 2 SV + 0 satélite (bloquete)</t>
  </si>
  <si>
    <t xml:space="preserve">Terceira Avenida da planta (transversal com canteiro); cinza da Esbertalina ate a orla.</t>
  </si>
  <si>
    <t xml:space="preserve">Rua Horácio Barbosa Alves</t>
  </si>
  <si>
    <t xml:space="preserve">5 ponto(s): 5 SV + 0 satélite (bloquete, saibro)</t>
  </si>
  <si>
    <t xml:space="preserve">Rua São Gabriel da Palha</t>
  </si>
  <si>
    <t xml:space="preserve">Areia; possivel toco curto pavimentado junto ao centro (nao conclusivo).</t>
  </si>
  <si>
    <t xml:space="preserve">Rua Barra de São Francisco</t>
  </si>
  <si>
    <t xml:space="preserve">(sem nome)</t>
  </si>
  <si>
    <t xml:space="preserve">5 ponto(s): 5 SV + 0 satélite (areia, asfalto, bloquete)</t>
  </si>
  <si>
    <t xml:space="preserve">22 ways de ligacao na praca/orla (primary_link/tertiary_link) majoritariamente asfaltados; poucos tocos de areia.</t>
  </si>
  <si>
    <t xml:space="preserve">Avenida Esbertalina B. Damiani</t>
  </si>
  <si>
    <t xml:space="preserve">Continuacao sul do mesmo eixo; cinza com pontos de onibus ate alem da Mantenopolis. | corrigido por SV</t>
  </si>
  <si>
    <t xml:space="preserve">Rua Boa Esperança</t>
  </si>
  <si>
    <t xml:space="preserve">Não</t>
  </si>
  <si>
    <t xml:space="preserve">1 ponto(s): 1 SV + 0 satélite (areia)</t>
  </si>
  <si>
    <t xml:space="preserve">Quinta Avenida</t>
  </si>
  <si>
    <t xml:space="preserve">Trecho leste (Esbertalina-&gt;orla) cinza junto ao centro; e o unico trecho da 5a Av. pavimentado na ilha.</t>
  </si>
  <si>
    <t xml:space="preserve">Rua Mururici</t>
  </si>
  <si>
    <t xml:space="preserve">Rua Conceição da Barra</t>
  </si>
  <si>
    <t xml:space="preserve">5 ponto(s): 5 SV + 0 satélite (areia, bloquete, saibro)</t>
  </si>
  <si>
    <t xml:space="preserve">Rua Nova Venécia</t>
  </si>
  <si>
    <t xml:space="preserve">5 ponto(s): 5 SV + 0 satélite (areia, bloquete)</t>
  </si>
  <si>
    <t xml:space="preserve">Idem Linhares: toco norte junto ao centro aparenta pavimento; restante areia.</t>
  </si>
  <si>
    <t xml:space="preserve">Rua Daniel Camboni</t>
  </si>
  <si>
    <t xml:space="preserve">Rua Montanha</t>
  </si>
  <si>
    <t xml:space="preserve">Rua Mantenópolis</t>
  </si>
  <si>
    <t xml:space="preserve">Rua Esbertalina B. Damiani</t>
  </si>
  <si>
    <t xml:space="preserve">Toco de 9 m sem tag; mesmo eixo pavimentado. | corrigido por SV</t>
  </si>
  <si>
    <t xml:space="preserve">TOTAL</t>
  </si>
  <si>
    <t xml:space="preserve">Falta pavimentar — pista (m²):</t>
  </si>
  <si>
    <t xml:space="preserve">largura média de pista adotada: 8 m (premissa)</t>
  </si>
  <si>
    <t xml:space="preserve">Vias não abertas incluídas no total (m):</t>
  </si>
  <si>
    <t xml:space="preserve">constam na planta, sem abertura visível no satélite</t>
  </si>
  <si>
    <t xml:space="preserve">Passeio (calçada de pedestre) existente:</t>
  </si>
  <si>
    <t xml:space="preserve">medido em 53 ponto(s) do Street View — confiança alta</t>
  </si>
  <si>
    <t xml:space="preserve">Passeio faltante (m de via aberta):</t>
  </si>
  <si>
    <t xml:space="preserve">vias não abertas excluídas do cálculo de passeio</t>
  </si>
  <si>
    <t xml:space="preserve">Passeio faltante (m²):</t>
  </si>
  <si>
    <t xml:space="preserve">premissa: 2 lados × 2 m de largura de calçada</t>
  </si>
  <si>
    <t xml:space="preserve">Pavimento sobre metragem medida (m):</t>
  </si>
  <si>
    <t xml:space="preserve">Pavimento sobre metragem só de planta (m):</t>
  </si>
  <si>
    <t xml:space="preserve">sem traçado medido — existência a confirmar em campo</t>
  </si>
  <si>
    <t xml:space="preserve">Falta pavimentar sobre metragem medida (m):</t>
  </si>
  <si>
    <t xml:space="preserve">Falta pavimentar sobre metragem só de planta (m):</t>
  </si>
  <si>
    <t xml:space="preserve">parcela do orçamento que depende de vias ainda não confirmadas em campo</t>
  </si>
  <si>
    <t xml:space="preserve">Obs. passeio: medido em 53 ponto(s) do Street View — ambos os lados=100%, um lado=50%, nenhum=0%</t>
  </si>
  <si>
    <t xml:space="preserve">Loteamento Bosque da Praia — planta nº 9</t>
  </si>
  <si>
    <t xml:space="preserve">Proprietário/empreendedor: TEGIL Territorial Guriri Ltda   |   Matrícula: 2.315 (14/12/1979)   |   Área oficial: 1.728.555 m²</t>
  </si>
  <si>
    <t xml:space="preserve">Auditoria completa: 27 pontos verificados neste loteamento (1 ponto a cada ~350 m de via) no Google Street View e. onde não há cobertura. em satélite. Metragem com traçado medido: 942 m; só de planta: 35.450 m.</t>
  </si>
  <si>
    <t xml:space="preserve">Estrada São Mateus-Estiva de Barra Nova</t>
  </si>
  <si>
    <t xml:space="preserve">3 ponto(s): 3 SV + 0 satélite (saibro)</t>
  </si>
  <si>
    <t xml:space="preserve">'AV.' diagonal de 20 m da divisa oeste da planta de 1979; hoje ES-010 asfaltada (linha escura no satelite), 942 m no poligono</t>
  </si>
  <si>
    <t xml:space="preserve">RUA 1</t>
  </si>
  <si>
    <t xml:space="preserve">Não avaliável</t>
  </si>
  <si>
    <t xml:space="preserve">—</t>
  </si>
  <si>
    <t xml:space="preserve">sem ponto próprio — taxa agregada da malha física auditada do loteamento</t>
  </si>
  <si>
    <t xml:space="preserve">planta (não medida)</t>
  </si>
  <si>
    <t xml:space="preserve">primeira rua junto a orla, atras da duna: aberta em areia, continua de -18.7746 a ~-18.782</t>
  </si>
  <si>
    <t xml:space="preserve">RUA 2</t>
  </si>
  <si>
    <t xml:space="preserve">'R. Dois' rotulada no Google: aberta em areia por toda a extensao</t>
  </si>
  <si>
    <t xml:space="preserve">RUA 3</t>
  </si>
  <si>
    <t xml:space="preserve">aberta em areia (grade visivel hz_18775s/hz_18830s) de -18.7746 ate a mata em ~-18.782; sem edificacao na maior parte</t>
  </si>
  <si>
    <t xml:space="preserve">RUA 4</t>
  </si>
  <si>
    <t xml:space="preserve">RUA 5</t>
  </si>
  <si>
    <t xml:space="preserve">RUA 6</t>
  </si>
  <si>
    <t xml:space="preserve">RUA 7</t>
  </si>
  <si>
    <t xml:space="preserve">RUA 8</t>
  </si>
  <si>
    <t xml:space="preserve">RUA 9</t>
  </si>
  <si>
    <t xml:space="preserve">RUA 10</t>
  </si>
  <si>
    <t xml:space="preserve">RUA 11</t>
  </si>
  <si>
    <t xml:space="preserve">RUA 12</t>
  </si>
  <si>
    <t xml:space="preserve">RUA 13</t>
  </si>
  <si>
    <t xml:space="preserve">RUA 14</t>
  </si>
  <si>
    <t xml:space="preserve">RUA 15</t>
  </si>
  <si>
    <t xml:space="preserve">RUA 16</t>
  </si>
  <si>
    <t xml:space="preserve">RUA 17</t>
  </si>
  <si>
    <t xml:space="preserve">RUA 18</t>
  </si>
  <si>
    <t xml:space="preserve">RUA 19</t>
  </si>
  <si>
    <t xml:space="preserve">RUA 20</t>
  </si>
  <si>
    <t xml:space="preserve">RUA 21</t>
  </si>
  <si>
    <t xml:space="preserve">RUA 22</t>
  </si>
  <si>
    <t xml:space="preserve">RUA 23</t>
  </si>
  <si>
    <t xml:space="preserve">RUA 24</t>
  </si>
  <si>
    <t xml:space="preserve">RUA 25</t>
  </si>
  <si>
    <t xml:space="preserve">RUA 26</t>
  </si>
  <si>
    <t xml:space="preserve">ultima rua a oeste: trecho norte aberto; ao sul o leito converge com a diagonal da ES-010</t>
  </si>
  <si>
    <t xml:space="preserve">AV. 1</t>
  </si>
  <si>
    <t xml:space="preserve">avenida E-W aberta em areia por toda a largura da ilha (lat aprox -18.7760; numeracao assumida N-&gt;S)</t>
  </si>
  <si>
    <t xml:space="preserve">AV. 2</t>
  </si>
  <si>
    <t xml:space="preserve">avenida E-W aberta em areia por toda a largura da ilha (lat aprox -18.7778; numeracao assumida N-&gt;S)</t>
  </si>
  <si>
    <t xml:space="preserve">AV. 3</t>
  </si>
  <si>
    <t xml:space="preserve">avenida E-W aberta em areia por toda a largura da ilha (lat aprox -18.7795; numeracao assumida N-&gt;S)</t>
  </si>
  <si>
    <t xml:space="preserve">AV. 4</t>
  </si>
  <si>
    <t xml:space="preserve">avenida E-W aberta em areia por toda a largura da ilha (lat aprox -18.7811; numeracao assumida N-&gt;S)</t>
  </si>
  <si>
    <t xml:space="preserve">AV. 5</t>
  </si>
  <si>
    <t xml:space="preserve">Não aberta</t>
  </si>
  <si>
    <t xml:space="preserve">mantido (não aberta, sem ponto auditado)</t>
  </si>
  <si>
    <t xml:space="preserve">faixa sul (~-18.7827) na borda da mata: sem leito continuo visivel, apenas trilha parcial no extremo leste</t>
  </si>
  <si>
    <t xml:space="preserve">TRAVESSA 1</t>
  </si>
  <si>
    <t xml:space="preserve">curta, ladeando praca do projeto (pracas nao implantadas); nao individualizavel na grade aberta</t>
  </si>
  <si>
    <t xml:space="preserve">TRAVESSA 2</t>
  </si>
  <si>
    <t xml:space="preserve">TRAVESSA 3</t>
  </si>
  <si>
    <t xml:space="preserve">TRAVESSA 4</t>
  </si>
  <si>
    <t xml:space="preserve">TRAVESSA 5</t>
  </si>
  <si>
    <t xml:space="preserve">TRAVESSA 6</t>
  </si>
  <si>
    <t xml:space="preserve">TRAVESSA 7</t>
  </si>
  <si>
    <t xml:space="preserve">AV. ATLANTICA</t>
  </si>
  <si>
    <t xml:space="preserve">orla: trilha de areia na crista da duna, continua em trechos; estacionamento e calcadao do projeto nunca implantados</t>
  </si>
  <si>
    <t xml:space="preserve">medido em 12 ponto(s) do Street View — confiança média</t>
  </si>
  <si>
    <t xml:space="preserve">Obs. passeio: medido em 12 ponto(s) do Street View — ambos os lados=100%, um lado=50%, nenhum=0%</t>
  </si>
  <si>
    <t xml:space="preserve">Loteamento Parque dos Albatrozes — planta nº 10</t>
  </si>
  <si>
    <t xml:space="preserve">Proprietário/empreendedor: BINOTTE Emp. Imobiliários   |   Matrícula: 2.383 (18/06/1980)   |   Área oficial: 757.170 m²</t>
  </si>
  <si>
    <t xml:space="preserve">Auditoria completa: 54 pontos verificados neste loteamento (1 ponto a cada ~350 m de via) no Google Street View e. onde não há cobertura. em satélite. Metragem com traçado medido: 17.996 m; só de planta: 0 m.</t>
  </si>
  <si>
    <t xml:space="preserve">Sétima Avenida</t>
  </si>
  <si>
    <t xml:space="preserve">3 ponto(s): 3 SV + 0 satélite (areia)</t>
  </si>
  <si>
    <t xml:space="preserve">Areia/bege no satelite (hz_18315/18355).</t>
  </si>
  <si>
    <t xml:space="preserve">Avenida Homero Zordan</t>
  </si>
  <si>
    <t xml:space="preserve">4 ponto(s): 4 SV + 0 satélite (areia, bloquete)</t>
  </si>
  <si>
    <t xml:space="preserve">OSM dirt+paving_stones; satelite mostra cinza no trecho central (cruzamento com o eixo asfaltado Othovarino e junto a Esbertalina/praca de eventos); extremo oeste e trecho junto a orla em tom areia.</t>
  </si>
  <si>
    <t xml:space="preserve">Avenida Espera Feliz</t>
  </si>
  <si>
    <t xml:space="preserve">trecho curto sem ponto próprio — adotada a situação da mesma via (nome próprio, loteamento contíguo) em 6 ponto(s): p13=0%, p14=100%, p60=0%</t>
  </si>
  <si>
    <t xml:space="preserve">Pavimentada (cinza, rotatoria e ponto de onibus) da diagonal Othovarino ate a orla; toco oeste em areia.</t>
  </si>
  <si>
    <t xml:space="preserve">Rua Pedro Alves Ribeiro</t>
  </si>
  <si>
    <t xml:space="preserve">2 ponto(s): 2 SV + 0 satélite (areia)</t>
  </si>
  <si>
    <t xml:space="preserve">Rua Elisa Maria Ditthz de Abreu Costa</t>
  </si>
  <si>
    <t xml:space="preserve">3 ways paving_stones+unpaved; vielas junto ao eixo Esbertalina.</t>
  </si>
  <si>
    <t xml:space="preserve">1 ponto(s): 1 SV + 0 satélite (asfalto)</t>
  </si>
  <si>
    <t xml:space="preserve">Toco de 22 m na rotatoria com a Espera Feliz; cinza no satelite.</t>
  </si>
  <si>
    <t xml:space="preserve">Rua Álvaro Leal Calmon</t>
  </si>
  <si>
    <t xml:space="preserve">2 ponto(s): 2 SV + 0 satélite (saibro)</t>
  </si>
  <si>
    <t xml:space="preserve">Rua Raísa Bastos Magnago</t>
  </si>
  <si>
    <t xml:space="preserve">Rua Octávio Borotto</t>
  </si>
  <si>
    <t xml:space="preserve">Rua Odílio Nico</t>
  </si>
  <si>
    <t xml:space="preserve">Rua Albino Negris</t>
  </si>
  <si>
    <t xml:space="preserve">2 ponto(s): 2 SV + 0 satélite (bloquete, saibro)</t>
  </si>
  <si>
    <t xml:space="preserve">Rua Adriana Barbosa Caran</t>
  </si>
  <si>
    <t xml:space="preserve">Areia/bege no satelite (hz_18315/18355). | SV: pavimentada no trecho sul, areia ao norte</t>
  </si>
  <si>
    <t xml:space="preserve">Rua Rogério Campista Correia</t>
  </si>
  <si>
    <t xml:space="preserve">Jamil Alhakim Ribeiro</t>
  </si>
  <si>
    <t xml:space="preserve">Edith Laura Moreira D'almeida</t>
  </si>
  <si>
    <t xml:space="preserve">Trecho no centro comercial; cinza com veiculos.</t>
  </si>
  <si>
    <t xml:space="preserve">Rua Oldemar Faria Santos</t>
  </si>
  <si>
    <t xml:space="preserve">2 ponto(s): 2 SV + 0 satélite (asfalto, saibro)</t>
  </si>
  <si>
    <t xml:space="preserve">Avenida Othovarino Duarte Santos</t>
  </si>
  <si>
    <t xml:space="preserve">2 ponto(s): 2 SV + 0 satélite (asfalto)</t>
  </si>
  <si>
    <t xml:space="preserve">Diagonal asfaltada da ponte a praca (ES-010); claramente cinza, com pontos de onibus.</t>
  </si>
  <si>
    <t xml:space="preserve">3 ponto(s): 3 SV + 0 satélite (bloquete)</t>
  </si>
  <si>
    <t xml:space="preserve">1a Avenida da planta (34 m, canteiro central); orla asfaltada com calcadas visiveis.</t>
  </si>
  <si>
    <t xml:space="preserve">3 ponto(s): 3 SV + 0 satélite (asfalto)</t>
  </si>
  <si>
    <t xml:space="preserve">Bloquete (paving_stones) confirmado: tom cinza continuo, praca pavimentada anexa, rotatorias.</t>
  </si>
  <si>
    <t xml:space="preserve">Rua Professor Amaro Nascimento Mendes</t>
  </si>
  <si>
    <t xml:space="preserve">Rua Darcy Natalino Formigoni</t>
  </si>
  <si>
    <t xml:space="preserve">Areia/bege no satelite (hz_18315/18355). | corrigido por SV</t>
  </si>
  <si>
    <t xml:space="preserve">Rua VIII</t>
  </si>
  <si>
    <t xml:space="preserve">Rua Domingos Duarte Santos</t>
  </si>
  <si>
    <t xml:space="preserve">Rua Maria Tezolin Carrafa</t>
  </si>
  <si>
    <t xml:space="preserve">medido em 54 ponto(s) do Street View — confiança alta</t>
  </si>
  <si>
    <t xml:space="preserve">Obs. passeio: medido em 54 ponto(s) do Street View — ambos os lados=100%, um lado=50%, nenhum=0%</t>
  </si>
  <si>
    <t xml:space="preserve">Loteamento Praia de Guriri — planta nº 13</t>
  </si>
  <si>
    <t xml:space="preserve">Proprietário/empreendedor: Dalla Bernardina Imob.   |   Matrícula: 2.025 (06/07/1983)   |   Área oficial: 625.209 m²</t>
  </si>
  <si>
    <t xml:space="preserve">Auditoria completa: 57 pontos verificados neste loteamento (1 ponto a cada ~350 m de via) no Google Street View e. onde não há cobertura. em satélite. Metragem com traçado medido: 12.416 m; só de planta: 0 m.</t>
  </si>
  <si>
    <t xml:space="preserve">Rua XXXII</t>
  </si>
  <si>
    <t xml:space="preserve">areia clara no satelite (hz_18275_O/hz_18315_O)</t>
  </si>
  <si>
    <t xml:space="preserve">Rua Antônio Massucatti</t>
  </si>
  <si>
    <t xml:space="preserve">Rua Antônio Cunha Filho</t>
  </si>
  <si>
    <t xml:space="preserve">Rua Trinta e Sete</t>
  </si>
  <si>
    <t xml:space="preserve">Rua Trinta e Nove</t>
  </si>
  <si>
    <t xml:space="preserve">Rua Trinta e Cinco</t>
  </si>
  <si>
    <t xml:space="preserve">areia clara no satelite (hz_18275_O/hz_18315_O) | SV nov/2023: bloquete sextavado (R. XXXV)</t>
  </si>
  <si>
    <t xml:space="preserve">Rua Climéria Santos Barcellos</t>
  </si>
  <si>
    <t xml:space="preserve">Rua Felisberto Fereguetti</t>
  </si>
  <si>
    <t xml:space="preserve">Rua José Bonomo</t>
  </si>
  <si>
    <t xml:space="preserve">7 ponto(s): 7 SV + 0 satélite (bloquete, saibro)</t>
  </si>
  <si>
    <t xml:space="preserve">segmentos difusos dirt/unpaved; zona toda em areia no satelite</t>
  </si>
  <si>
    <t xml:space="preserve">Rua Adelino Fereguetti</t>
  </si>
  <si>
    <t xml:space="preserve">Rua Domingos Carrafa</t>
  </si>
  <si>
    <t xml:space="preserve">Rua Quarenta e Um</t>
  </si>
  <si>
    <t xml:space="preserve">Rua Quarenta</t>
  </si>
  <si>
    <t xml:space="preserve">Avenida Nafice Aihakim Ribeiro</t>
  </si>
  <si>
    <t xml:space="preserve">Rua Edith Laura Moreira D'Almeida</t>
  </si>
  <si>
    <t xml:space="preserve">2 ponto(s): 2 SV + 0 satélite (areia, saibro)</t>
  </si>
  <si>
    <t xml:space="preserve">Rua XXV</t>
  </si>
  <si>
    <t xml:space="preserve">Rua XVII</t>
  </si>
  <si>
    <t xml:space="preserve">Rua XXIV</t>
  </si>
  <si>
    <t xml:space="preserve">Rua Plínio Borotto</t>
  </si>
  <si>
    <t xml:space="preserve">Rua XXI</t>
  </si>
  <si>
    <t xml:space="preserve">Rua Jamil Alhakim</t>
  </si>
  <si>
    <t xml:space="preserve">Rua João Mafra Araújo</t>
  </si>
  <si>
    <t xml:space="preserve">Rua Douglas Lima</t>
  </si>
  <si>
    <t xml:space="preserve">Rua Plínio Boroto Norte</t>
  </si>
  <si>
    <t xml:space="preserve">Rua Oreste Bigossi</t>
  </si>
  <si>
    <t xml:space="preserve">Rua Orestes Bigossi</t>
  </si>
  <si>
    <t xml:space="preserve">Rua Geraldo Pinto</t>
  </si>
  <si>
    <t xml:space="preserve">Rua XXVII</t>
  </si>
  <si>
    <t xml:space="preserve">4 ponto(s): 4 SV + 0 satélite (asfalto)</t>
  </si>
  <si>
    <t xml:space="preserve">diagonal asfaltada da ponte ao centro (cinza escuro, veiculos visiveis)</t>
  </si>
  <si>
    <t xml:space="preserve">Rua Cajueiro</t>
  </si>
  <si>
    <t xml:space="preserve">Avenida Francisco Pereira de Carvalho</t>
  </si>
  <si>
    <t xml:space="preserve">Nona Avenida</t>
  </si>
  <si>
    <t xml:space="preserve">Rua Jamil Alhakin</t>
  </si>
  <si>
    <t xml:space="preserve">trecho oeste (rota ES-010, ate o entroncamento com a Av. Othovarino junto a pedreira) asfaltado com onibus; trecho leste (Igreja N.S. de Fatima em diante) em areia</t>
  </si>
  <si>
    <t xml:space="preserve">Rodovia Othovarino Duarte Santos</t>
  </si>
  <si>
    <t xml:space="preserve">trecho junto a ponte/limite oeste; cinza no canto do quadro hz_18275_O, parcialmente fora das imagens</t>
  </si>
  <si>
    <t xml:space="preserve">medido em 56 ponto(s) do Street View — confiança alta</t>
  </si>
  <si>
    <t xml:space="preserve">Obs. passeio: medido em 56 ponto(s) do Street View — ambos os lados=100%, um lado=50%, nenhum=0%</t>
  </si>
  <si>
    <t xml:space="preserve">Loteamento Jardim das Caiçaras — planta nº 14</t>
  </si>
  <si>
    <t xml:space="preserve">Proprietário/empreendedor: Caiçaras Emp. Imobiliários   |   Matrícula: 4.170 (05/05/1986)   |   Área oficial: 1.141.458 m²</t>
  </si>
  <si>
    <t xml:space="preserve">Auditoria completa: 78 pontos verificados neste loteamento (1 ponto a cada ~350 m de via) no Google Street View e. onde não há cobertura. em satélite. Metragem com traçado medido: 21.908 m; só de planta: 0 m.</t>
  </si>
  <si>
    <t xml:space="preserve">Areia/bege no satelite (hz_18275/18315).</t>
  </si>
  <si>
    <t xml:space="preserve">Décima Primeira Avenida</t>
  </si>
  <si>
    <t xml:space="preserve">13 ponto(s): 8 SV + 5 satélite (areia, asfalto, bloquete, saibro)</t>
  </si>
  <si>
    <t xml:space="preserve">16 ways mistos; inclui trecho tertiary com bloquete junto a orla/ES-010 (cinza no satelite) e vielas de areia.</t>
  </si>
  <si>
    <t xml:space="preserve">Cinza no satelite da diagonal Othovarino ate a orla; rotatoria na Esbertalina e ponto de onibus; so o toco oeste (~-39.765..-39.769) em areia.</t>
  </si>
  <si>
    <t xml:space="preserve">trecho curto sem ponto próprio — adotada a situação da mesma via (nome próprio, loteamento contíguo) em 3 ponto(s): p13=0%</t>
  </si>
  <si>
    <t xml:space="preserve">Rua XVI</t>
  </si>
  <si>
    <t xml:space="preserve">Rua XIII</t>
  </si>
  <si>
    <t xml:space="preserve">Rua XIV</t>
  </si>
  <si>
    <t xml:space="preserve">Décima Segunda Avenida</t>
  </si>
  <si>
    <t xml:space="preserve">2 ponto(s): 2 SV + 0 satélite (areia, bloquete)</t>
  </si>
  <si>
    <t xml:space="preserve">Décima Avenida</t>
  </si>
  <si>
    <t xml:space="preserve">Areia; possivel toco leste cinza junto ao acesso do Acqua Park/orla.</t>
  </si>
  <si>
    <t xml:space="preserve">medido em 73 ponto(s) do Street View — confiança alta</t>
  </si>
  <si>
    <t xml:space="preserve">Obs. passeio: medido em 73 ponto(s) do Street View — ambos os lados=100%, um lado=50%, nenhum=0%</t>
  </si>
  <si>
    <t xml:space="preserve">Loteamento Morada do Sol — planta nº 15</t>
  </si>
  <si>
    <t xml:space="preserve">Proprietário/empreendedor: Guriri Beach Turismo   |   Matrícula: 7.640 (09/10/1986)   |   Área oficial: 122.214 m²</t>
  </si>
  <si>
    <t xml:space="preserve">Auditoria completa: 15 pontos verificados neste loteamento (1 ponto a cada ~350 m de via) no Google Street View e. onde não há cobertura. em satélite. Metragem com traçado medido: 3.115 m; só de planta: 0 m.</t>
  </si>
  <si>
    <t xml:space="preserve">cinza em hz_18515_L</t>
  </si>
  <si>
    <t xml:space="preserve">tag paving_stones (bloquete) coerente com tom cinza-amarronzado do corredor</t>
  </si>
  <si>
    <t xml:space="preserve">Avenida Mar Negro</t>
  </si>
  <si>
    <t xml:space="preserve">bege/areia em todo o trecho a oeste da Esbertalina (hz_18515_L); tag 'asphalt' do OSM refere-se a trecho junto a orla, fora do poligono</t>
  </si>
  <si>
    <t xml:space="preserve">Rua Jaguaré</t>
  </si>
  <si>
    <t xml:space="preserve">limite sul do bloco oeste; bege/areia (hz_18515_L)</t>
  </si>
  <si>
    <t xml:space="preserve">via N-S bege/areia entre Mantenopolis e Jaguare (hz_18515_L)</t>
  </si>
  <si>
    <t xml:space="preserve">Rua VII</t>
  </si>
  <si>
    <t xml:space="preserve">limite norte (grafia Mantenopoles na planta); bege/areia</t>
  </si>
  <si>
    <t xml:space="preserve">trecho de ~109 m ao sul da R. Jaguare; trilha de areia visivel que se perde em vegetacao (hz_18515_L c4)</t>
  </si>
  <si>
    <t xml:space="preserve">trecho curto no lobo leste ao sul da Jaguare; faixa pouco definida em meio a vegetacao, quadras 01-06 pouco ocupadas</t>
  </si>
  <si>
    <t xml:space="preserve">trecho curto no lobo leste; areia/vegetacao, abertura apenas parcial visivel</t>
  </si>
  <si>
    <t xml:space="preserve">trecho de 55 m no lobo leste; faixa pouco definida, quase nao aberta</t>
  </si>
  <si>
    <t xml:space="preserve">trecho no lobo leste; areia/vegetacao, abertura parcial</t>
  </si>
  <si>
    <t xml:space="preserve">medido em 15 ponto(s) do Street View — confiança alta</t>
  </si>
  <si>
    <t xml:space="preserve">Obs. passeio: medido em 15 ponto(s) do Street View — ambos os lados=100%, um lado=50%, nenhum=0%</t>
  </si>
  <si>
    <t xml:space="preserve">Loteamento Parque Residencial Oitizeiro — planta nº 25</t>
  </si>
  <si>
    <t xml:space="preserve">Proprietário/empreendedor: Alba Figueiredo Brasileiro   |   Matrícula: 14.380 (02/06/2000)   |   Área oficial: 557.784 m²</t>
  </si>
  <si>
    <t xml:space="preserve">Auditoria completa: 41 pontos verificados neste loteamento (1 ponto a cada ~350 m de via) no Google Street View e. onde não há cobertura. em satélite. Metragem com traçado medido: 13.896 m; só de planta: 0 m.</t>
  </si>
  <si>
    <t xml:space="preserve">limite leste do loteamento; cinza nos 3 recortes hz_18395/18435/18475; onibus e comercio ao longo | corrigido por SV</t>
  </si>
  <si>
    <t xml:space="preserve">segmento sul do mesmo eixo pavimentado</t>
  </si>
  <si>
    <t xml:space="preserve">todo o trecho a oeste da Esbertalina e bege/areia (hz_18435_L/O); a parte 'paved' das tags OSM corresponde ao trecho junto a orla, fora do poligono</t>
  </si>
  <si>
    <t xml:space="preserve">hz_18395_L: faixa bege em toda extensao</t>
  </si>
  <si>
    <t xml:space="preserve">hz_18395/18435: bege/areia</t>
  </si>
  <si>
    <t xml:space="preserve">hz_18435_L: bege/areia</t>
  </si>
  <si>
    <t xml:space="preserve">Rua São Daniel Comboni</t>
  </si>
  <si>
    <t xml:space="preserve">hz_18435/18475: bege/areia</t>
  </si>
  <si>
    <t xml:space="preserve">hz_18475_L: bege/areia (trecho oeste)</t>
  </si>
  <si>
    <t xml:space="preserve">Avenida Praiana</t>
  </si>
  <si>
    <t xml:space="preserve">hz_18475/18515: bege/areia, canteiro nao perceptivel</t>
  </si>
  <si>
    <t xml:space="preserve">hz_18515_L: bege/areia (trecho oeste)</t>
  </si>
  <si>
    <t xml:space="preserve">transversal N-S bege/areia em todos os recortes (hz_18395/18435/18475)</t>
  </si>
  <si>
    <t xml:space="preserve">Octávio Borotto</t>
  </si>
  <si>
    <t xml:space="preserve">Domingos Duarte Santos</t>
  </si>
  <si>
    <t xml:space="preserve">Pedro Alves Ribeiro</t>
  </si>
  <si>
    <t xml:space="preserve">Raísa Bastos Magnago</t>
  </si>
  <si>
    <t xml:space="preserve">Elisa Maria Ditthz de Abreu Costa</t>
  </si>
  <si>
    <t xml:space="preserve">Darcy Natalino Formigoni</t>
  </si>
  <si>
    <t xml:space="preserve">fragmento de 12 m do mesmo eixo de areia</t>
  </si>
  <si>
    <t xml:space="preserve">Rua Colatina</t>
  </si>
  <si>
    <t xml:space="preserve">toco de 33 m na divisa oeste; mesmo corredor de areia do eixo Colatina/Sao Daniel Comboni</t>
  </si>
  <si>
    <t xml:space="preserve">links tertiary_link junto a Esbertalina/Oceano Indico, tag dirt; area do cruzamento em areia no satelite</t>
  </si>
  <si>
    <t xml:space="preserve">medido em 41 ponto(s) do Street View — confiança alta</t>
  </si>
  <si>
    <t xml:space="preserve">Obs. passeio: medido em 41 ponto(s) do Street View — ambos os lados=100%, um lado=50%, nenhum=0%</t>
  </si>
  <si>
    <t xml:space="preserve">Loteamento Residencial Mar Aberto — planta nº 27</t>
  </si>
  <si>
    <t xml:space="preserve">Proprietário/empreendedor: Mirante Emp. Imobiliários   |   Matrícula: 9.853 (25/08/2000)   |   Área oficial: 387.200 m²</t>
  </si>
  <si>
    <t xml:space="preserve">Auditoria completa: 33 pontos verificados neste loteamento (1 ponto a cada ~350 m de via) no Google Street View e. onde não há cobertura. em satélite. Metragem com traçado medido: 2.731 m; só de planta: 4.108 m.</t>
  </si>
  <si>
    <t xml:space="preserve">Rua Belo Horizonte</t>
  </si>
  <si>
    <t xml:space="preserve">6 ponto(s): 6 SV + 0 satélite (saibro)</t>
  </si>
  <si>
    <t xml:space="preserve">Av. Belo Horizonte da planta (16 m): eixo E-W central aberto em areia por toda a extensao (~1.980 m, lon -39.7672..-39.7484); casas esparsas; rotatoria/praca circular da planta NAO construida</t>
  </si>
  <si>
    <t xml:space="preserve">dentro do p27 leito cinzento de saibro compactado, sem bloquete visivel (RGB ~160/150/135); o bloquete termina ~lat -18.756, ao norte do poligono; tag paving_stones do OSM nao confirmada aqui</t>
  </si>
  <si>
    <t xml:space="preserve">orla em frente ao p27 e estrada larga de areia/saibro claro (RGB ~185/175/160); pavimento da orla termina ~lat -18.755, ao norte do p27</t>
  </si>
  <si>
    <t xml:space="preserve">RUA ALFENAS</t>
  </si>
  <si>
    <t xml:space="preserve">transversal oeste: stub de areia aberto nos dois lados da Av. Belo Horizonte (sat_18760); quadras em pasto, sem edificacao | metragem rateada da malha OSM sem nome</t>
  </si>
  <si>
    <t xml:space="preserve">RUA VARGINHA</t>
  </si>
  <si>
    <t xml:space="preserve">RUA UBÁ</t>
  </si>
  <si>
    <t xml:space="preserve">RUA SÃO JOÃO DEL REY</t>
  </si>
  <si>
    <t xml:space="preserve">RUA PONTE NOVA</t>
  </si>
  <si>
    <t xml:space="preserve">RUA PIRAPORA</t>
  </si>
  <si>
    <t xml:space="preserve">RUA PATOS DE MINAS</t>
  </si>
  <si>
    <t xml:space="preserve">RUA PASSOS</t>
  </si>
  <si>
    <t xml:space="preserve">RUA OURO PRETO</t>
  </si>
  <si>
    <t xml:space="preserve">RUA MURIAÉ</t>
  </si>
  <si>
    <t xml:space="preserve">RUA JANAÚBA</t>
  </si>
  <si>
    <t xml:space="preserve">zona da praca/rotatoria (nao construida): stubs tenues junto a Av. BH; quadras em pasto | metragem rateada da malha OSM sem nome</t>
  </si>
  <si>
    <t xml:space="preserve">RUA ITUIUTABA</t>
  </si>
  <si>
    <t xml:space="preserve">RUA CONTAGEM</t>
  </si>
  <si>
    <t xml:space="preserve">RUA ROGÉRIO CAMPISTA CORREIA</t>
  </si>
  <si>
    <t xml:space="preserve">lado norte coincide com a malha do Joao de Barro (p78); lado sul com faixa de vegetacao; stub curto junto a Av. BH | metragem rateada da malha OSM sem nome</t>
  </si>
  <si>
    <t xml:space="preserve">RUA XVIII</t>
  </si>
  <si>
    <t xml:space="preserve">RUA XVII</t>
  </si>
  <si>
    <t xml:space="preserve">RUA XVI</t>
  </si>
  <si>
    <t xml:space="preserve">RUA PEDRO ALVES RIBEIRO</t>
  </si>
  <si>
    <t xml:space="preserve">stub de areia aberto nos dois lados da Av. Belo Horizonte (hz_18605); extremos norte/sul terminam em pasto/capoeira | metragem rateada da malha OSM sem nome</t>
  </si>
  <si>
    <t xml:space="preserve">RUA RAISA BASTOS MAGNAGO</t>
  </si>
  <si>
    <t xml:space="preserve">trecho curto sem ponto próprio — adotada a situação da mesma via (nome próprio, loteamento contíguo) em 1 ponto(s): p47=0%</t>
  </si>
  <si>
    <t xml:space="preserve">RUA XIII</t>
  </si>
  <si>
    <t xml:space="preserve">RUA ALVARO LEAL CALMON</t>
  </si>
  <si>
    <t xml:space="preserve">RUA XI</t>
  </si>
  <si>
    <t xml:space="preserve">RUA OLDEMAR FARIAS SANTOS</t>
  </si>
  <si>
    <t xml:space="preserve">RUA DARCY NATALINO FORMIGONI</t>
  </si>
  <si>
    <t xml:space="preserve">RUA ADRIANA BARBOSA CARAN</t>
  </si>
  <si>
    <t xml:space="preserve">trecho curto sem ponto próprio — adotada a situação da mesma via (nome próprio, loteamento contíguo) em 2 ponto(s): p15=0%, p47=0%</t>
  </si>
  <si>
    <t xml:space="preserve">RUA PROF. AMARO NASCIMENTO MENDES</t>
  </si>
  <si>
    <t xml:space="preserve">RUA ALBINO NEGRIS</t>
  </si>
  <si>
    <t xml:space="preserve">trecho curto sem ponto próprio — adotada a situação da mesma via (nome próprio, loteamento contíguo) em 3 ponto(s): p15=0%, p47=0%</t>
  </si>
  <si>
    <t xml:space="preserve">RUA SÃO GABRIEL DA PALHA</t>
  </si>
  <si>
    <t xml:space="preserve">trecho curto sem ponto próprio — adotada a situação da mesma via (nome próprio, loteamento contíguo) em 1 ponto(s): p15=0%</t>
  </si>
  <si>
    <t xml:space="preserve">trecho leste (entre Esbertalina e a orla): stub curto de areia ao norte da Av. BH; lado sul fechado por vegetacao ate o Bar Lisboa | metragem rateada da malha OSM sem nome</t>
  </si>
  <si>
    <t xml:space="preserve">RUA NOVA VENÉCIA</t>
  </si>
  <si>
    <t xml:space="preserve">RUA LINHARES</t>
  </si>
  <si>
    <t xml:space="preserve">RUA CONCEIÇÃO DA BARRA</t>
  </si>
  <si>
    <t xml:space="preserve">trecho curto sem ponto próprio — adotada a situação da mesma via (nome próprio, loteamento contíguo) em 3 ponto(s): p15=0%, p42=100%</t>
  </si>
  <si>
    <t xml:space="preserve">AVENIDA PROJETADA (limite oeste)</t>
  </si>
  <si>
    <t xml:space="preserve">ligacao 'VAI PARA BARRA NOVA': trilha de areia conectando o fim da Av. BH a ES-010, visivel no sat_18760 | metragem rateada da malha OSM sem nome</t>
  </si>
  <si>
    <t xml:space="preserve">medido em 33 ponto(s) do Street View — confiança alta</t>
  </si>
  <si>
    <t xml:space="preserve">Obs. passeio: medido em 33 ponto(s) do Street View — ambos os lados=100%, um lado=50%, nenhum=0%</t>
  </si>
  <si>
    <t xml:space="preserve">Loteamento Melhorini Residencial Parque — planta nº 31</t>
  </si>
  <si>
    <t xml:space="preserve">Proprietário/empreendedor: Domingos Melhorini   |   Matrícula: 9.300 (26/11/2001)   |   Área oficial: 70.180 m²</t>
  </si>
  <si>
    <t xml:space="preserve">Auditoria completa: 10 pontos verificados neste loteamento (1 ponto a cada ~350 m de via) no Google Street View e. onde não há cobertura. em satélite. Metragem com traçado medido: 1.521 m; só de planta: 0 m.</t>
  </si>
  <si>
    <t xml:space="preserve">limite leste; cinza em hz_18435/18475 | corrigido por SV</t>
  </si>
  <si>
    <t xml:space="preserve">via interna N-S bege/areia (hz_18435_L/18475_L)</t>
  </si>
  <si>
    <t xml:space="preserve">via interna N-S bege/areia (hz_18435_L/18475_L); Rua VII = Prof. Amaro N. Mendes da planta</t>
  </si>
  <si>
    <t xml:space="preserve">limite sul; bege/areia em hz_18435/18475</t>
  </si>
  <si>
    <t xml:space="preserve">medido em 10 ponto(s) do Street View — confiança média</t>
  </si>
  <si>
    <t xml:space="preserve">Obs. passeio: medido em 10 ponto(s) do Street View — ambos os lados=100%, um lado=50%, nenhum=0%</t>
  </si>
  <si>
    <t xml:space="preserve">Loteamento Verão Vermelho — planta nº 35</t>
  </si>
  <si>
    <t xml:space="preserve">Proprietário/empreendedor: Neri Mariani   |   Matrícula: 16.265 (24/10/2003)   |   Área oficial: 402.084 m²</t>
  </si>
  <si>
    <t xml:space="preserve">Auditoria completa: 37 pontos verificados neste loteamento (1 ponto a cada ~350 m de via) no Google Street View e. onde não há cobertura. em satélite. Metragem com traçado medido: 2.772 m; só de planta: 7.830 m.</t>
  </si>
  <si>
    <t xml:space="preserve">RODOVIA BREJO VELHO da planta (fundos oeste); asfalto (ES-010), linha escura no satelite; apenas ~52 m dentro do poligono</t>
  </si>
  <si>
    <t xml:space="preserve">Rua Verão Vermelho</t>
  </si>
  <si>
    <t xml:space="preserve">6 ponto(s): 6 SV + 0 satélite (areia)</t>
  </si>
  <si>
    <t xml:space="preserve">AV. VERAO VERMELHO da planta (longitudinal sul): aberta em areia por ~2,16 km; casas concentradas no trecho centro-leste; extremo oeste com leito tenue</t>
  </si>
  <si>
    <t xml:space="preserve">saibro compactado cinzento, sem bloquete visivel dentro do p35; tag paving_stones do OSM nao confirmada</t>
  </si>
  <si>
    <t xml:space="preserve">1 ponto(s): 0 SV + 1 satélite (areia)</t>
  </si>
  <si>
    <t xml:space="preserve">aberta em areia junto as dunas no trecho norte do loteamento (ate ~-18.765); ao sul vira trilha na duna; 'Final do Calcadao Lado Sul' fica no limite norte do p35</t>
  </si>
  <si>
    <t xml:space="preserve">AV. EDÉSIO MARIANI</t>
  </si>
  <si>
    <t xml:space="preserve">longitudinal norte: aberta em areia por ~2,1 km (hz_18645/sat_18760), com a maior parte das casas do loteamento</t>
  </si>
  <si>
    <t xml:space="preserve">transversal leste (entre Esbertalina e a orla): trecho norte aberto em areia; fileira sul de quadras em mata fechada | metragem rateada da malha OSM</t>
  </si>
  <si>
    <t xml:space="preserve">aberta em areia no trecho entre a Av. Edesio Mariani e a R. Verao Vermelho (~150 m); prolongamentos norte/sul nao abertos | metragem rateada da malha OSM</t>
  </si>
  <si>
    <t xml:space="preserve">RUA PROF. AMARO NASC. MENDES</t>
  </si>
  <si>
    <t xml:space="preserve">RUA DARCY N. FORMIGONI</t>
  </si>
  <si>
    <t xml:space="preserve">RUA ODÉLIO NICO</t>
  </si>
  <si>
    <t xml:space="preserve">RUA ALVARO LEAL COLMON</t>
  </si>
  <si>
    <t xml:space="preserve">RUA ELISA MARIA DITTZ DE ABREU COSTA</t>
  </si>
  <si>
    <t xml:space="preserve">RUA RAISA BASTOS MAGNANO</t>
  </si>
  <si>
    <t xml:space="preserve">PEDRO ALVES RIBEIRO</t>
  </si>
  <si>
    <t xml:space="preserve">RUA DOMINGAS DUARTE SANTOS</t>
  </si>
  <si>
    <t xml:space="preserve">RUA OTÁVIO BOROTO</t>
  </si>
  <si>
    <t xml:space="preserve">RUA EDITH LAURA MOREIRA D'AVILA</t>
  </si>
  <si>
    <t xml:space="preserve">abertura parcial/tenue entre as duas avenidas (lon ~-39.761) | metragem rateada da malha OSM</t>
  </si>
  <si>
    <t xml:space="preserve">trecho oeste: apenas traco tenue no capim/vegetacao entre as avenidas</t>
  </si>
  <si>
    <t xml:space="preserve">RUA JAMIL ALHAKIM</t>
  </si>
  <si>
    <t xml:space="preserve">RUA MARIA TESOLIN CARRAFA</t>
  </si>
  <si>
    <t xml:space="preserve">RUA XXII</t>
  </si>
  <si>
    <t xml:space="preserve">extremo oeste (inclui area 2A dos campos de futebol/lazer, nao implantada): vegetacao/pasto sem leito visivel</t>
  </si>
  <si>
    <t xml:space="preserve">RUA XXIII (nao rotulada)</t>
  </si>
  <si>
    <t xml:space="preserve">RUA XXIV (nao rotulada)</t>
  </si>
  <si>
    <t xml:space="preserve">RUA XXV</t>
  </si>
  <si>
    <t xml:space="preserve">RUA XXVI</t>
  </si>
  <si>
    <t xml:space="preserve">RUA XXVII</t>
  </si>
  <si>
    <t xml:space="preserve">RUA XXVIII</t>
  </si>
  <si>
    <t xml:space="preserve">RUA XXIX</t>
  </si>
  <si>
    <t xml:space="preserve">RUA XXX</t>
  </si>
  <si>
    <t xml:space="preserve">RUA XXXI</t>
  </si>
  <si>
    <t xml:space="preserve">RUA XXXII</t>
  </si>
  <si>
    <t xml:space="preserve">medido em 19 ponto(s) do Street View — confiança alta</t>
  </si>
  <si>
    <t xml:space="preserve">Obs. passeio: medido em 19 ponto(s) do Street View — ambos os lados=100%, um lado=50%, nenhum=0%</t>
  </si>
  <si>
    <t xml:space="preserve">Loteamento Residencial Ilha de Guriri I — planta nº 36</t>
  </si>
  <si>
    <t xml:space="preserve">Proprietário/empreendedor: Airton Ruberth   |   Matrícula: 15.191 (12/11/2003)   |   Área oficial: 77.639 m²</t>
  </si>
  <si>
    <t xml:space="preserve">Auditoria completa: 9 pontos verificados neste loteamento (1 ponto a cada ~350 m de via) no Google Street View e. onde não há cobertura. em satélite. Metragem com traçado medido: 1.995 m; só de planta: 0 m.</t>
  </si>
  <si>
    <t xml:space="preserve">Asfalto (ES-010 real, beira-rio); cinza com acostamento rural, sem passeio.</t>
  </si>
  <si>
    <t xml:space="preserve">Rua José Pereira de Amorim</t>
  </si>
  <si>
    <t xml:space="preserve">Areia/bege no satelite (hz_18355_O/18395_O).</t>
  </si>
  <si>
    <t xml:space="preserve">Rua Trinta e Três</t>
  </si>
  <si>
    <t xml:space="preserve">Rua Elis Regina</t>
  </si>
  <si>
    <t xml:space="preserve">Trilha de areia; trecho sul pouco definido em meio a pasto.</t>
  </si>
  <si>
    <t xml:space="preserve">ES-010</t>
  </si>
  <si>
    <t xml:space="preserve">Way OSM nomeada ES-010 porem residencial/dirt: e via de areia paralela a estrada asfaltada; nome enganoso.</t>
  </si>
  <si>
    <t xml:space="preserve">Rua Rafael Barbosa Brahin</t>
  </si>
  <si>
    <t xml:space="preserve">Areia na faixa edificada junto a estrada.</t>
  </si>
  <si>
    <t xml:space="preserve">Leôncio Medeiros</t>
  </si>
  <si>
    <t xml:space="preserve">medido em 8 ponto(s) do Street View — confiança média</t>
  </si>
  <si>
    <t xml:space="preserve">Obs. passeio: medido em 8 ponto(s) do Street View — ambos os lados=100%, um lado=50%, nenhum=0%</t>
  </si>
  <si>
    <t xml:space="preserve">Loteamento Central — planta nº 39</t>
  </si>
  <si>
    <t xml:space="preserve">Proprietário/empreendedor: Kajuzal Camping   |   Matrícula: 16.104 (25/11/2003)   |   Área oficial: 124.388 m²</t>
  </si>
  <si>
    <t xml:space="preserve">Auditoria completa: 10 pontos verificados neste loteamento (1 ponto a cada ~350 m de via) no Google Street View e. onde não há cobertura. em satélite. Metragem com traçado medido: 3.725 m; só de planta: 0 m.</t>
  </si>
  <si>
    <t xml:space="preserve">limite oeste na planta (leste geografico); cinza em hz_18475_L | corrigido por SV</t>
  </si>
  <si>
    <t xml:space="preserve">via N-S bege/areia (hz_18475_L)</t>
  </si>
  <si>
    <t xml:space="preserve">trecho curto sem ponto próprio — adotada a situação da mesma via (nome próprio, loteamento contíguo) em 5 ponto(s): p10=100%, p15=0%, p25=0%, p31=0%, p47=0%</t>
  </si>
  <si>
    <t xml:space="preserve">trecho curto sem ponto próprio — adotada a situação da mesma via (nome próprio, loteamento contíguo) em 3 ponto(s): p25=0%, p31=100%, p7=0%</t>
  </si>
  <si>
    <t xml:space="preserve">limite norte; bege/areia</t>
  </si>
  <si>
    <t xml:space="preserve">limite sul; bege/areia (hz_18475_L)</t>
  </si>
  <si>
    <t xml:space="preserve">trecho curto sem ponto próprio — adotada a situação da mesma via (nome próprio, loteamento contíguo) em 1 ponto(s): p25=0%</t>
  </si>
  <si>
    <t xml:space="preserve">transversal central (=Rua Colatina da planta); bege/areia</t>
  </si>
  <si>
    <t xml:space="preserve">Rua São Daniel Camboni</t>
  </si>
  <si>
    <t xml:space="preserve">mesmo eixo transversal central, grafia OSM do trecho leste; bege/areia</t>
  </si>
  <si>
    <t xml:space="preserve">trecho curto sem ponto próprio — adotada a situação da mesma via (nome próprio, loteamento contíguo) em 1 ponto(s): p7=100%</t>
  </si>
  <si>
    <t xml:space="preserve">fragmento de 5 m do mesmo eixo de areia junto a Esbertalina</t>
  </si>
  <si>
    <t xml:space="preserve">29 m de links sem tag no cruzamento com a Av. Esbertalina; assumidos como parte do corredor pavimentado</t>
  </si>
  <si>
    <t xml:space="preserve">Loteamento Residencial Bom Jesus — planta nº 42</t>
  </si>
  <si>
    <t xml:space="preserve">Proprietário/empreendedor: Kajuzal Camping   |   Matrícula: 15.989 (23/12/2003)   |   Área oficial: 1.089.673 m²</t>
  </si>
  <si>
    <t xml:space="preserve">Auditoria completa: 70 pontos verificados neste loteamento (1 ponto a cada ~350 m de via) no Google Street View e. onde não há cobertura. em satélite. Metragem com traçado medido: 21.624 m; só de planta: 2.076 m.</t>
  </si>
  <si>
    <t xml:space="preserve">Rua Macapá</t>
  </si>
  <si>
    <t xml:space="preserve">aberta so no trecho leste da Av. Esbertalina ate a orla (~350-500 m); metade oeste em mata (faixa entre p35 e p42) | corrigido por SV</t>
  </si>
  <si>
    <t xml:space="preserve">Rua Belém</t>
  </si>
  <si>
    <t xml:space="preserve">3 ponto(s): 2 SV + 1 satélite (bloquete)</t>
  </si>
  <si>
    <t xml:space="preserve">aberta da R. Sao Paulo para leste (~760 m); extremo oeste nao aberto (mata) | corrigido por SV</t>
  </si>
  <si>
    <t xml:space="preserve">Rua João Pessoa</t>
  </si>
  <si>
    <t xml:space="preserve">4 ponto(s): 4 SV + 0 satélite (bloquete)</t>
  </si>
  <si>
    <t xml:space="preserve">aberta em areia por toda a largura (Porto Velho ate Conceicao da Barra) | corrigido por SV</t>
  </si>
  <si>
    <t xml:space="preserve">Rua Maceió</t>
  </si>
  <si>
    <t xml:space="preserve">4 ponto(s): 1 SV + 3 satélite (bloquete)</t>
  </si>
  <si>
    <t xml:space="preserve">aberta em areia por toda a largura | corrigido por SV</t>
  </si>
  <si>
    <t xml:space="preserve">Rua Natal</t>
  </si>
  <si>
    <t xml:space="preserve">Rua Recife</t>
  </si>
  <si>
    <t xml:space="preserve">4 ponto(s): 2 SV + 2 satélite (bloquete)</t>
  </si>
  <si>
    <t xml:space="preserve">Rua Cuiabá</t>
  </si>
  <si>
    <t xml:space="preserve">4 ponto(s): 2 SV + 2 satélite (areia, bloquete)</t>
  </si>
  <si>
    <t xml:space="preserve">Rua Salvador</t>
  </si>
  <si>
    <t xml:space="preserve">aberta em areia; trecho leste com boa ocupacao | corrigido por SV</t>
  </si>
  <si>
    <t xml:space="preserve">Rua Vitória</t>
  </si>
  <si>
    <t xml:space="preserve">aberta em areia; trecho leste denso (Recanto dos Pioneiros) | corrigido por SV</t>
  </si>
  <si>
    <t xml:space="preserve">Rua Brasília</t>
  </si>
  <si>
    <t xml:space="preserve">Rua Campo Grande</t>
  </si>
  <si>
    <t xml:space="preserve">Rua Curitiba</t>
  </si>
  <si>
    <t xml:space="preserve">3 ponto(s): 1 SV + 2 satélite (areia, bloquete)</t>
  </si>
  <si>
    <t xml:space="preserve">aberta em areia; so existe a oeste da Av. Esbertalina (OSM 1.013 m; a leste ficam as quadras do Camurupin Clube) | corrigido por SV</t>
  </si>
  <si>
    <t xml:space="preserve">Rua Florianópolis</t>
  </si>
  <si>
    <t xml:space="preserve">OSM tem way tertiary 'paved'; satelite mostra leito de areia na maior parte, com possivel trecho cinzento curto no acesso leste (Camurupin/orla); estimado 20% pavimentado | corrigido por SV</t>
  </si>
  <si>
    <t xml:space="preserve">Avenida Conceição da Barra</t>
  </si>
  <si>
    <t xml:space="preserve">avenida beira-mar (canteiro 10/3/10 da planta nao implantado): leito unico graded de areia/saibro por ~1,6 km | corrigido por SV</t>
  </si>
  <si>
    <t xml:space="preserve">AVENIDA ALEGRE da planta (canteiro 10/2/10 nao implantado); saibro compactado cinzento, sem bloquete visivel; tag paving_stones nao confirmada</t>
  </si>
  <si>
    <t xml:space="preserve">continuacao sul do mesmo eixo (= Av. Alegre) ate a R. Curitiba; leito de saibro/areia</t>
  </si>
  <si>
    <t xml:space="preserve">2 ponto(s): 1 SV + 1 satélite (bloquete)</t>
  </si>
  <si>
    <t xml:space="preserve">longitudinal N-S (~lon -39.755): aberta em areia, trecho central com falhas/vegetacao | corrigido por SV</t>
  </si>
  <si>
    <t xml:space="preserve">Rua São Paulo</t>
  </si>
  <si>
    <t xml:space="preserve">1 ponto(s): 0 SV + 1 satélite (bloquete)</t>
  </si>
  <si>
    <t xml:space="preserve">longitudinal aberta em areia (OSM 674 m, metade sul) | corrigido por SV</t>
  </si>
  <si>
    <t xml:space="preserve">Rua Rio de Janeiro</t>
  </si>
  <si>
    <t xml:space="preserve">longitudinal aberta em areia por toda a extensao (~760 m) | corrigido por SV</t>
  </si>
  <si>
    <t xml:space="preserve">12 ponto(s): 9 SV + 3 satélite (areia, bloquete)</t>
  </si>
  <si>
    <t xml:space="preserve">2.628 m em 9 ways: inclui a RUA PORTO ALEGRE e trechos nao nomeados; nao somar em dobro com as entradas de planta abaixo | reduzido 1.370 m (Rua Porto Alegre listada em separado)</t>
  </si>
  <si>
    <t xml:space="preserve">RUA PORTO ALEGRE</t>
  </si>
  <si>
    <t xml:space="preserve">transversal sul (divisa com o Bosque da Praia, ~lat -18.7741): aberta em areia por ~1,3 km (hz_18730)</t>
  </si>
  <si>
    <t xml:space="preserve">RUA PORTO VELHO</t>
  </si>
  <si>
    <t xml:space="preserve">longitudinal oeste: aberta em areia (OSM 706 m, mas os ways cairam ~10 m fora do poligono na medicao)</t>
  </si>
  <si>
    <t xml:space="preserve">medido em 48 ponto(s) do Street View — confiança alta</t>
  </si>
  <si>
    <t xml:space="preserve">Obs. passeio: medido em 48 ponto(s) do Street View — ambos os lados=100%, um lado=50%, nenhum=0%</t>
  </si>
  <si>
    <t xml:space="preserve">Loteamento Praiano — planta nº 47</t>
  </si>
  <si>
    <t xml:space="preserve">Proprietário/empreendedor: Praiano Guriri Clube   |   Matrícula: 10.725   |   Área oficial: 96.800 m²</t>
  </si>
  <si>
    <t xml:space="preserve">Auditoria completa: 15 pontos verificados neste loteamento (1 ponto a cada ~350 m de via) no Google Street View e. onde não há cobertura. em satélite. Metragem com traçado medido: 2.612 m; só de planta: 0 m.</t>
  </si>
  <si>
    <t xml:space="preserve">divisa leste (20 m na planta); cinza em hz_18475/18515 | corrigido por SV</t>
  </si>
  <si>
    <t xml:space="preserve">trecho curto sem ponto próprio — adotada a situação da mesma via (nome próprio, loteamento contíguo) em 10 ponto(s): p10=100%, p15=62%, p25=100%, p27=100%, p7=100%</t>
  </si>
  <si>
    <t xml:space="preserve">mesmo eixo pavimentado</t>
  </si>
  <si>
    <t xml:space="preserve">via interna N-S bege/areia (hz_18475_L/18515_L)</t>
  </si>
  <si>
    <t xml:space="preserve">via interna N-S bege/areia (hz_18475_L/18515_L); Rua VII = Prof. Amaro N. Mendes</t>
  </si>
  <si>
    <t xml:space="preserve">Av. Praiano da planta (20 m com canteiro); bege/areia em hz_18475/18515, canteiro nao pavimentado</t>
  </si>
  <si>
    <t xml:space="preserve">divisa sul; bege/areia (hz_18515_L)</t>
  </si>
  <si>
    <t xml:space="preserve">toco de 12 m na divisa norte; corredor de areia</t>
  </si>
  <si>
    <t xml:space="preserve">69 m residential sem tag; nenhum corredor cinza interno no poligono alem da Esbertalina</t>
  </si>
  <si>
    <t xml:space="preserve">Loteamento Vale do Amazonas — planta nº 49</t>
  </si>
  <si>
    <t xml:space="preserve">Proprietário/empreendedor: Igor Vescovi Devens   |   Matrícula: 15.185   |   Área oficial: 77.639 m²</t>
  </si>
  <si>
    <t xml:space="preserve">Auditoria completa: 4 pontos verificados neste loteamento (1 ponto a cada ~350 m de via) no Google Street View e. onde não há cobertura. em satélite. Metragem com traçado medido: 1.154 m; só de planta: 0 m.</t>
  </si>
  <si>
    <t xml:space="preserve">Rua Oswaldo Manoel Pimenta Ramos</t>
  </si>
  <si>
    <t xml:space="preserve">Areia; tracado em 3 trechos, partes oeste/sul pouco definidas com grama.</t>
  </si>
  <si>
    <t xml:space="preserve">Rua Gentil Otaviano Fundão Santos</t>
  </si>
  <si>
    <t xml:space="preserve">Areia; trechos fragmentados por vegetacao no lado oeste.</t>
  </si>
  <si>
    <t xml:space="preserve">medido em 4 ponto(s) do Street View — confiança baixa</t>
  </si>
  <si>
    <t xml:space="preserve">Obs. passeio: medido em 4 ponto(s) do Street View — ambos os lados=100%, um lado=50%, nenhum=0%; amostra pequena, tratar como indicativo</t>
  </si>
  <si>
    <t xml:space="preserve">Loteamento Flor Pan — planta nº 50</t>
  </si>
  <si>
    <t xml:space="preserve">Proprietário/empreendedor: Antonio Costa   |   Matrícula: 15.189   |   Área oficial: 77.639 m²</t>
  </si>
  <si>
    <t xml:space="preserve">Auditoria completa: 9 pontos verificados neste loteamento (1 ponto a cada ~350 m de via) no Google Street View e. onde não há cobertura. em satélite. Metragem com traçado medido: 1.809 m; só de planta: 0 m.</t>
  </si>
  <si>
    <t xml:space="preserve">Plínio Borotto</t>
  </si>
  <si>
    <t xml:space="preserve">medido em 9 ponto(s) do Street View — confiança média</t>
  </si>
  <si>
    <t xml:space="preserve">Obs. passeio: medido em 9 ponto(s) do Street View — ambos os lados=100%, um lado=50%, nenhum=0%</t>
  </si>
  <si>
    <t xml:space="preserve">Loteamento Residencial Evidência — planta nº 60</t>
  </si>
  <si>
    <t xml:space="preserve">Proprietário/empreendedor: Anildo Moreira Tavares   |   Matrícula: 9.497   |   Área oficial: 138.514 m²</t>
  </si>
  <si>
    <t xml:space="preserve">Auditoria completa: 22 pontos verificados neste loteamento (1 ponto a cada ~350 m de via) no Google Street View e. onde não há cobertura. em satélite. Metragem com traçado medido: 3.885 m; só de planta: 0 m.</t>
  </si>
  <si>
    <t xml:space="preserve">areia clara no satelite (hz_18315_O)</t>
  </si>
  <si>
    <t xml:space="preserve">Rua Edaval Pedro Barcello</t>
  </si>
  <si>
    <t xml:space="preserve">Rua XXVIII</t>
  </si>
  <si>
    <t xml:space="preserve">Rua XXIX</t>
  </si>
  <si>
    <t xml:space="preserve">trecho de 217 m medido no p60 fica a leste do entroncamento com a Av. Othovarino = areia; o trecho oeste asfaltado do corredor (ES-010) esta contabilizado no p13</t>
  </si>
  <si>
    <t xml:space="preserve">E-W na cauda sul do loteamento; areia</t>
  </si>
  <si>
    <t xml:space="preserve">Rua Beatriz Barbosa de Aguiar</t>
  </si>
  <si>
    <t xml:space="preserve">Rua Trinta e Oito</t>
  </si>
  <si>
    <t xml:space="preserve">Rua Petrobrás</t>
  </si>
  <si>
    <t xml:space="preserve">DIVERGE do OSM (dirt): satelite mostra pista cinza continua com pontos de onibus - corredor da rota ES-010 que desce ate o Supermercado SuperGiro; aparenta asfalto antigo</t>
  </si>
  <si>
    <t xml:space="preserve">Quarenta e Cinco</t>
  </si>
  <si>
    <t xml:space="preserve">Quarenta e Seis</t>
  </si>
  <si>
    <t xml:space="preserve">medido em 22 ponto(s) do Street View — confiança alta</t>
  </si>
  <si>
    <t xml:space="preserve">Obs. passeio: medido em 22 ponto(s) do Street View — ambos os lados=100%, um lado=50%, nenhum=0%</t>
  </si>
  <si>
    <t xml:space="preserve">Loteamento Pontal de Guriri — planta nº 70</t>
  </si>
  <si>
    <t xml:space="preserve">Proprietário/empreendedor: João Bosco Cevolane   |   Matrícula: 19.747   |   Área oficial: 244.195 m²</t>
  </si>
  <si>
    <t xml:space="preserve">Auditoria completa: 28 pontos verificados neste loteamento (1 ponto a cada ~350 m de via) no Google Street View e. onde não há cobertura. em satélite. Metragem com traçado medido: 6.052 m; só de planta: 0 m.</t>
  </si>
  <si>
    <t xml:space="preserve">faixa norte do grid, areia clara no satelite (hz_18245_O)</t>
  </si>
  <si>
    <t xml:space="preserve">vias sem nome do grid do Pontal, incl. eixo E-W da Av. Samuel Scardini (18,5 m na planta) - tudo areia no satelite</t>
  </si>
  <si>
    <t xml:space="preserve">Rua XXXV</t>
  </si>
  <si>
    <t xml:space="preserve">medido em 23 ponto(s) do Street View — confiança alta</t>
  </si>
  <si>
    <t xml:space="preserve">Obs. passeio: medido em 23 ponto(s) do Street View — ambos os lados=100%, um lado=50%, nenhum=0%</t>
  </si>
  <si>
    <t xml:space="preserve">Loteamento João de Barro (COHAJOBA) — planta nº 78</t>
  </si>
  <si>
    <t xml:space="preserve">Proprietário/empreendedor: COHAJOBA   |   Matrícula: 19.792   |   Área oficial: 54.750 m²</t>
  </si>
  <si>
    <t xml:space="preserve">Auditoria completa: 14 pontos verificados neste loteamento (1 ponto a cada ~350 m de via) no Google Street View e. onde não há cobertura. em satélite. Metragem com traçado medido: 0 m; só de planta: 1.490 m.</t>
  </si>
  <si>
    <t xml:space="preserve">AVENIDA PROJETADA - 01</t>
  </si>
  <si>
    <t xml:space="preserve">eixo central ENE-WSW (~500 m): consolidado em areia no trecho leste (~300 m, lotes murados); a oeste apenas traco no pasto</t>
  </si>
  <si>
    <t xml:space="preserve">RUA PLINIO BOROTTO</t>
  </si>
  <si>
    <t xml:space="preserve">extremo oeste: leito apenas demarcado no pasto, nao consolidado</t>
  </si>
  <si>
    <t xml:space="preserve">RUA MARIA TEZOLIN GARRAFA</t>
  </si>
  <si>
    <t xml:space="preserve">leito apenas demarcado no pasto, nao consolidado</t>
  </si>
  <si>
    <t xml:space="preserve">traco tenue no pasto</t>
  </si>
  <si>
    <t xml:space="preserve">RUA ROGÉRIO CAMPISTA CORREIRA</t>
  </si>
  <si>
    <t xml:space="preserve">na borda da area consolidada (~lon -39.760); abertura parcial</t>
  </si>
  <si>
    <t xml:space="preserve">RUA EDITH LAURA MOREIRA D'ALMEIDA</t>
  </si>
  <si>
    <t xml:space="preserve">aberta em areia, grade visivel (hz_18565)</t>
  </si>
  <si>
    <t xml:space="preserve">RUA OCTAVIO BOROTTO</t>
  </si>
  <si>
    <t xml:space="preserve">aberta em areia, quadras com muros</t>
  </si>
  <si>
    <t xml:space="preserve">RUA DOMINGOS DUARTE SANTOS</t>
  </si>
  <si>
    <t xml:space="preserve">aberta em areia</t>
  </si>
  <si>
    <t xml:space="preserve">aberta em areia; alinha com a R. Pedro Alves Ribeiro de Guriri (lon -39.7576)</t>
  </si>
  <si>
    <t xml:space="preserve">extremo leste, junto a ETE/RA; aberta em areia</t>
  </si>
  <si>
    <t xml:space="preserve">medido em 0 ponto(s) do Street View — confiança baixa</t>
  </si>
  <si>
    <t xml:space="preserve">Obs. passeio: sem cobertura de Street View no loteamento — mantida a estimativa anterior por satélite/analogia; NÃO verificado ponto a ponto</t>
  </si>
  <si>
    <t xml:space="preserve">Loteamento Soma Cevolani (Golden Guriri) — planta nº 80</t>
  </si>
  <si>
    <t xml:space="preserve">Proprietário/empreendedor: Soma Cevolani SPE   |   Matrícula: 52.586   |   Área oficial: 234.672 m²</t>
  </si>
  <si>
    <t xml:space="preserve">Auditoria completa: 32 pontos verificados neste loteamento (1 ponto a cada ~350 m de via) no Google Street View e. onde não há cobertura. em satélite. Metragem com traçado medido: 0 m; só de planta: 4.952 m.</t>
  </si>
  <si>
    <t xml:space="preserve">Avenida Copacabana</t>
  </si>
  <si>
    <t xml:space="preserve">avenida coletora 25 m com canteiro/ciclovia; pista cinza com meio-fio e setas de mao; inclui acesso pela area verde ate rotatoria ELUP1 na ES-010 e 2a rotatoria na quadra F (hz_18235_L)</t>
  </si>
  <si>
    <t xml:space="preserve">Rua Ipanema</t>
  </si>
  <si>
    <t xml:space="preserve">perimetral NW paralela a Copacabana; pista cinza com meio-fio</t>
  </si>
  <si>
    <t xml:space="preserve">Rua Praia Grande</t>
  </si>
  <si>
    <t xml:space="preserve">longitudinal interna; pista cinza com meio-fio</t>
  </si>
  <si>
    <t xml:space="preserve">Rua Canoa Quebrada</t>
  </si>
  <si>
    <t xml:space="preserve">perimetral SE junto a malha antiga de Guriri Norte; pista cinza com meio-fio</t>
  </si>
  <si>
    <t xml:space="preserve">Rua Boa Viagem</t>
  </si>
  <si>
    <t xml:space="preserve">transversal junto a rotatoria da quadra F; segmento extra contornando a quadra Z nao distinguivel individualmente, mas todo o grid aparece pavimentado</t>
  </si>
  <si>
    <t xml:space="preserve">Rua Praia do Espelho</t>
  </si>
  <si>
    <t xml:space="preserve">transversal; pista cinza com meio-fio</t>
  </si>
  <si>
    <t xml:space="preserve">Rua Jurere</t>
  </si>
  <si>
    <t xml:space="preserve">Rua Cabo Branco</t>
  </si>
  <si>
    <t xml:space="preserve">transversal no extremo oeste do grid (visivel tambem em hz_18245_O a direita); pista cinza com meio-fio</t>
  </si>
  <si>
    <t xml:space="preserve">medido em 2 ponto(s) do Street View — confiança baixa</t>
  </si>
  <si>
    <t xml:space="preserve">Obs. passeio: medido em 2 ponto(s) do Street View — ambos os lados=100%, um lado=50%, nenhum=0%; amostra pequena, tratar como indicativo</t>
  </si>
  <si>
    <t xml:space="preserve">Loteamento Pontal de Guriri II — planta nº 84</t>
  </si>
  <si>
    <t xml:space="preserve">Proprietário/empreendedor: João Bosco Cevolane Ltda   |   Matrícula: 54.633   |   Área oficial: 44.371 m²</t>
  </si>
  <si>
    <t xml:space="preserve">Auditoria completa: 14 pontos verificados neste loteamento (1 ponto a cada ~350 m de via) no Google Street View e. onde não há cobertura. em satélite. Metragem com traçado medido: 0 m; só de planta: 1.073 m.</t>
  </si>
  <si>
    <t xml:space="preserve">Avenida Samuel Scardini</t>
  </si>
  <si>
    <t xml:space="preserve">avenida central E-W (18,5 m na planta); aberta em areia, continuacao do eixo do p70; OSM: way sem nome unpaved</t>
  </si>
  <si>
    <t xml:space="preserve">Rua Plínio Boroto</t>
  </si>
  <si>
    <t xml:space="preserve">N-S entre Q1/Q7 e Q2/Q6; aberta em areia (hz_18245_O)</t>
  </si>
  <si>
    <t xml:space="preserve">trecho curto sem ponto próprio — adotada a situação da mesma via (nome próprio, loteamento contíguo) em 3 ponto(s): p10=0%, p13=0%, p50=0%</t>
  </si>
  <si>
    <t xml:space="preserve">N-S entre Q2/Q6 e Q3/Q5; aberta em areia</t>
  </si>
  <si>
    <t xml:space="preserve">trecho curto sem ponto próprio — adotada a situação da mesma via (nome próprio, loteamento contíguo) em 1 ponto(s): p13=0%</t>
  </si>
  <si>
    <t xml:space="preserve">N-S junto a Q4; aparece so como trilha tenue na areia/vegetacao rasteira - quase nao aberta</t>
  </si>
  <si>
    <t xml:space="preserve">Rua Abilio Duque de Lima</t>
  </si>
  <si>
    <t xml:space="preserve">E-W na divisa sul (12 m na planta); corredor em areia com casas da malha antiga ao sul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</si>
</sst>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0%"/>
    <numFmt numFmtId="168" formatCode="#,##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sz val="9"/>
      <name val="Arial"/>
      <family val="0"/>
      <charset val="1"/>
    </font>
    <font>
      <i val="true"/>
      <sz val="8"/>
      <color rgb="FF777777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name val="Arial"/>
      <family val="0"/>
      <charset val="1"/>
    </font>
    <font>
      <sz val="8"/>
      <name val="Arial"/>
      <family val="0"/>
      <charset val="1"/>
    </font>
    <font>
      <b val="true"/>
      <sz val="13"/>
      <color rgb="FF1F4E79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0000FF"/>
      <name val="Arial"/>
      <family val="0"/>
      <charset val="1"/>
    </font>
    <font>
      <i val="true"/>
      <sz val="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DEBF7"/>
        <bgColor rgb="FFD9D9D9"/>
      </patternFill>
    </fill>
    <fill>
      <patternFill patternType="solid">
        <fgColor rgb="FFC6EFCE"/>
        <bgColor rgb="FFDDEBF7"/>
      </patternFill>
    </fill>
    <fill>
      <patternFill patternType="solid">
        <fgColor rgb="FFF8CBAD"/>
        <bgColor rgb="FFFFE8B3"/>
      </patternFill>
    </fill>
    <fill>
      <patternFill patternType="solid">
        <fgColor rgb="FFFFE8B3"/>
        <bgColor rgb="FFFFFF99"/>
      </patternFill>
    </fill>
    <fill>
      <patternFill patternType="solid">
        <fgColor rgb="FFD9D9D9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77777"/>
      <rgbColor rgb="FF9999FF"/>
      <rgbColor rgb="FF993366"/>
      <rgbColor rgb="FFFFE8B3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11"/>
    <col collapsed="false" customWidth="true" hidden="false" outlineLevel="0" max="12" min="10" style="0" width="14"/>
    <col collapsed="false" customWidth="true" hidden="false" outlineLevel="0" max="13" min="13" style="0" width="13"/>
    <col collapsed="false" customWidth="true" hidden="false" outlineLevel="0" max="14" min="14" style="0" width="10"/>
    <col collapsed="false" customWidth="true" hidden="false" outlineLevel="0" max="15" min="15" style="0" width="13"/>
    <col collapsed="false" customWidth="true" hidden="false" outlineLevel="0" max="16" min="16" style="0" width="14"/>
    <col collapsed="false" customWidth="true" hidden="false" outlineLevel="0" max="17" min="17" style="0" width="15"/>
    <col collapsed="false" customWidth="true" hidden="false" outlineLevel="0" max="18" min="18" style="0" width="16"/>
    <col collapsed="false" customWidth="true" hidden="false" outlineLevel="0" max="20" min="19" style="0" width="11"/>
  </cols>
  <sheetData>
    <row r="1" customFormat="false" ht="17.35" hidden="false" customHeight="false" outlineLevel="0" collapsed="false">
      <c r="A1" s="1" t="s">
        <v>0</v>
      </c>
    </row>
    <row r="2" customFormat="false" ht="39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customFormat="false" ht="39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5" customFormat="false" ht="22.3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</row>
    <row r="6" customFormat="false" ht="15" hidden="false" customHeight="false" outlineLevel="0" collapsed="false">
      <c r="A6" s="5" t="n">
        <v>7</v>
      </c>
      <c r="B6" s="5" t="s">
        <v>23</v>
      </c>
      <c r="C6" s="5" t="s">
        <v>24</v>
      </c>
      <c r="D6" s="5" t="s">
        <v>25</v>
      </c>
      <c r="E6" s="6" t="n">
        <v>578500</v>
      </c>
      <c r="F6" s="6" t="n">
        <v>20</v>
      </c>
      <c r="G6" s="6" t="n">
        <f aca="false">'07 Balneário de Guriri'!B26</f>
        <v>16241.4</v>
      </c>
      <c r="H6" s="6" t="n">
        <f aca="false">'07 Balneário de Guriri'!E26</f>
        <v>9731.3</v>
      </c>
      <c r="I6" s="7" t="n">
        <f aca="false">IF(G6=0,0,H6/G6)</f>
        <v>0.599166328025909</v>
      </c>
      <c r="J6" s="6" t="n">
        <f aca="false">'07 Balneário de Guriri'!F26</f>
        <v>6510.1</v>
      </c>
      <c r="K6" s="6" t="n">
        <f aca="false">'07 Balneário de Guriri'!D28</f>
        <v>52080.8</v>
      </c>
      <c r="L6" s="6" t="n">
        <f aca="false">'07 Balneário de Guriri'!D31</f>
        <v>6496.56</v>
      </c>
      <c r="M6" s="6" t="n">
        <f aca="false">'07 Balneário de Guriri'!D32</f>
        <v>25986.24</v>
      </c>
      <c r="N6" s="6" t="n">
        <v>58</v>
      </c>
      <c r="O6" s="6" t="n">
        <v>16241</v>
      </c>
      <c r="P6" s="6" t="n">
        <v>0</v>
      </c>
      <c r="Q6" s="6" t="n">
        <v>6510</v>
      </c>
      <c r="R6" s="6" t="n">
        <v>0</v>
      </c>
      <c r="S6" s="8" t="n">
        <v>0.6</v>
      </c>
      <c r="T6" s="5" t="s">
        <v>26</v>
      </c>
    </row>
    <row r="7" customFormat="false" ht="15" hidden="false" customHeight="false" outlineLevel="0" collapsed="false">
      <c r="A7" s="5" t="n">
        <v>9</v>
      </c>
      <c r="B7" s="5" t="s">
        <v>27</v>
      </c>
      <c r="C7" s="5" t="s">
        <v>28</v>
      </c>
      <c r="D7" s="5" t="s">
        <v>29</v>
      </c>
      <c r="E7" s="6" t="n">
        <v>1728555</v>
      </c>
      <c r="F7" s="6" t="n">
        <v>40</v>
      </c>
      <c r="G7" s="6" t="n">
        <f aca="false">'09 Bosque da Praia'!B46</f>
        <v>36392.4</v>
      </c>
      <c r="H7" s="6" t="n">
        <f aca="false">'09 Bosque da Praia'!E46</f>
        <v>0</v>
      </c>
      <c r="I7" s="7" t="n">
        <f aca="false">IF(G7=0,0,H7/G7)</f>
        <v>0</v>
      </c>
      <c r="J7" s="6" t="n">
        <f aca="false">'09 Bosque da Praia'!F46</f>
        <v>36392.4</v>
      </c>
      <c r="K7" s="6" t="n">
        <f aca="false">'09 Bosque da Praia'!D48</f>
        <v>291139.2</v>
      </c>
      <c r="L7" s="6" t="n">
        <f aca="false">'09 Bosque da Praia'!D51</f>
        <v>32796.28</v>
      </c>
      <c r="M7" s="6" t="n">
        <f aca="false">'09 Bosque da Praia'!D52</f>
        <v>131185.12</v>
      </c>
      <c r="N7" s="6" t="n">
        <v>27</v>
      </c>
      <c r="O7" s="6" t="n">
        <v>942</v>
      </c>
      <c r="P7" s="6" t="n">
        <v>35450</v>
      </c>
      <c r="Q7" s="6" t="n">
        <v>942</v>
      </c>
      <c r="R7" s="6" t="n">
        <v>35450</v>
      </c>
      <c r="S7" s="8" t="n">
        <v>0.05</v>
      </c>
      <c r="T7" s="5" t="s">
        <v>30</v>
      </c>
    </row>
    <row r="8" customFormat="false" ht="15" hidden="false" customHeight="false" outlineLevel="0" collapsed="false">
      <c r="A8" s="5" t="n">
        <v>10</v>
      </c>
      <c r="B8" s="5" t="s">
        <v>31</v>
      </c>
      <c r="C8" s="5" t="s">
        <v>32</v>
      </c>
      <c r="D8" s="5" t="s">
        <v>33</v>
      </c>
      <c r="E8" s="6" t="n">
        <v>757170</v>
      </c>
      <c r="F8" s="6" t="n">
        <v>32</v>
      </c>
      <c r="G8" s="6" t="n">
        <f aca="false">'10 Parque dos Albatrozes'!B38</f>
        <v>17996.4</v>
      </c>
      <c r="H8" s="6" t="n">
        <f aca="false">'10 Parque dos Albatrozes'!E38</f>
        <v>5685.3</v>
      </c>
      <c r="I8" s="7" t="n">
        <f aca="false">IF(G8=0,0,H8/G8)</f>
        <v>0.315913182636527</v>
      </c>
      <c r="J8" s="6" t="n">
        <f aca="false">'10 Parque dos Albatrozes'!F38</f>
        <v>12311.1</v>
      </c>
      <c r="K8" s="6" t="n">
        <f aca="false">'10 Parque dos Albatrozes'!D40</f>
        <v>98488.8</v>
      </c>
      <c r="L8" s="6" t="n">
        <f aca="false">'10 Parque dos Albatrozes'!D43</f>
        <v>8458.308</v>
      </c>
      <c r="M8" s="6" t="n">
        <f aca="false">'10 Parque dos Albatrozes'!D44</f>
        <v>33833.232</v>
      </c>
      <c r="N8" s="6" t="n">
        <v>54</v>
      </c>
      <c r="O8" s="6" t="n">
        <v>17996</v>
      </c>
      <c r="P8" s="6" t="n">
        <v>0</v>
      </c>
      <c r="Q8" s="6" t="n">
        <v>12311</v>
      </c>
      <c r="R8" s="6" t="n">
        <v>0</v>
      </c>
      <c r="S8" s="8" t="n">
        <v>0.53</v>
      </c>
      <c r="T8" s="5" t="s">
        <v>26</v>
      </c>
    </row>
    <row r="9" customFormat="false" ht="15" hidden="false" customHeight="false" outlineLevel="0" collapsed="false">
      <c r="A9" s="5" t="n">
        <v>13</v>
      </c>
      <c r="B9" s="5" t="s">
        <v>34</v>
      </c>
      <c r="C9" s="5" t="s">
        <v>35</v>
      </c>
      <c r="D9" s="5" t="s">
        <v>36</v>
      </c>
      <c r="E9" s="6" t="n">
        <v>625209.2</v>
      </c>
      <c r="F9" s="6" t="n">
        <v>40</v>
      </c>
      <c r="G9" s="6" t="n">
        <f aca="false">'13 Praia de Guriri'!B46</f>
        <v>12416.1</v>
      </c>
      <c r="H9" s="6" t="n">
        <f aca="false">'13 Praia de Guriri'!E46</f>
        <v>2691.3</v>
      </c>
      <c r="I9" s="7" t="n">
        <f aca="false">IF(G9=0,0,H9/G9)</f>
        <v>0.216758885640419</v>
      </c>
      <c r="J9" s="6" t="n">
        <f aca="false">'13 Praia de Guriri'!F46</f>
        <v>9724.8</v>
      </c>
      <c r="K9" s="6" t="n">
        <f aca="false">'13 Praia de Guriri'!D48</f>
        <v>77798.4</v>
      </c>
      <c r="L9" s="6" t="n">
        <f aca="false">'13 Praia de Guriri'!D51</f>
        <v>9063.753</v>
      </c>
      <c r="M9" s="6" t="n">
        <f aca="false">'13 Praia de Guriri'!D52</f>
        <v>36255.012</v>
      </c>
      <c r="N9" s="6" t="n">
        <v>57</v>
      </c>
      <c r="O9" s="6" t="n">
        <v>12416</v>
      </c>
      <c r="P9" s="6" t="n">
        <v>0</v>
      </c>
      <c r="Q9" s="6" t="n">
        <v>9725</v>
      </c>
      <c r="R9" s="6" t="n">
        <v>0</v>
      </c>
      <c r="S9" s="8" t="n">
        <v>0.27</v>
      </c>
      <c r="T9" s="5" t="s">
        <v>26</v>
      </c>
    </row>
    <row r="10" customFormat="false" ht="15" hidden="false" customHeight="false" outlineLevel="0" collapsed="false">
      <c r="A10" s="5" t="n">
        <v>14</v>
      </c>
      <c r="B10" s="5" t="s">
        <v>37</v>
      </c>
      <c r="C10" s="5" t="s">
        <v>38</v>
      </c>
      <c r="D10" s="5" t="s">
        <v>39</v>
      </c>
      <c r="E10" s="6" t="n">
        <v>1141457.92</v>
      </c>
      <c r="F10" s="6" t="n">
        <v>48</v>
      </c>
      <c r="G10" s="6" t="n">
        <f aca="false">'14 Jardim das Caiçaras'!B54</f>
        <v>21907.8</v>
      </c>
      <c r="H10" s="6" t="n">
        <f aca="false">'14 Jardim das Caiçaras'!E54</f>
        <v>3731.2</v>
      </c>
      <c r="I10" s="7" t="n">
        <f aca="false">IF(G10=0,0,H10/G10)</f>
        <v>0.170313769525009</v>
      </c>
      <c r="J10" s="6" t="n">
        <f aca="false">'14 Jardim das Caiçaras'!F54</f>
        <v>18176.6</v>
      </c>
      <c r="K10" s="6" t="n">
        <f aca="false">'14 Jardim das Caiçaras'!D56</f>
        <v>145412.8</v>
      </c>
      <c r="L10" s="6" t="n">
        <f aca="false">'14 Jardim das Caiçaras'!D59</f>
        <v>18402.552</v>
      </c>
      <c r="M10" s="6" t="n">
        <f aca="false">'14 Jardim das Caiçaras'!D60</f>
        <v>73610.208</v>
      </c>
      <c r="N10" s="6" t="n">
        <v>78</v>
      </c>
      <c r="O10" s="6" t="n">
        <v>21908</v>
      </c>
      <c r="P10" s="6" t="n">
        <v>0</v>
      </c>
      <c r="Q10" s="6" t="n">
        <v>18177</v>
      </c>
      <c r="R10" s="6" t="n">
        <v>0</v>
      </c>
      <c r="S10" s="8" t="n">
        <v>0.16</v>
      </c>
      <c r="T10" s="5" t="s">
        <v>26</v>
      </c>
    </row>
    <row r="11" customFormat="false" ht="15" hidden="false" customHeight="false" outlineLevel="0" collapsed="false">
      <c r="A11" s="5" t="n">
        <v>15</v>
      </c>
      <c r="B11" s="5" t="s">
        <v>40</v>
      </c>
      <c r="C11" s="5" t="s">
        <v>41</v>
      </c>
      <c r="D11" s="5" t="s">
        <v>42</v>
      </c>
      <c r="E11" s="6" t="n">
        <v>122213.92</v>
      </c>
      <c r="F11" s="6" t="n">
        <v>13</v>
      </c>
      <c r="G11" s="6" t="n">
        <f aca="false">'15 Morada do Sol'!B19</f>
        <v>3114.8</v>
      </c>
      <c r="H11" s="6" t="n">
        <f aca="false">'15 Morada do Sol'!E19</f>
        <v>514.4</v>
      </c>
      <c r="I11" s="7" t="n">
        <f aca="false">IF(G11=0,0,H11/G11)</f>
        <v>0.165147039938359</v>
      </c>
      <c r="J11" s="6" t="n">
        <f aca="false">'15 Morada do Sol'!F19</f>
        <v>2600.4</v>
      </c>
      <c r="K11" s="6" t="n">
        <f aca="false">'15 Morada do Sol'!D21</f>
        <v>20803.2</v>
      </c>
      <c r="L11" s="6" t="n">
        <f aca="false">'15 Morada do Sol'!D24</f>
        <v>1993.472</v>
      </c>
      <c r="M11" s="6" t="n">
        <f aca="false">'15 Morada do Sol'!D25</f>
        <v>7973.888</v>
      </c>
      <c r="N11" s="6" t="n">
        <v>15</v>
      </c>
      <c r="O11" s="6" t="n">
        <v>3115</v>
      </c>
      <c r="P11" s="6" t="n">
        <v>0</v>
      </c>
      <c r="Q11" s="6" t="n">
        <v>2600</v>
      </c>
      <c r="R11" s="6" t="n">
        <v>0</v>
      </c>
      <c r="S11" s="8" t="n">
        <v>0.36</v>
      </c>
      <c r="T11" s="5" t="s">
        <v>26</v>
      </c>
    </row>
    <row r="12" customFormat="false" ht="15" hidden="false" customHeight="false" outlineLevel="0" collapsed="false">
      <c r="A12" s="5" t="n">
        <v>25</v>
      </c>
      <c r="B12" s="5" t="s">
        <v>43</v>
      </c>
      <c r="C12" s="5" t="s">
        <v>44</v>
      </c>
      <c r="D12" s="5" t="s">
        <v>45</v>
      </c>
      <c r="E12" s="6" t="n">
        <v>557784.5</v>
      </c>
      <c r="F12" s="6" t="n">
        <v>31</v>
      </c>
      <c r="G12" s="6" t="n">
        <f aca="false">'25 Park Res. Oitizeiro'!B37</f>
        <v>13895.5</v>
      </c>
      <c r="H12" s="6" t="n">
        <f aca="false">'25 Park Res. Oitizeiro'!E37</f>
        <v>752.2</v>
      </c>
      <c r="I12" s="7" t="n">
        <f aca="false">IF(G12=0,0,H12/G12)</f>
        <v>0.0541326328667554</v>
      </c>
      <c r="J12" s="6" t="n">
        <f aca="false">'25 Park Res. Oitizeiro'!F37</f>
        <v>13143.3</v>
      </c>
      <c r="K12" s="6" t="n">
        <f aca="false">'25 Park Res. Oitizeiro'!D39</f>
        <v>105146.4</v>
      </c>
      <c r="L12" s="6" t="n">
        <f aca="false">'25 Park Res. Oitizeiro'!D42</f>
        <v>7781.48</v>
      </c>
      <c r="M12" s="6" t="n">
        <f aca="false">'25 Park Res. Oitizeiro'!D43</f>
        <v>31125.92</v>
      </c>
      <c r="N12" s="6" t="n">
        <v>41</v>
      </c>
      <c r="O12" s="6" t="n">
        <v>13896</v>
      </c>
      <c r="P12" s="6" t="n">
        <v>0</v>
      </c>
      <c r="Q12" s="6" t="n">
        <v>13143</v>
      </c>
      <c r="R12" s="6" t="n">
        <v>0</v>
      </c>
      <c r="S12" s="8" t="n">
        <v>0.44</v>
      </c>
      <c r="T12" s="5" t="s">
        <v>26</v>
      </c>
    </row>
    <row r="13" customFormat="false" ht="15" hidden="false" customHeight="false" outlineLevel="0" collapsed="false">
      <c r="A13" s="5" t="n">
        <v>27</v>
      </c>
      <c r="B13" s="5" t="s">
        <v>46</v>
      </c>
      <c r="C13" s="5" t="s">
        <v>47</v>
      </c>
      <c r="D13" s="5" t="s">
        <v>48</v>
      </c>
      <c r="E13" s="6" t="n">
        <v>387200</v>
      </c>
      <c r="F13" s="6" t="n">
        <v>35</v>
      </c>
      <c r="G13" s="6" t="n">
        <f aca="false">'27 Res. Mar Aberto'!B41</f>
        <v>6839</v>
      </c>
      <c r="H13" s="6" t="n">
        <f aca="false">'27 Res. Mar Aberto'!E41</f>
        <v>626.2</v>
      </c>
      <c r="I13" s="7" t="n">
        <f aca="false">IF(G13=0,0,H13/G13)</f>
        <v>0.0915630940195935</v>
      </c>
      <c r="J13" s="6" t="n">
        <f aca="false">'27 Res. Mar Aberto'!F41</f>
        <v>6212.8</v>
      </c>
      <c r="K13" s="6" t="n">
        <f aca="false">'27 Res. Mar Aberto'!D43</f>
        <v>49702.4</v>
      </c>
      <c r="L13" s="6" t="n">
        <f aca="false">'27 Res. Mar Aberto'!D46</f>
        <v>6702.22</v>
      </c>
      <c r="M13" s="6" t="n">
        <f aca="false">'27 Res. Mar Aberto'!D47</f>
        <v>26808.88</v>
      </c>
      <c r="N13" s="6" t="n">
        <v>33</v>
      </c>
      <c r="O13" s="6" t="n">
        <v>2731</v>
      </c>
      <c r="P13" s="6" t="n">
        <v>4108</v>
      </c>
      <c r="Q13" s="6" t="n">
        <v>2220</v>
      </c>
      <c r="R13" s="6" t="n">
        <v>3993</v>
      </c>
      <c r="S13" s="8" t="n">
        <v>0.02</v>
      </c>
      <c r="T13" s="5" t="s">
        <v>26</v>
      </c>
    </row>
    <row r="14" customFormat="false" ht="15" hidden="false" customHeight="false" outlineLevel="0" collapsed="false">
      <c r="A14" s="5" t="n">
        <v>31</v>
      </c>
      <c r="B14" s="5" t="s">
        <v>49</v>
      </c>
      <c r="C14" s="5" t="s">
        <v>50</v>
      </c>
      <c r="D14" s="5" t="s">
        <v>51</v>
      </c>
      <c r="E14" s="6" t="n">
        <v>70180</v>
      </c>
      <c r="F14" s="6" t="n">
        <v>10</v>
      </c>
      <c r="G14" s="6" t="n">
        <f aca="false">'31 Melhorini Res. Parque'!B16</f>
        <v>1520.9</v>
      </c>
      <c r="H14" s="6" t="n">
        <f aca="false">'31 Melhorini Res. Parque'!E16</f>
        <v>339.3</v>
      </c>
      <c r="I14" s="7" t="n">
        <f aca="false">IF(G14=0,0,H14/G14)</f>
        <v>0.223091590505622</v>
      </c>
      <c r="J14" s="6" t="n">
        <f aca="false">'31 Melhorini Res. Parque'!F16</f>
        <v>1181.6</v>
      </c>
      <c r="K14" s="6" t="n">
        <f aca="false">'31 Melhorini Res. Parque'!D18</f>
        <v>9452.8</v>
      </c>
      <c r="L14" s="6" t="n">
        <f aca="false">'31 Melhorini Res. Parque'!D21</f>
        <v>1079.839</v>
      </c>
      <c r="M14" s="6" t="n">
        <f aca="false">'31 Melhorini Res. Parque'!D22</f>
        <v>4319.356</v>
      </c>
      <c r="N14" s="6" t="n">
        <v>10</v>
      </c>
      <c r="O14" s="6" t="n">
        <v>1521</v>
      </c>
      <c r="P14" s="6" t="n">
        <v>0</v>
      </c>
      <c r="Q14" s="6" t="n">
        <v>1182</v>
      </c>
      <c r="R14" s="6" t="n">
        <v>0</v>
      </c>
      <c r="S14" s="8" t="n">
        <v>0.29</v>
      </c>
      <c r="T14" s="5" t="s">
        <v>30</v>
      </c>
    </row>
    <row r="15" customFormat="false" ht="15" hidden="false" customHeight="false" outlineLevel="0" collapsed="false">
      <c r="A15" s="5" t="n">
        <v>35</v>
      </c>
      <c r="B15" s="5" t="s">
        <v>52</v>
      </c>
      <c r="C15" s="5" t="s">
        <v>53</v>
      </c>
      <c r="D15" s="5" t="s">
        <v>54</v>
      </c>
      <c r="E15" s="6" t="n">
        <v>402084</v>
      </c>
      <c r="F15" s="6" t="n">
        <v>34</v>
      </c>
      <c r="G15" s="6" t="n">
        <f aca="false">'35 Verão Vermelho'!B40</f>
        <v>10602.1</v>
      </c>
      <c r="H15" s="6" t="n">
        <f aca="false">'35 Verão Vermelho'!E40</f>
        <v>425.3</v>
      </c>
      <c r="I15" s="7" t="n">
        <f aca="false">IF(G15=0,0,H15/G15)</f>
        <v>0.0401146942586846</v>
      </c>
      <c r="J15" s="6" t="n">
        <f aca="false">'35 Verão Vermelho'!F40</f>
        <v>10176.8</v>
      </c>
      <c r="K15" s="6" t="n">
        <f aca="false">'35 Verão Vermelho'!D42</f>
        <v>81414.4</v>
      </c>
      <c r="L15" s="6" t="n">
        <f aca="false">'35 Verão Vermelho'!D45</f>
        <v>6807.574</v>
      </c>
      <c r="M15" s="6" t="n">
        <f aca="false">'35 Verão Vermelho'!D46</f>
        <v>27230.296</v>
      </c>
      <c r="N15" s="6" t="n">
        <v>37</v>
      </c>
      <c r="O15" s="6" t="n">
        <v>2772</v>
      </c>
      <c r="P15" s="6" t="n">
        <v>7830</v>
      </c>
      <c r="Q15" s="6" t="n">
        <v>2347</v>
      </c>
      <c r="R15" s="6" t="n">
        <v>7830</v>
      </c>
      <c r="S15" s="8" t="n">
        <v>0.06</v>
      </c>
      <c r="T15" s="5" t="s">
        <v>26</v>
      </c>
    </row>
    <row r="16" customFormat="false" ht="15" hidden="false" customHeight="false" outlineLevel="0" collapsed="false">
      <c r="A16" s="5" t="n">
        <v>36</v>
      </c>
      <c r="B16" s="5" t="s">
        <v>55</v>
      </c>
      <c r="C16" s="5" t="s">
        <v>56</v>
      </c>
      <c r="D16" s="5" t="s">
        <v>57</v>
      </c>
      <c r="E16" s="6" t="n">
        <v>77639</v>
      </c>
      <c r="F16" s="6" t="n">
        <v>9</v>
      </c>
      <c r="G16" s="6" t="n">
        <f aca="false">'36 Res. Ilha de Guriri I'!B15</f>
        <v>1995.2</v>
      </c>
      <c r="H16" s="6" t="n">
        <f aca="false">'36 Res. Ilha de Guriri I'!E15</f>
        <v>0</v>
      </c>
      <c r="I16" s="7" t="n">
        <f aca="false">IF(G16=0,0,H16/G16)</f>
        <v>0</v>
      </c>
      <c r="J16" s="6" t="n">
        <f aca="false">'36 Res. Ilha de Guriri I'!F15</f>
        <v>1995.2</v>
      </c>
      <c r="K16" s="6" t="n">
        <f aca="false">'36 Res. Ilha de Guriri I'!D17</f>
        <v>15961.6</v>
      </c>
      <c r="L16" s="6" t="n">
        <f aca="false">'36 Res. Ilha de Guriri I'!D20</f>
        <v>1556.256</v>
      </c>
      <c r="M16" s="6" t="n">
        <f aca="false">'36 Res. Ilha de Guriri I'!D21</f>
        <v>6225.024</v>
      </c>
      <c r="N16" s="6" t="n">
        <v>9</v>
      </c>
      <c r="O16" s="6" t="n">
        <v>1995</v>
      </c>
      <c r="P16" s="6" t="n">
        <v>0</v>
      </c>
      <c r="Q16" s="6" t="n">
        <v>1995</v>
      </c>
      <c r="R16" s="6" t="n">
        <v>0</v>
      </c>
      <c r="S16" s="8" t="n">
        <v>0.22</v>
      </c>
      <c r="T16" s="5" t="s">
        <v>30</v>
      </c>
    </row>
    <row r="17" customFormat="false" ht="15" hidden="false" customHeight="false" outlineLevel="0" collapsed="false">
      <c r="A17" s="5" t="n">
        <v>39</v>
      </c>
      <c r="B17" s="5" t="s">
        <v>58</v>
      </c>
      <c r="C17" s="5" t="s">
        <v>59</v>
      </c>
      <c r="D17" s="5" t="s">
        <v>60</v>
      </c>
      <c r="E17" s="6" t="n">
        <v>124388</v>
      </c>
      <c r="F17" s="6" t="n">
        <v>15</v>
      </c>
      <c r="G17" s="6" t="n">
        <f aca="false">'39 Central'!B21</f>
        <v>3725.3</v>
      </c>
      <c r="H17" s="6" t="n">
        <f aca="false">'39 Central'!E21</f>
        <v>435.4</v>
      </c>
      <c r="I17" s="7" t="n">
        <f aca="false">IF(G17=0,0,H17/G17)</f>
        <v>0.116876493168335</v>
      </c>
      <c r="J17" s="6" t="n">
        <f aca="false">'39 Central'!F21</f>
        <v>3289.9</v>
      </c>
      <c r="K17" s="6" t="n">
        <f aca="false">'39 Central'!D23</f>
        <v>26319.2</v>
      </c>
      <c r="L17" s="6" t="n">
        <f aca="false">'39 Central'!D26</f>
        <v>2980.24</v>
      </c>
      <c r="M17" s="6" t="n">
        <f aca="false">'39 Central'!D27</f>
        <v>11920.96</v>
      </c>
      <c r="N17" s="6" t="n">
        <v>10</v>
      </c>
      <c r="O17" s="6" t="n">
        <v>3725</v>
      </c>
      <c r="P17" s="6" t="n">
        <v>0</v>
      </c>
      <c r="Q17" s="6" t="n">
        <v>3290</v>
      </c>
      <c r="R17" s="6" t="n">
        <v>0</v>
      </c>
      <c r="S17" s="8" t="n">
        <v>0.2</v>
      </c>
      <c r="T17" s="5" t="s">
        <v>30</v>
      </c>
    </row>
    <row r="18" customFormat="false" ht="15" hidden="false" customHeight="false" outlineLevel="0" collapsed="false">
      <c r="A18" s="5" t="n">
        <v>42</v>
      </c>
      <c r="B18" s="5" t="s">
        <v>61</v>
      </c>
      <c r="C18" s="5" t="s">
        <v>59</v>
      </c>
      <c r="D18" s="5" t="s">
        <v>62</v>
      </c>
      <c r="E18" s="6" t="n">
        <v>1089673.36</v>
      </c>
      <c r="F18" s="6" t="n">
        <v>22</v>
      </c>
      <c r="G18" s="6" t="n">
        <f aca="false">'42 Res. Bom Jesus'!B28</f>
        <v>23700.1</v>
      </c>
      <c r="H18" s="6" t="n">
        <f aca="false">'42 Res. Bom Jesus'!E28</f>
        <v>20665.5</v>
      </c>
      <c r="I18" s="7" t="n">
        <f aca="false">IF(G18=0,0,H18/G18)</f>
        <v>0.871958346167316</v>
      </c>
      <c r="J18" s="6" t="n">
        <f aca="false">'42 Res. Bom Jesus'!F28</f>
        <v>3034.6</v>
      </c>
      <c r="K18" s="6" t="n">
        <f aca="false">'42 Res. Bom Jesus'!D30</f>
        <v>24276.8</v>
      </c>
      <c r="L18" s="6" t="n">
        <f aca="false">'42 Res. Bom Jesus'!D33</f>
        <v>18249.077</v>
      </c>
      <c r="M18" s="6" t="n">
        <f aca="false">'42 Res. Bom Jesus'!D34</f>
        <v>72996.308</v>
      </c>
      <c r="N18" s="6" t="n">
        <v>70</v>
      </c>
      <c r="O18" s="6" t="n">
        <v>21624</v>
      </c>
      <c r="P18" s="6" t="n">
        <v>2076</v>
      </c>
      <c r="Q18" s="6" t="n">
        <v>2702</v>
      </c>
      <c r="R18" s="6" t="n">
        <v>332</v>
      </c>
      <c r="S18" s="8" t="n">
        <v>0.23</v>
      </c>
      <c r="T18" s="5" t="s">
        <v>26</v>
      </c>
    </row>
    <row r="19" customFormat="false" ht="15" hidden="false" customHeight="false" outlineLevel="0" collapsed="false">
      <c r="A19" s="5" t="n">
        <v>47</v>
      </c>
      <c r="B19" s="5" t="s">
        <v>63</v>
      </c>
      <c r="C19" s="5" t="s">
        <v>64</v>
      </c>
      <c r="D19" s="5" t="s">
        <v>65</v>
      </c>
      <c r="E19" s="6" t="n">
        <v>96800</v>
      </c>
      <c r="F19" s="6" t="n">
        <v>15</v>
      </c>
      <c r="G19" s="6" t="n">
        <f aca="false">'47 Praiano'!B21</f>
        <v>2612.2</v>
      </c>
      <c r="H19" s="6" t="n">
        <f aca="false">'47 Praiano'!E21</f>
        <v>257.4</v>
      </c>
      <c r="I19" s="7" t="n">
        <f aca="false">IF(G19=0,0,H19/G19)</f>
        <v>0.0985376311155348</v>
      </c>
      <c r="J19" s="6" t="n">
        <f aca="false">'47 Praiano'!F21</f>
        <v>2354.8</v>
      </c>
      <c r="K19" s="6" t="n">
        <f aca="false">'47 Praiano'!D23</f>
        <v>18838.4</v>
      </c>
      <c r="L19" s="6" t="n">
        <f aca="false">'47 Praiano'!D26</f>
        <v>2063.638</v>
      </c>
      <c r="M19" s="6" t="n">
        <f aca="false">'47 Praiano'!D27</f>
        <v>8254.552</v>
      </c>
      <c r="N19" s="6" t="n">
        <v>15</v>
      </c>
      <c r="O19" s="6" t="n">
        <v>2612</v>
      </c>
      <c r="P19" s="6" t="n">
        <v>0</v>
      </c>
      <c r="Q19" s="6" t="n">
        <v>2355</v>
      </c>
      <c r="R19" s="6" t="n">
        <v>0</v>
      </c>
      <c r="S19" s="8" t="n">
        <v>0.21</v>
      </c>
      <c r="T19" s="5" t="s">
        <v>26</v>
      </c>
    </row>
    <row r="20" customFormat="false" ht="15" hidden="false" customHeight="false" outlineLevel="0" collapsed="false">
      <c r="A20" s="5" t="n">
        <v>49</v>
      </c>
      <c r="B20" s="5" t="s">
        <v>66</v>
      </c>
      <c r="C20" s="5" t="s">
        <v>67</v>
      </c>
      <c r="D20" s="5" t="s">
        <v>68</v>
      </c>
      <c r="E20" s="6" t="n">
        <v>77639</v>
      </c>
      <c r="F20" s="6" t="n">
        <v>4</v>
      </c>
      <c r="G20" s="6" t="n">
        <f aca="false">'49 Vale do Amazonas'!B10</f>
        <v>1154.4</v>
      </c>
      <c r="H20" s="6" t="n">
        <f aca="false">'49 Vale do Amazonas'!E10</f>
        <v>0</v>
      </c>
      <c r="I20" s="7" t="n">
        <f aca="false">IF(G20=0,0,H20/G20)</f>
        <v>0</v>
      </c>
      <c r="J20" s="6" t="n">
        <f aca="false">'49 Vale do Amazonas'!F10</f>
        <v>1154.4</v>
      </c>
      <c r="K20" s="6" t="n">
        <f aca="false">'49 Vale do Amazonas'!D12</f>
        <v>9235.2</v>
      </c>
      <c r="L20" s="6" t="n">
        <f aca="false">'49 Vale do Amazonas'!D15</f>
        <v>1154.4</v>
      </c>
      <c r="M20" s="6" t="n">
        <f aca="false">'49 Vale do Amazonas'!D16</f>
        <v>4617.6</v>
      </c>
      <c r="N20" s="6" t="n">
        <v>4</v>
      </c>
      <c r="O20" s="6" t="n">
        <v>1154</v>
      </c>
      <c r="P20" s="6" t="n">
        <v>0</v>
      </c>
      <c r="Q20" s="6" t="n">
        <v>1154</v>
      </c>
      <c r="R20" s="6" t="n">
        <v>0</v>
      </c>
      <c r="S20" s="8" t="n">
        <v>0</v>
      </c>
      <c r="T20" s="5" t="s">
        <v>69</v>
      </c>
    </row>
    <row r="21" customFormat="false" ht="15" hidden="false" customHeight="false" outlineLevel="0" collapsed="false">
      <c r="A21" s="5" t="n">
        <v>50</v>
      </c>
      <c r="B21" s="5" t="s">
        <v>70</v>
      </c>
      <c r="C21" s="5" t="s">
        <v>71</v>
      </c>
      <c r="D21" s="5" t="s">
        <v>72</v>
      </c>
      <c r="E21" s="6" t="n">
        <v>77639</v>
      </c>
      <c r="F21" s="6" t="n">
        <v>7</v>
      </c>
      <c r="G21" s="6" t="n">
        <f aca="false">'50 Flor Pan'!B13</f>
        <v>1809.1</v>
      </c>
      <c r="H21" s="6" t="n">
        <f aca="false">'50 Flor Pan'!E13</f>
        <v>0</v>
      </c>
      <c r="I21" s="7" t="n">
        <f aca="false">IF(G21=0,0,H21/G21)</f>
        <v>0</v>
      </c>
      <c r="J21" s="6" t="n">
        <f aca="false">'50 Flor Pan'!F13</f>
        <v>1809.1</v>
      </c>
      <c r="K21" s="6" t="n">
        <f aca="false">'50 Flor Pan'!D15</f>
        <v>14472.8</v>
      </c>
      <c r="L21" s="6" t="n">
        <f aca="false">'50 Flor Pan'!D18</f>
        <v>1320.643</v>
      </c>
      <c r="M21" s="6" t="n">
        <f aca="false">'50 Flor Pan'!D19</f>
        <v>5282.572</v>
      </c>
      <c r="N21" s="6" t="n">
        <v>9</v>
      </c>
      <c r="O21" s="6" t="n">
        <v>1809</v>
      </c>
      <c r="P21" s="6" t="n">
        <v>0</v>
      </c>
      <c r="Q21" s="6" t="n">
        <v>1809</v>
      </c>
      <c r="R21" s="6" t="n">
        <v>0</v>
      </c>
      <c r="S21" s="8" t="n">
        <v>0.27</v>
      </c>
      <c r="T21" s="5" t="s">
        <v>30</v>
      </c>
    </row>
    <row r="22" customFormat="false" ht="15" hidden="false" customHeight="false" outlineLevel="0" collapsed="false">
      <c r="A22" s="5" t="n">
        <v>60</v>
      </c>
      <c r="B22" s="5" t="s">
        <v>73</v>
      </c>
      <c r="C22" s="5" t="s">
        <v>74</v>
      </c>
      <c r="D22" s="5" t="s">
        <v>75</v>
      </c>
      <c r="E22" s="6" t="n">
        <v>138513.92</v>
      </c>
      <c r="F22" s="6" t="n">
        <v>22</v>
      </c>
      <c r="G22" s="6" t="n">
        <f aca="false">'60 Res. Evidência'!B28</f>
        <v>3885</v>
      </c>
      <c r="H22" s="6" t="n">
        <f aca="false">'60 Res. Evidência'!E28</f>
        <v>0</v>
      </c>
      <c r="I22" s="7" t="n">
        <f aca="false">IF(G22=0,0,H22/G22)</f>
        <v>0</v>
      </c>
      <c r="J22" s="6" t="n">
        <f aca="false">'60 Res. Evidência'!F28</f>
        <v>3885</v>
      </c>
      <c r="K22" s="6" t="n">
        <f aca="false">'60 Res. Evidência'!D30</f>
        <v>31080</v>
      </c>
      <c r="L22" s="6" t="n">
        <f aca="false">'60 Res. Evidência'!D33</f>
        <v>2602.95</v>
      </c>
      <c r="M22" s="6" t="n">
        <f aca="false">'60 Res. Evidência'!D34</f>
        <v>10411.8</v>
      </c>
      <c r="N22" s="6" t="n">
        <v>22</v>
      </c>
      <c r="O22" s="6" t="n">
        <v>3885</v>
      </c>
      <c r="P22" s="6" t="n">
        <v>0</v>
      </c>
      <c r="Q22" s="6" t="n">
        <v>3885</v>
      </c>
      <c r="R22" s="6" t="n">
        <v>0</v>
      </c>
      <c r="S22" s="8" t="n">
        <v>0.33</v>
      </c>
      <c r="T22" s="5" t="s">
        <v>26</v>
      </c>
    </row>
    <row r="23" customFormat="false" ht="15" hidden="false" customHeight="false" outlineLevel="0" collapsed="false">
      <c r="A23" s="5" t="n">
        <v>70</v>
      </c>
      <c r="B23" s="5" t="s">
        <v>76</v>
      </c>
      <c r="C23" s="5" t="s">
        <v>77</v>
      </c>
      <c r="D23" s="5" t="s">
        <v>78</v>
      </c>
      <c r="E23" s="6" t="n">
        <v>244194.61</v>
      </c>
      <c r="F23" s="6" t="n">
        <v>17</v>
      </c>
      <c r="G23" s="6" t="n">
        <f aca="false">'70 Pontal de Guriri'!B23</f>
        <v>6052.1</v>
      </c>
      <c r="H23" s="6" t="n">
        <f aca="false">'70 Pontal de Guriri'!E23</f>
        <v>572</v>
      </c>
      <c r="I23" s="7" t="n">
        <f aca="false">IF(G23=0,0,H23/G23)</f>
        <v>0.0945126485021728</v>
      </c>
      <c r="J23" s="6" t="n">
        <f aca="false">'70 Pontal de Guriri'!F23</f>
        <v>5480.1</v>
      </c>
      <c r="K23" s="6" t="n">
        <f aca="false">'70 Pontal de Guriri'!D25</f>
        <v>43840.8</v>
      </c>
      <c r="L23" s="6" t="n">
        <f aca="false">'70 Pontal de Guriri'!D28</f>
        <v>5931.058</v>
      </c>
      <c r="M23" s="6" t="n">
        <f aca="false">'70 Pontal de Guriri'!D29</f>
        <v>23724.232</v>
      </c>
      <c r="N23" s="6" t="n">
        <v>28</v>
      </c>
      <c r="O23" s="6" t="n">
        <v>6052</v>
      </c>
      <c r="P23" s="6" t="n">
        <v>0</v>
      </c>
      <c r="Q23" s="6" t="n">
        <v>5480</v>
      </c>
      <c r="R23" s="6" t="n">
        <v>0</v>
      </c>
      <c r="S23" s="8" t="n">
        <v>0.02</v>
      </c>
      <c r="T23" s="5" t="s">
        <v>26</v>
      </c>
    </row>
    <row r="24" customFormat="false" ht="15" hidden="false" customHeight="false" outlineLevel="0" collapsed="false">
      <c r="A24" s="5" t="n">
        <v>78</v>
      </c>
      <c r="B24" s="5" t="s">
        <v>79</v>
      </c>
      <c r="C24" s="5" t="s">
        <v>80</v>
      </c>
      <c r="D24" s="5" t="s">
        <v>81</v>
      </c>
      <c r="E24" s="6" t="n">
        <v>54750</v>
      </c>
      <c r="F24" s="6" t="n">
        <v>10</v>
      </c>
      <c r="G24" s="6" t="n">
        <f aca="false">'78 João de Barro'!B16</f>
        <v>1490</v>
      </c>
      <c r="H24" s="6" t="n">
        <f aca="false">'78 João de Barro'!E16</f>
        <v>0</v>
      </c>
      <c r="I24" s="7" t="n">
        <f aca="false">IF(G24=0,0,H24/G24)</f>
        <v>0</v>
      </c>
      <c r="J24" s="6" t="n">
        <f aca="false">'78 João de Barro'!F16</f>
        <v>1490</v>
      </c>
      <c r="K24" s="6" t="n">
        <f aca="false">'78 João de Barro'!D18</f>
        <v>11920</v>
      </c>
      <c r="L24" s="6" t="n">
        <f aca="false">'78 João de Barro'!D21</f>
        <v>1102</v>
      </c>
      <c r="M24" s="6" t="n">
        <f aca="false">'78 João de Barro'!D22</f>
        <v>4408</v>
      </c>
      <c r="N24" s="6" t="n">
        <v>14</v>
      </c>
      <c r="O24" s="6" t="n">
        <v>0</v>
      </c>
      <c r="P24" s="6" t="n">
        <v>1490</v>
      </c>
      <c r="Q24" s="6" t="n">
        <v>0</v>
      </c>
      <c r="R24" s="6" t="n">
        <v>1490</v>
      </c>
      <c r="S24" s="8" t="n">
        <v>0.05</v>
      </c>
      <c r="T24" s="5" t="s">
        <v>69</v>
      </c>
    </row>
    <row r="25" customFormat="false" ht="15" hidden="false" customHeight="false" outlineLevel="0" collapsed="false">
      <c r="A25" s="5" t="n">
        <v>80</v>
      </c>
      <c r="B25" s="5" t="s">
        <v>82</v>
      </c>
      <c r="C25" s="5" t="s">
        <v>83</v>
      </c>
      <c r="D25" s="5" t="s">
        <v>84</v>
      </c>
      <c r="E25" s="6" t="n">
        <v>234671.83</v>
      </c>
      <c r="F25" s="6" t="n">
        <v>8</v>
      </c>
      <c r="G25" s="6" t="n">
        <f aca="false">'80 Soma Cevolani'!B14</f>
        <v>4952</v>
      </c>
      <c r="H25" s="6" t="n">
        <f aca="false">'80 Soma Cevolani'!E14</f>
        <v>4952</v>
      </c>
      <c r="I25" s="7" t="n">
        <f aca="false">IF(G25=0,0,H25/G25)</f>
        <v>1</v>
      </c>
      <c r="J25" s="6" t="n">
        <f aca="false">'80 Soma Cevolani'!F14</f>
        <v>0</v>
      </c>
      <c r="K25" s="6" t="n">
        <f aca="false">'80 Soma Cevolani'!D16</f>
        <v>0</v>
      </c>
      <c r="L25" s="6" t="n">
        <f aca="false">'80 Soma Cevolani'!D19</f>
        <v>4308.24</v>
      </c>
      <c r="M25" s="6" t="n">
        <f aca="false">'80 Soma Cevolani'!D20</f>
        <v>17232.96</v>
      </c>
      <c r="N25" s="6" t="n">
        <v>32</v>
      </c>
      <c r="O25" s="6" t="n">
        <v>0</v>
      </c>
      <c r="P25" s="6" t="n">
        <v>4952</v>
      </c>
      <c r="Q25" s="6" t="n">
        <v>0</v>
      </c>
      <c r="R25" s="6" t="n">
        <v>0</v>
      </c>
      <c r="S25" s="8" t="n">
        <v>0.13</v>
      </c>
      <c r="T25" s="5" t="s">
        <v>69</v>
      </c>
    </row>
    <row r="26" customFormat="false" ht="15" hidden="false" customHeight="false" outlineLevel="0" collapsed="false">
      <c r="A26" s="5" t="n">
        <v>84</v>
      </c>
      <c r="B26" s="5" t="s">
        <v>85</v>
      </c>
      <c r="C26" s="5" t="s">
        <v>86</v>
      </c>
      <c r="D26" s="5" t="s">
        <v>87</v>
      </c>
      <c r="E26" s="6" t="n">
        <v>44371.01</v>
      </c>
      <c r="F26" s="6" t="n">
        <v>5</v>
      </c>
      <c r="G26" s="6" t="n">
        <f aca="false">'84 Pontal de Guriri II'!B11</f>
        <v>1073</v>
      </c>
      <c r="H26" s="6" t="n">
        <f aca="false">'84 Pontal de Guriri II'!E11</f>
        <v>0</v>
      </c>
      <c r="I26" s="7" t="n">
        <f aca="false">IF(G26=0,0,H26/G26)</f>
        <v>0</v>
      </c>
      <c r="J26" s="6" t="n">
        <f aca="false">'84 Pontal de Guriri II'!F11</f>
        <v>1073</v>
      </c>
      <c r="K26" s="6" t="n">
        <f aca="false">'84 Pontal de Guriri II'!D13</f>
        <v>8584</v>
      </c>
      <c r="L26" s="6" t="n">
        <f aca="false">'84 Pontal de Guriri II'!D16</f>
        <v>772.56</v>
      </c>
      <c r="M26" s="6" t="n">
        <f aca="false">'84 Pontal de Guriri II'!D17</f>
        <v>3090.24</v>
      </c>
      <c r="N26" s="6" t="n">
        <v>14</v>
      </c>
      <c r="O26" s="6" t="n">
        <v>0</v>
      </c>
      <c r="P26" s="6" t="n">
        <v>1073</v>
      </c>
      <c r="Q26" s="6" t="n">
        <v>0</v>
      </c>
      <c r="R26" s="6" t="n">
        <v>1073</v>
      </c>
      <c r="S26" s="8" t="n">
        <v>0.28</v>
      </c>
      <c r="T26" s="5" t="s">
        <v>69</v>
      </c>
    </row>
    <row r="27" customFormat="false" ht="15" hidden="false" customHeight="false" outlineLevel="0" collapsed="false">
      <c r="A27" s="9"/>
      <c r="B27" s="9" t="s">
        <v>88</v>
      </c>
      <c r="C27" s="9"/>
      <c r="D27" s="9"/>
      <c r="E27" s="9"/>
      <c r="F27" s="10" t="n">
        <f aca="false">SUM(F6:F26)</f>
        <v>437</v>
      </c>
      <c r="G27" s="10" t="n">
        <f aca="false">SUM(G6:G26)</f>
        <v>193374.8</v>
      </c>
      <c r="H27" s="10" t="n">
        <f aca="false">SUM(H6:H26)</f>
        <v>51378.8</v>
      </c>
      <c r="I27" s="11" t="n">
        <f aca="false">IF(G27=0,0,H27/G27)</f>
        <v>0.265695426705031</v>
      </c>
      <c r="J27" s="10" t="n">
        <f aca="false">SUM(J6:J26)</f>
        <v>141996</v>
      </c>
      <c r="K27" s="10" t="n">
        <f aca="false">SUM(K6:K26)</f>
        <v>1135968</v>
      </c>
      <c r="L27" s="10" t="n">
        <f aca="false">SUM(L6:L26)</f>
        <v>141623.1</v>
      </c>
      <c r="M27" s="10" t="n">
        <f aca="false">SUM(M6:M26)</f>
        <v>566492.4</v>
      </c>
      <c r="N27" s="10" t="n">
        <f aca="false">SUM(N6:N26)</f>
        <v>637</v>
      </c>
      <c r="O27" s="10" t="n">
        <f aca="false">SUM(O6:O26)</f>
        <v>136394</v>
      </c>
      <c r="P27" s="10" t="n">
        <f aca="false">SUM(P6:P26)</f>
        <v>56979</v>
      </c>
      <c r="Q27" s="10" t="n">
        <f aca="false">SUM(Q6:Q26)</f>
        <v>91827</v>
      </c>
      <c r="R27" s="10" t="n">
        <f aca="false">SUM(R6:R26)</f>
        <v>50168</v>
      </c>
      <c r="S27" s="9"/>
      <c r="T27" s="9"/>
    </row>
    <row r="29" customFormat="false" ht="15" hidden="false" customHeight="false" outlineLevel="0" collapsed="false">
      <c r="A29" s="12" t="s">
        <v>89</v>
      </c>
    </row>
    <row r="30" customFormat="false" ht="15" hidden="false" customHeight="false" outlineLevel="0" collapsed="false">
      <c r="A30" s="13" t="s">
        <v>90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</row>
    <row r="31" customFormat="false" ht="15" hidden="false" customHeight="false" outlineLevel="0" collapsed="false">
      <c r="A31" s="13" t="s">
        <v>91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</row>
    <row r="32" customFormat="false" ht="15" hidden="false" customHeight="false" outlineLevel="0" collapsed="false">
      <c r="A32" s="13" t="s">
        <v>92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</row>
    <row r="33" customFormat="false" ht="15" hidden="false" customHeight="false" outlineLevel="0" collapsed="false">
      <c r="A33" s="13" t="s">
        <v>93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</row>
    <row r="34" customFormat="false" ht="15" hidden="false" customHeight="false" outlineLevel="0" collapsed="false">
      <c r="A34" s="13" t="s">
        <v>94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</row>
    <row r="35" customFormat="false" ht="15" hidden="false" customHeight="false" outlineLevel="0" collapsed="false">
      <c r="A35" s="13" t="s">
        <v>95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</row>
    <row r="36" customFormat="false" ht="15" hidden="false" customHeight="false" outlineLevel="0" collapsed="false">
      <c r="A36" s="13" t="s">
        <v>96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</row>
    <row r="37" customFormat="false" ht="15" hidden="false" customHeight="false" outlineLevel="0" collapsed="false">
      <c r="A37" s="13" t="s">
        <v>97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</row>
    <row r="38" customFormat="false" ht="15" hidden="false" customHeight="false" outlineLevel="0" collapsed="false">
      <c r="A38" s="13" t="s">
        <v>98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</row>
  </sheetData>
  <mergeCells count="11">
    <mergeCell ref="A2:T2"/>
    <mergeCell ref="A3:T3"/>
    <mergeCell ref="A30:T30"/>
    <mergeCell ref="A31:T31"/>
    <mergeCell ref="A32:T32"/>
    <mergeCell ref="A33:T33"/>
    <mergeCell ref="A34:T34"/>
    <mergeCell ref="A35:T35"/>
    <mergeCell ref="A36:T36"/>
    <mergeCell ref="A37:T37"/>
    <mergeCell ref="A38:T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10" min="9" style="0" width="9"/>
    <col collapsed="false" customWidth="true" hidden="false" outlineLevel="0" max="11" min="11" style="0" width="46"/>
    <col collapsed="false" customWidth="true" hidden="false" outlineLevel="0" max="12" min="12" style="0" width="17"/>
    <col collapsed="false" customWidth="true" hidden="false" outlineLevel="0" max="13" min="13" style="0" width="54"/>
  </cols>
  <sheetData>
    <row r="1" customFormat="false" ht="16.15" hidden="false" customHeight="false" outlineLevel="0" collapsed="false">
      <c r="A1" s="14" t="s">
        <v>99</v>
      </c>
    </row>
    <row r="2" customFormat="false" ht="15" hidden="false" customHeight="false" outlineLevel="0" collapsed="false">
      <c r="A2" s="15" t="s">
        <v>100</v>
      </c>
    </row>
    <row r="3" customFormat="false" ht="15" hidden="false" customHeight="false" outlineLevel="0" collapsed="false">
      <c r="A3" s="16" t="s">
        <v>101</v>
      </c>
    </row>
    <row r="5" customFormat="false" ht="22.35" hidden="false" customHeight="false" outlineLevel="0" collapsed="false">
      <c r="A5" s="4" t="s">
        <v>102</v>
      </c>
      <c r="B5" s="4" t="s">
        <v>103</v>
      </c>
      <c r="C5" s="4" t="s">
        <v>104</v>
      </c>
      <c r="D5" s="4" t="s">
        <v>105</v>
      </c>
      <c r="E5" s="4" t="s">
        <v>106</v>
      </c>
      <c r="F5" s="4" t="s">
        <v>107</v>
      </c>
      <c r="G5" s="4" t="s">
        <v>108</v>
      </c>
      <c r="H5" s="4" t="s">
        <v>109</v>
      </c>
      <c r="I5" s="4" t="s">
        <v>110</v>
      </c>
      <c r="J5" s="4" t="s">
        <v>16</v>
      </c>
      <c r="K5" s="4" t="s">
        <v>111</v>
      </c>
      <c r="L5" s="4" t="s">
        <v>112</v>
      </c>
      <c r="M5" s="4" t="s">
        <v>113</v>
      </c>
    </row>
    <row r="6" customFormat="false" ht="22.35" hidden="false" customHeight="false" outlineLevel="0" collapsed="false">
      <c r="A6" s="17" t="s">
        <v>114</v>
      </c>
      <c r="B6" s="18" t="n">
        <v>2712</v>
      </c>
      <c r="C6" s="19" t="s">
        <v>115</v>
      </c>
      <c r="D6" s="8" t="n">
        <v>1</v>
      </c>
      <c r="E6" s="18" t="n">
        <f aca="false">ROUND(B6*D6,1)</f>
        <v>2712</v>
      </c>
      <c r="F6" s="18" t="n">
        <f aca="false">B6-E6</f>
        <v>0</v>
      </c>
      <c r="G6" s="5" t="s">
        <v>26</v>
      </c>
      <c r="H6" s="5" t="s">
        <v>116</v>
      </c>
      <c r="I6" s="8" t="n">
        <v>0.93</v>
      </c>
      <c r="J6" s="5" t="n">
        <v>8</v>
      </c>
      <c r="K6" s="17" t="s">
        <v>117</v>
      </c>
      <c r="L6" s="5" t="s">
        <v>118</v>
      </c>
      <c r="M6" s="17" t="s">
        <v>119</v>
      </c>
    </row>
    <row r="7" customFormat="false" ht="22.35" hidden="false" customHeight="false" outlineLevel="0" collapsed="false">
      <c r="A7" s="17" t="s">
        <v>120</v>
      </c>
      <c r="B7" s="18" t="n">
        <v>805.1</v>
      </c>
      <c r="C7" s="19" t="s">
        <v>115</v>
      </c>
      <c r="D7" s="8" t="n">
        <v>1</v>
      </c>
      <c r="E7" s="18" t="n">
        <f aca="false">ROUND(B7*D7,1)</f>
        <v>805.1</v>
      </c>
      <c r="F7" s="18" t="n">
        <f aca="false">B7-E7</f>
        <v>0</v>
      </c>
      <c r="G7" s="5" t="s">
        <v>26</v>
      </c>
      <c r="H7" s="5" t="s">
        <v>116</v>
      </c>
      <c r="I7" s="8" t="n">
        <v>1</v>
      </c>
      <c r="J7" s="5" t="n">
        <v>2</v>
      </c>
      <c r="K7" s="17" t="s">
        <v>121</v>
      </c>
      <c r="L7" s="5" t="s">
        <v>118</v>
      </c>
      <c r="M7" s="17" t="s">
        <v>122</v>
      </c>
    </row>
    <row r="8" customFormat="false" ht="22.35" hidden="false" customHeight="false" outlineLevel="0" collapsed="false">
      <c r="A8" s="17" t="s">
        <v>123</v>
      </c>
      <c r="B8" s="18" t="n">
        <v>379.5</v>
      </c>
      <c r="C8" s="19" t="s">
        <v>115</v>
      </c>
      <c r="D8" s="8" t="n">
        <v>1</v>
      </c>
      <c r="E8" s="18" t="n">
        <f aca="false">ROUND(B8*D8,1)</f>
        <v>379.5</v>
      </c>
      <c r="F8" s="18" t="n">
        <f aca="false">B8-E8</f>
        <v>0</v>
      </c>
      <c r="G8" s="5" t="s">
        <v>26</v>
      </c>
      <c r="H8" s="5" t="s">
        <v>124</v>
      </c>
      <c r="I8" s="8" t="n">
        <v>0.5</v>
      </c>
      <c r="J8" s="5" t="n">
        <v>1</v>
      </c>
      <c r="K8" s="17" t="s">
        <v>125</v>
      </c>
      <c r="L8" s="5" t="s">
        <v>118</v>
      </c>
      <c r="M8" s="17" t="s">
        <v>126</v>
      </c>
    </row>
    <row r="9" customFormat="false" ht="15" hidden="false" customHeight="false" outlineLevel="0" collapsed="false">
      <c r="A9" s="17" t="s">
        <v>127</v>
      </c>
      <c r="B9" s="18" t="n">
        <v>386.2</v>
      </c>
      <c r="C9" s="20" t="s">
        <v>128</v>
      </c>
      <c r="D9" s="8" t="n">
        <v>0</v>
      </c>
      <c r="E9" s="18" t="n">
        <f aca="false">ROUND(B9*D9,1)</f>
        <v>0</v>
      </c>
      <c r="F9" s="18" t="n">
        <f aca="false">B9-E9</f>
        <v>386.2</v>
      </c>
      <c r="G9" s="5" t="s">
        <v>26</v>
      </c>
      <c r="H9" s="5" t="s">
        <v>124</v>
      </c>
      <c r="I9" s="8" t="n">
        <v>0.5</v>
      </c>
      <c r="J9" s="5" t="n">
        <v>1</v>
      </c>
      <c r="K9" s="17" t="s">
        <v>129</v>
      </c>
      <c r="L9" s="5" t="s">
        <v>118</v>
      </c>
      <c r="M9" s="17" t="s">
        <v>130</v>
      </c>
    </row>
    <row r="10" customFormat="false" ht="22.35" hidden="false" customHeight="false" outlineLevel="0" collapsed="false">
      <c r="A10" s="17" t="s">
        <v>131</v>
      </c>
      <c r="B10" s="18" t="n">
        <v>1390.7</v>
      </c>
      <c r="C10" s="20" t="s">
        <v>128</v>
      </c>
      <c r="D10" s="8" t="n">
        <v>0</v>
      </c>
      <c r="E10" s="18" t="n">
        <f aca="false">ROUND(B10*D10,1)</f>
        <v>0</v>
      </c>
      <c r="F10" s="18" t="n">
        <f aca="false">B10-E10</f>
        <v>1390.7</v>
      </c>
      <c r="G10" s="5" t="s">
        <v>26</v>
      </c>
      <c r="H10" s="5" t="s">
        <v>124</v>
      </c>
      <c r="I10" s="8" t="n">
        <v>0.5</v>
      </c>
      <c r="J10" s="5" t="n">
        <v>5</v>
      </c>
      <c r="K10" s="17" t="s">
        <v>132</v>
      </c>
      <c r="L10" s="5" t="s">
        <v>118</v>
      </c>
      <c r="M10" s="17" t="s">
        <v>133</v>
      </c>
    </row>
    <row r="11" customFormat="false" ht="22.35" hidden="false" customHeight="false" outlineLevel="0" collapsed="false">
      <c r="A11" s="17" t="s">
        <v>134</v>
      </c>
      <c r="B11" s="18" t="n">
        <v>805.8</v>
      </c>
      <c r="C11" s="19" t="s">
        <v>115</v>
      </c>
      <c r="D11" s="8" t="n">
        <v>1</v>
      </c>
      <c r="E11" s="18" t="n">
        <f aca="false">ROUND(B11*D11,1)</f>
        <v>805.8</v>
      </c>
      <c r="F11" s="18" t="n">
        <f aca="false">B11-E11</f>
        <v>0</v>
      </c>
      <c r="G11" s="5" t="s">
        <v>26</v>
      </c>
      <c r="H11" s="5" t="s">
        <v>124</v>
      </c>
      <c r="I11" s="8" t="n">
        <v>0.5</v>
      </c>
      <c r="J11" s="5" t="n">
        <v>2</v>
      </c>
      <c r="K11" s="17" t="s">
        <v>135</v>
      </c>
      <c r="L11" s="5" t="s">
        <v>118</v>
      </c>
      <c r="M11" s="17" t="s">
        <v>136</v>
      </c>
    </row>
    <row r="12" customFormat="false" ht="15" hidden="false" customHeight="false" outlineLevel="0" collapsed="false">
      <c r="A12" s="17" t="s">
        <v>137</v>
      </c>
      <c r="B12" s="18" t="n">
        <v>1372.6</v>
      </c>
      <c r="C12" s="21" t="s">
        <v>124</v>
      </c>
      <c r="D12" s="8" t="n">
        <v>0.77</v>
      </c>
      <c r="E12" s="18" t="n">
        <f aca="false">ROUND(B12*D12,1)</f>
        <v>1056.9</v>
      </c>
      <c r="F12" s="18" t="n">
        <f aca="false">B12-E12</f>
        <v>315.7</v>
      </c>
      <c r="G12" s="5" t="s">
        <v>26</v>
      </c>
      <c r="H12" s="5" t="s">
        <v>124</v>
      </c>
      <c r="I12" s="8" t="n">
        <v>0.54</v>
      </c>
      <c r="J12" s="5" t="n">
        <v>5</v>
      </c>
      <c r="K12" s="17" t="s">
        <v>138</v>
      </c>
      <c r="L12" s="5" t="s">
        <v>118</v>
      </c>
      <c r="M12" s="17" t="s">
        <v>130</v>
      </c>
    </row>
    <row r="13" customFormat="false" ht="15" hidden="false" customHeight="false" outlineLevel="0" collapsed="false">
      <c r="A13" s="17" t="s">
        <v>139</v>
      </c>
      <c r="B13" s="18" t="n">
        <v>1414</v>
      </c>
      <c r="C13" s="21" t="s">
        <v>124</v>
      </c>
      <c r="D13" s="8" t="n">
        <v>0.27</v>
      </c>
      <c r="E13" s="18" t="n">
        <f aca="false">ROUND(B13*D13,1)</f>
        <v>381.8</v>
      </c>
      <c r="F13" s="18" t="n">
        <f aca="false">B13-E13</f>
        <v>1032.2</v>
      </c>
      <c r="G13" s="5" t="s">
        <v>26</v>
      </c>
      <c r="H13" s="5" t="s">
        <v>124</v>
      </c>
      <c r="I13" s="8" t="n">
        <v>0.64</v>
      </c>
      <c r="J13" s="5" t="n">
        <v>5</v>
      </c>
      <c r="K13" s="17" t="s">
        <v>138</v>
      </c>
      <c r="L13" s="5" t="s">
        <v>118</v>
      </c>
      <c r="M13" s="17" t="s">
        <v>140</v>
      </c>
    </row>
    <row r="14" customFormat="false" ht="15" hidden="false" customHeight="false" outlineLevel="0" collapsed="false">
      <c r="A14" s="17" t="s">
        <v>141</v>
      </c>
      <c r="B14" s="18" t="n">
        <v>383.2</v>
      </c>
      <c r="C14" s="20" t="s">
        <v>128</v>
      </c>
      <c r="D14" s="8" t="n">
        <v>0</v>
      </c>
      <c r="E14" s="18" t="n">
        <f aca="false">ROUND(B14*D14,1)</f>
        <v>0</v>
      </c>
      <c r="F14" s="18" t="n">
        <f aca="false">B14-E14</f>
        <v>383.2</v>
      </c>
      <c r="G14" s="5" t="s">
        <v>26</v>
      </c>
      <c r="H14" s="5" t="s">
        <v>124</v>
      </c>
      <c r="I14" s="8" t="n">
        <v>0.5</v>
      </c>
      <c r="J14" s="5" t="n">
        <v>1</v>
      </c>
      <c r="K14" s="17" t="s">
        <v>129</v>
      </c>
      <c r="L14" s="5" t="s">
        <v>118</v>
      </c>
      <c r="M14" s="17" t="s">
        <v>130</v>
      </c>
    </row>
    <row r="15" customFormat="false" ht="22.35" hidden="false" customHeight="false" outlineLevel="0" collapsed="false">
      <c r="A15" s="17" t="s">
        <v>142</v>
      </c>
      <c r="B15" s="18" t="n">
        <v>367.2</v>
      </c>
      <c r="C15" s="21" t="s">
        <v>124</v>
      </c>
      <c r="D15" s="8" t="n">
        <v>0.66</v>
      </c>
      <c r="E15" s="18" t="n">
        <f aca="false">ROUND(B15*D15,1)</f>
        <v>242.4</v>
      </c>
      <c r="F15" s="18" t="n">
        <f aca="false">B15-E15</f>
        <v>124.8</v>
      </c>
      <c r="G15" s="5" t="s">
        <v>26</v>
      </c>
      <c r="H15" s="5" t="s">
        <v>116</v>
      </c>
      <c r="I15" s="8" t="n">
        <v>0.79</v>
      </c>
      <c r="J15" s="5" t="n">
        <v>5</v>
      </c>
      <c r="K15" s="17" t="s">
        <v>143</v>
      </c>
      <c r="L15" s="5" t="s">
        <v>118</v>
      </c>
      <c r="M15" s="17" t="s">
        <v>144</v>
      </c>
    </row>
    <row r="16" customFormat="false" ht="22.35" hidden="false" customHeight="false" outlineLevel="0" collapsed="false">
      <c r="A16" s="17" t="s">
        <v>145</v>
      </c>
      <c r="B16" s="18" t="n">
        <v>1142.1</v>
      </c>
      <c r="C16" s="19" t="s">
        <v>115</v>
      </c>
      <c r="D16" s="8" t="n">
        <v>1</v>
      </c>
      <c r="E16" s="18" t="n">
        <f aca="false">ROUND(B16*D16,1)</f>
        <v>1142.1</v>
      </c>
      <c r="F16" s="18" t="n">
        <f aca="false">B16-E16</f>
        <v>0</v>
      </c>
      <c r="G16" s="5" t="s">
        <v>26</v>
      </c>
      <c r="H16" s="5" t="s">
        <v>124</v>
      </c>
      <c r="I16" s="8" t="n">
        <v>0.5</v>
      </c>
      <c r="J16" s="5" t="n">
        <v>2</v>
      </c>
      <c r="K16" s="17" t="s">
        <v>135</v>
      </c>
      <c r="L16" s="5" t="s">
        <v>118</v>
      </c>
      <c r="M16" s="17" t="s">
        <v>146</v>
      </c>
    </row>
    <row r="17" customFormat="false" ht="15" hidden="false" customHeight="false" outlineLevel="0" collapsed="false">
      <c r="A17" s="17" t="s">
        <v>147</v>
      </c>
      <c r="B17" s="18" t="n">
        <v>389</v>
      </c>
      <c r="C17" s="20" t="s">
        <v>128</v>
      </c>
      <c r="D17" s="8" t="n">
        <v>0</v>
      </c>
      <c r="E17" s="18" t="n">
        <f aca="false">ROUND(B17*D17,1)</f>
        <v>0</v>
      </c>
      <c r="F17" s="18" t="n">
        <f aca="false">B17-E17</f>
        <v>389</v>
      </c>
      <c r="G17" s="5" t="s">
        <v>26</v>
      </c>
      <c r="H17" s="5" t="s">
        <v>148</v>
      </c>
      <c r="I17" s="8" t="n">
        <v>0</v>
      </c>
      <c r="J17" s="5" t="n">
        <v>1</v>
      </c>
      <c r="K17" s="17" t="s">
        <v>149</v>
      </c>
      <c r="L17" s="5" t="s">
        <v>118</v>
      </c>
      <c r="M17" s="17" t="s">
        <v>130</v>
      </c>
    </row>
    <row r="18" customFormat="false" ht="22.35" hidden="false" customHeight="false" outlineLevel="0" collapsed="false">
      <c r="A18" s="17" t="s">
        <v>150</v>
      </c>
      <c r="B18" s="18" t="n">
        <v>321.4</v>
      </c>
      <c r="C18" s="19" t="s">
        <v>115</v>
      </c>
      <c r="D18" s="8" t="n">
        <v>1</v>
      </c>
      <c r="E18" s="18" t="n">
        <f aca="false">ROUND(B18*D18,1)</f>
        <v>321.4</v>
      </c>
      <c r="F18" s="18" t="n">
        <f aca="false">B18-E18</f>
        <v>0</v>
      </c>
      <c r="G18" s="5" t="s">
        <v>26</v>
      </c>
      <c r="H18" s="5" t="s">
        <v>116</v>
      </c>
      <c r="I18" s="8" t="n">
        <v>1</v>
      </c>
      <c r="J18" s="5" t="n">
        <v>1</v>
      </c>
      <c r="K18" s="17" t="s">
        <v>125</v>
      </c>
      <c r="L18" s="5" t="s">
        <v>118</v>
      </c>
      <c r="M18" s="17" t="s">
        <v>151</v>
      </c>
    </row>
    <row r="19" customFormat="false" ht="15" hidden="false" customHeight="false" outlineLevel="0" collapsed="false">
      <c r="A19" s="17" t="s">
        <v>152</v>
      </c>
      <c r="B19" s="18" t="n">
        <v>393.5</v>
      </c>
      <c r="C19" s="20" t="s">
        <v>128</v>
      </c>
      <c r="D19" s="8" t="n">
        <v>0</v>
      </c>
      <c r="E19" s="18" t="n">
        <f aca="false">ROUND(B19*D19,1)</f>
        <v>0</v>
      </c>
      <c r="F19" s="18" t="n">
        <f aca="false">B19-E19</f>
        <v>393.5</v>
      </c>
      <c r="G19" s="5" t="s">
        <v>26</v>
      </c>
      <c r="H19" s="5" t="s">
        <v>124</v>
      </c>
      <c r="I19" s="8" t="n">
        <v>0.5</v>
      </c>
      <c r="J19" s="5" t="n">
        <v>1</v>
      </c>
      <c r="K19" s="17" t="s">
        <v>149</v>
      </c>
      <c r="L19" s="5" t="s">
        <v>118</v>
      </c>
      <c r="M19" s="17" t="s">
        <v>130</v>
      </c>
    </row>
    <row r="20" customFormat="false" ht="15" hidden="false" customHeight="false" outlineLevel="0" collapsed="false">
      <c r="A20" s="17" t="s">
        <v>153</v>
      </c>
      <c r="B20" s="18" t="n">
        <v>1404.6</v>
      </c>
      <c r="C20" s="21" t="s">
        <v>124</v>
      </c>
      <c r="D20" s="8" t="n">
        <v>0.3</v>
      </c>
      <c r="E20" s="18" t="n">
        <f aca="false">ROUND(B20*D20,1)</f>
        <v>421.4</v>
      </c>
      <c r="F20" s="18" t="n">
        <f aca="false">B20-E20</f>
        <v>983.2</v>
      </c>
      <c r="G20" s="5" t="s">
        <v>26</v>
      </c>
      <c r="H20" s="5" t="s">
        <v>124</v>
      </c>
      <c r="I20" s="8" t="n">
        <v>0.42</v>
      </c>
      <c r="J20" s="5" t="n">
        <v>5</v>
      </c>
      <c r="K20" s="17" t="s">
        <v>154</v>
      </c>
      <c r="L20" s="5" t="s">
        <v>118</v>
      </c>
      <c r="M20" s="17" t="s">
        <v>130</v>
      </c>
    </row>
    <row r="21" customFormat="false" ht="22.35" hidden="false" customHeight="false" outlineLevel="0" collapsed="false">
      <c r="A21" s="17" t="s">
        <v>155</v>
      </c>
      <c r="B21" s="18" t="n">
        <v>1401.7</v>
      </c>
      <c r="C21" s="21" t="s">
        <v>124</v>
      </c>
      <c r="D21" s="8" t="n">
        <v>0.76</v>
      </c>
      <c r="E21" s="18" t="n">
        <f aca="false">ROUND(B21*D21,1)</f>
        <v>1065.3</v>
      </c>
      <c r="F21" s="18" t="n">
        <f aca="false">B21-E21</f>
        <v>336.4</v>
      </c>
      <c r="G21" s="5" t="s">
        <v>26</v>
      </c>
      <c r="H21" s="5" t="s">
        <v>124</v>
      </c>
      <c r="I21" s="8" t="n">
        <v>0.64</v>
      </c>
      <c r="J21" s="5" t="n">
        <v>5</v>
      </c>
      <c r="K21" s="17" t="s">
        <v>156</v>
      </c>
      <c r="L21" s="5" t="s">
        <v>118</v>
      </c>
      <c r="M21" s="17" t="s">
        <v>157</v>
      </c>
    </row>
    <row r="22" customFormat="false" ht="15" hidden="false" customHeight="false" outlineLevel="0" collapsed="false">
      <c r="A22" s="17" t="s">
        <v>158</v>
      </c>
      <c r="B22" s="18" t="n">
        <v>388.4</v>
      </c>
      <c r="C22" s="19" t="s">
        <v>115</v>
      </c>
      <c r="D22" s="8" t="n">
        <v>1</v>
      </c>
      <c r="E22" s="18" t="n">
        <f aca="false">ROUND(B22*D22,1)</f>
        <v>388.4</v>
      </c>
      <c r="F22" s="18" t="n">
        <f aca="false">B22-E22</f>
        <v>0</v>
      </c>
      <c r="G22" s="5" t="s">
        <v>26</v>
      </c>
      <c r="H22" s="5" t="s">
        <v>116</v>
      </c>
      <c r="I22" s="8" t="n">
        <v>1</v>
      </c>
      <c r="J22" s="5" t="n">
        <v>1</v>
      </c>
      <c r="K22" s="17" t="s">
        <v>125</v>
      </c>
      <c r="L22" s="5" t="s">
        <v>118</v>
      </c>
      <c r="M22" s="17" t="s">
        <v>130</v>
      </c>
    </row>
    <row r="23" customFormat="false" ht="15" hidden="false" customHeight="false" outlineLevel="0" collapsed="false">
      <c r="A23" s="17" t="s">
        <v>159</v>
      </c>
      <c r="B23" s="18" t="n">
        <v>391.1</v>
      </c>
      <c r="C23" s="20" t="s">
        <v>128</v>
      </c>
      <c r="D23" s="8" t="n">
        <v>0</v>
      </c>
      <c r="E23" s="18" t="n">
        <f aca="false">ROUND(B23*D23,1)</f>
        <v>0</v>
      </c>
      <c r="F23" s="18" t="n">
        <f aca="false">B23-E23</f>
        <v>391.1</v>
      </c>
      <c r="G23" s="5" t="s">
        <v>26</v>
      </c>
      <c r="H23" s="5" t="s">
        <v>148</v>
      </c>
      <c r="I23" s="8" t="n">
        <v>0</v>
      </c>
      <c r="J23" s="5" t="n">
        <v>1</v>
      </c>
      <c r="K23" s="17" t="s">
        <v>149</v>
      </c>
      <c r="L23" s="5" t="s">
        <v>118</v>
      </c>
      <c r="M23" s="17" t="s">
        <v>130</v>
      </c>
    </row>
    <row r="24" customFormat="false" ht="15" hidden="false" customHeight="false" outlineLevel="0" collapsed="false">
      <c r="A24" s="17" t="s">
        <v>160</v>
      </c>
      <c r="B24" s="18" t="n">
        <v>384.1</v>
      </c>
      <c r="C24" s="20" t="s">
        <v>128</v>
      </c>
      <c r="D24" s="8" t="n">
        <v>0</v>
      </c>
      <c r="E24" s="18" t="n">
        <f aca="false">ROUND(B24*D24,1)</f>
        <v>0</v>
      </c>
      <c r="F24" s="18" t="n">
        <f aca="false">B24-E24</f>
        <v>384.1</v>
      </c>
      <c r="G24" s="5" t="s">
        <v>26</v>
      </c>
      <c r="H24" s="5" t="s">
        <v>124</v>
      </c>
      <c r="I24" s="8" t="n">
        <v>0.5</v>
      </c>
      <c r="J24" s="5" t="n">
        <v>1</v>
      </c>
      <c r="K24" s="17" t="s">
        <v>129</v>
      </c>
      <c r="L24" s="5" t="s">
        <v>118</v>
      </c>
      <c r="M24" s="17" t="s">
        <v>130</v>
      </c>
    </row>
    <row r="25" customFormat="false" ht="15" hidden="false" customHeight="false" outlineLevel="0" collapsed="false">
      <c r="A25" s="17" t="s">
        <v>161</v>
      </c>
      <c r="B25" s="18" t="n">
        <v>9.2</v>
      </c>
      <c r="C25" s="19" t="s">
        <v>115</v>
      </c>
      <c r="D25" s="8" t="n">
        <v>1</v>
      </c>
      <c r="E25" s="18" t="n">
        <f aca="false">ROUND(B25*D25,1)</f>
        <v>9.2</v>
      </c>
      <c r="F25" s="18" t="n">
        <f aca="false">B25-E25</f>
        <v>0</v>
      </c>
      <c r="G25" s="5" t="s">
        <v>26</v>
      </c>
      <c r="H25" s="5" t="s">
        <v>116</v>
      </c>
      <c r="I25" s="8" t="n">
        <v>1</v>
      </c>
      <c r="J25" s="5" t="n">
        <v>1</v>
      </c>
      <c r="K25" s="17" t="s">
        <v>125</v>
      </c>
      <c r="L25" s="5" t="s">
        <v>118</v>
      </c>
      <c r="M25" s="17" t="s">
        <v>162</v>
      </c>
    </row>
    <row r="26" customFormat="false" ht="15" hidden="false" customHeight="false" outlineLevel="0" collapsed="false">
      <c r="A26" s="9" t="s">
        <v>163</v>
      </c>
      <c r="B26" s="10" t="n">
        <f aca="false">SUM(B6:B25)</f>
        <v>16241.4</v>
      </c>
      <c r="C26" s="9"/>
      <c r="D26" s="11" t="n">
        <f aca="false">IF(B26=0,0,E26/B26)</f>
        <v>0.599166328025909</v>
      </c>
      <c r="E26" s="10" t="n">
        <f aca="false">SUM(E6:E25)</f>
        <v>9731.3</v>
      </c>
      <c r="F26" s="10" t="n">
        <f aca="false">SUM(F6:F25)</f>
        <v>6510.1</v>
      </c>
      <c r="G26" s="9"/>
      <c r="H26" s="9"/>
      <c r="I26" s="9"/>
      <c r="J26" s="9"/>
      <c r="K26" s="9"/>
      <c r="L26" s="9"/>
      <c r="M26" s="9"/>
    </row>
    <row r="28" customFormat="false" ht="15" hidden="false" customHeight="false" outlineLevel="0" collapsed="false">
      <c r="A28" s="12" t="s">
        <v>164</v>
      </c>
      <c r="D28" s="22" t="n">
        <f aca="false">F26*8</f>
        <v>52080.8</v>
      </c>
      <c r="E28" s="16" t="s">
        <v>165</v>
      </c>
    </row>
    <row r="29" customFormat="false" ht="15" hidden="false" customHeight="false" outlineLevel="0" collapsed="false">
      <c r="A29" s="12" t="s">
        <v>166</v>
      </c>
      <c r="D29" s="23" t="n">
        <v>0</v>
      </c>
      <c r="E29" s="16" t="s">
        <v>167</v>
      </c>
    </row>
    <row r="30" customFormat="false" ht="15" hidden="false" customHeight="false" outlineLevel="0" collapsed="false">
      <c r="A30" s="12" t="s">
        <v>168</v>
      </c>
      <c r="D30" s="24" t="n">
        <v>0.6</v>
      </c>
      <c r="E30" s="16" t="s">
        <v>169</v>
      </c>
    </row>
    <row r="31" customFormat="false" ht="15" hidden="false" customHeight="false" outlineLevel="0" collapsed="false">
      <c r="A31" s="12" t="s">
        <v>170</v>
      </c>
      <c r="D31" s="22" t="n">
        <f aca="false">(B26-D29)*(1-D30)</f>
        <v>6496.56</v>
      </c>
      <c r="E31" s="16" t="s">
        <v>171</v>
      </c>
    </row>
    <row r="32" customFormat="false" ht="15" hidden="false" customHeight="false" outlineLevel="0" collapsed="false">
      <c r="A32" s="12" t="s">
        <v>172</v>
      </c>
      <c r="D32" s="22" t="n">
        <f aca="false">D31*4</f>
        <v>25986.24</v>
      </c>
      <c r="E32" s="16" t="s">
        <v>173</v>
      </c>
    </row>
    <row r="33" customFormat="false" ht="15" hidden="false" customHeight="false" outlineLevel="0" collapsed="false">
      <c r="A33" s="12" t="s">
        <v>174</v>
      </c>
      <c r="D33" s="23" t="n">
        <v>9731</v>
      </c>
    </row>
    <row r="34" customFormat="false" ht="15" hidden="false" customHeight="false" outlineLevel="0" collapsed="false">
      <c r="A34" s="12" t="s">
        <v>175</v>
      </c>
      <c r="D34" s="23" t="n">
        <v>0</v>
      </c>
      <c r="E34" s="16" t="s">
        <v>176</v>
      </c>
    </row>
    <row r="35" customFormat="false" ht="15" hidden="false" customHeight="false" outlineLevel="0" collapsed="false">
      <c r="A35" s="12" t="s">
        <v>177</v>
      </c>
      <c r="D35" s="23" t="n">
        <v>6510</v>
      </c>
    </row>
    <row r="36" customFormat="false" ht="15" hidden="false" customHeight="false" outlineLevel="0" collapsed="false">
      <c r="A36" s="12" t="s">
        <v>178</v>
      </c>
      <c r="D36" s="23" t="n">
        <v>0</v>
      </c>
      <c r="E36" s="16" t="s">
        <v>179</v>
      </c>
    </row>
    <row r="37" customFormat="false" ht="15" hidden="false" customHeight="true" outlineLevel="0" collapsed="false">
      <c r="A37" s="25" t="s">
        <v>180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</row>
  </sheetData>
  <mergeCells count="1">
    <mergeCell ref="A37:M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10" min="9" style="0" width="9"/>
    <col collapsed="false" customWidth="true" hidden="false" outlineLevel="0" max="11" min="11" style="0" width="46"/>
    <col collapsed="false" customWidth="true" hidden="false" outlineLevel="0" max="12" min="12" style="0" width="17"/>
    <col collapsed="false" customWidth="true" hidden="false" outlineLevel="0" max="13" min="13" style="0" width="54"/>
  </cols>
  <sheetData>
    <row r="1" customFormat="false" ht="16.15" hidden="false" customHeight="false" outlineLevel="0" collapsed="false">
      <c r="A1" s="14" t="s">
        <v>181</v>
      </c>
    </row>
    <row r="2" customFormat="false" ht="15" hidden="false" customHeight="false" outlineLevel="0" collapsed="false">
      <c r="A2" s="15" t="s">
        <v>182</v>
      </c>
    </row>
    <row r="3" customFormat="false" ht="15" hidden="false" customHeight="false" outlineLevel="0" collapsed="false">
      <c r="A3" s="16" t="s">
        <v>183</v>
      </c>
    </row>
    <row r="5" customFormat="false" ht="22.35" hidden="false" customHeight="false" outlineLevel="0" collapsed="false">
      <c r="A5" s="4" t="s">
        <v>102</v>
      </c>
      <c r="B5" s="4" t="s">
        <v>103</v>
      </c>
      <c r="C5" s="4" t="s">
        <v>104</v>
      </c>
      <c r="D5" s="4" t="s">
        <v>105</v>
      </c>
      <c r="E5" s="4" t="s">
        <v>106</v>
      </c>
      <c r="F5" s="4" t="s">
        <v>107</v>
      </c>
      <c r="G5" s="4" t="s">
        <v>108</v>
      </c>
      <c r="H5" s="4" t="s">
        <v>109</v>
      </c>
      <c r="I5" s="4" t="s">
        <v>110</v>
      </c>
      <c r="J5" s="4" t="s">
        <v>16</v>
      </c>
      <c r="K5" s="4" t="s">
        <v>111</v>
      </c>
      <c r="L5" s="4" t="s">
        <v>112</v>
      </c>
      <c r="M5" s="4" t="s">
        <v>113</v>
      </c>
    </row>
    <row r="6" customFormat="false" ht="22.35" hidden="false" customHeight="false" outlineLevel="0" collapsed="false">
      <c r="A6" s="17" t="s">
        <v>184</v>
      </c>
      <c r="B6" s="18" t="n">
        <v>942.4</v>
      </c>
      <c r="C6" s="20" t="s">
        <v>128</v>
      </c>
      <c r="D6" s="8" t="n">
        <v>0</v>
      </c>
      <c r="E6" s="18" t="n">
        <f aca="false">ROUND(B6*D6,1)</f>
        <v>0</v>
      </c>
      <c r="F6" s="18" t="n">
        <f aca="false">B6-E6</f>
        <v>942.4</v>
      </c>
      <c r="G6" s="5" t="s">
        <v>26</v>
      </c>
      <c r="H6" s="5" t="s">
        <v>148</v>
      </c>
      <c r="I6" s="8" t="n">
        <v>0</v>
      </c>
      <c r="J6" s="5" t="n">
        <v>3</v>
      </c>
      <c r="K6" s="17" t="s">
        <v>185</v>
      </c>
      <c r="L6" s="5" t="s">
        <v>118</v>
      </c>
      <c r="M6" s="17" t="s">
        <v>186</v>
      </c>
    </row>
    <row r="7" customFormat="false" ht="22.35" hidden="false" customHeight="false" outlineLevel="0" collapsed="false">
      <c r="A7" s="17" t="s">
        <v>187</v>
      </c>
      <c r="B7" s="18" t="n">
        <v>920</v>
      </c>
      <c r="C7" s="20" t="s">
        <v>128</v>
      </c>
      <c r="D7" s="8" t="n">
        <v>0</v>
      </c>
      <c r="E7" s="18" t="n">
        <f aca="false">ROUND(B7*D7,1)</f>
        <v>0</v>
      </c>
      <c r="F7" s="18" t="n">
        <f aca="false">B7-E7</f>
        <v>920</v>
      </c>
      <c r="G7" s="5" t="s">
        <v>69</v>
      </c>
      <c r="H7" s="5" t="s">
        <v>188</v>
      </c>
      <c r="I7" s="8" t="s">
        <v>189</v>
      </c>
      <c r="J7" s="5" t="n">
        <v>0</v>
      </c>
      <c r="K7" s="17" t="s">
        <v>190</v>
      </c>
      <c r="L7" s="5" t="s">
        <v>191</v>
      </c>
      <c r="M7" s="17" t="s">
        <v>192</v>
      </c>
    </row>
    <row r="8" customFormat="false" ht="22.35" hidden="false" customHeight="false" outlineLevel="0" collapsed="false">
      <c r="A8" s="17" t="s">
        <v>193</v>
      </c>
      <c r="B8" s="18" t="n">
        <v>920</v>
      </c>
      <c r="C8" s="20" t="s">
        <v>128</v>
      </c>
      <c r="D8" s="8" t="n">
        <v>0</v>
      </c>
      <c r="E8" s="18" t="n">
        <f aca="false">ROUND(B8*D8,1)</f>
        <v>0</v>
      </c>
      <c r="F8" s="18" t="n">
        <f aca="false">B8-E8</f>
        <v>920</v>
      </c>
      <c r="G8" s="5" t="s">
        <v>69</v>
      </c>
      <c r="H8" s="5" t="s">
        <v>188</v>
      </c>
      <c r="I8" s="8" t="s">
        <v>189</v>
      </c>
      <c r="J8" s="5" t="n">
        <v>0</v>
      </c>
      <c r="K8" s="17" t="s">
        <v>190</v>
      </c>
      <c r="L8" s="5" t="s">
        <v>191</v>
      </c>
      <c r="M8" s="17" t="s">
        <v>194</v>
      </c>
    </row>
    <row r="9" customFormat="false" ht="22.35" hidden="false" customHeight="false" outlineLevel="0" collapsed="false">
      <c r="A9" s="17" t="s">
        <v>195</v>
      </c>
      <c r="B9" s="18" t="n">
        <v>920</v>
      </c>
      <c r="C9" s="20" t="s">
        <v>128</v>
      </c>
      <c r="D9" s="8" t="n">
        <v>0</v>
      </c>
      <c r="E9" s="18" t="n">
        <f aca="false">ROUND(B9*D9,1)</f>
        <v>0</v>
      </c>
      <c r="F9" s="18" t="n">
        <f aca="false">B9-E9</f>
        <v>920</v>
      </c>
      <c r="G9" s="5" t="s">
        <v>69</v>
      </c>
      <c r="H9" s="5" t="s">
        <v>188</v>
      </c>
      <c r="I9" s="8" t="s">
        <v>189</v>
      </c>
      <c r="J9" s="5" t="n">
        <v>0</v>
      </c>
      <c r="K9" s="17" t="s">
        <v>190</v>
      </c>
      <c r="L9" s="5" t="s">
        <v>191</v>
      </c>
      <c r="M9" s="17" t="s">
        <v>196</v>
      </c>
    </row>
    <row r="10" customFormat="false" ht="22.35" hidden="false" customHeight="false" outlineLevel="0" collapsed="false">
      <c r="A10" s="17" t="s">
        <v>197</v>
      </c>
      <c r="B10" s="18" t="n">
        <v>920</v>
      </c>
      <c r="C10" s="20" t="s">
        <v>128</v>
      </c>
      <c r="D10" s="8" t="n">
        <v>0</v>
      </c>
      <c r="E10" s="18" t="n">
        <f aca="false">ROUND(B10*D10,1)</f>
        <v>0</v>
      </c>
      <c r="F10" s="18" t="n">
        <f aca="false">B10-E10</f>
        <v>920</v>
      </c>
      <c r="G10" s="5" t="s">
        <v>69</v>
      </c>
      <c r="H10" s="5" t="s">
        <v>188</v>
      </c>
      <c r="I10" s="8" t="s">
        <v>189</v>
      </c>
      <c r="J10" s="5" t="n">
        <v>0</v>
      </c>
      <c r="K10" s="17" t="s">
        <v>190</v>
      </c>
      <c r="L10" s="5" t="s">
        <v>191</v>
      </c>
      <c r="M10" s="17" t="s">
        <v>196</v>
      </c>
    </row>
    <row r="11" customFormat="false" ht="22.35" hidden="false" customHeight="false" outlineLevel="0" collapsed="false">
      <c r="A11" s="17" t="s">
        <v>198</v>
      </c>
      <c r="B11" s="18" t="n">
        <v>920</v>
      </c>
      <c r="C11" s="20" t="s">
        <v>128</v>
      </c>
      <c r="D11" s="8" t="n">
        <v>0</v>
      </c>
      <c r="E11" s="18" t="n">
        <f aca="false">ROUND(B11*D11,1)</f>
        <v>0</v>
      </c>
      <c r="F11" s="18" t="n">
        <f aca="false">B11-E11</f>
        <v>920</v>
      </c>
      <c r="G11" s="5" t="s">
        <v>69</v>
      </c>
      <c r="H11" s="5" t="s">
        <v>188</v>
      </c>
      <c r="I11" s="8" t="s">
        <v>189</v>
      </c>
      <c r="J11" s="5" t="n">
        <v>0</v>
      </c>
      <c r="K11" s="17" t="s">
        <v>190</v>
      </c>
      <c r="L11" s="5" t="s">
        <v>191</v>
      </c>
      <c r="M11" s="17" t="s">
        <v>196</v>
      </c>
    </row>
    <row r="12" customFormat="false" ht="22.35" hidden="false" customHeight="false" outlineLevel="0" collapsed="false">
      <c r="A12" s="17" t="s">
        <v>199</v>
      </c>
      <c r="B12" s="18" t="n">
        <v>920</v>
      </c>
      <c r="C12" s="20" t="s">
        <v>128</v>
      </c>
      <c r="D12" s="8" t="n">
        <v>0</v>
      </c>
      <c r="E12" s="18" t="n">
        <f aca="false">ROUND(B12*D12,1)</f>
        <v>0</v>
      </c>
      <c r="F12" s="18" t="n">
        <f aca="false">B12-E12</f>
        <v>920</v>
      </c>
      <c r="G12" s="5" t="s">
        <v>69</v>
      </c>
      <c r="H12" s="5" t="s">
        <v>188</v>
      </c>
      <c r="I12" s="8" t="s">
        <v>189</v>
      </c>
      <c r="J12" s="5" t="n">
        <v>0</v>
      </c>
      <c r="K12" s="17" t="s">
        <v>190</v>
      </c>
      <c r="L12" s="5" t="s">
        <v>191</v>
      </c>
      <c r="M12" s="17" t="s">
        <v>196</v>
      </c>
    </row>
    <row r="13" customFormat="false" ht="22.35" hidden="false" customHeight="false" outlineLevel="0" collapsed="false">
      <c r="A13" s="17" t="s">
        <v>200</v>
      </c>
      <c r="B13" s="18" t="n">
        <v>920</v>
      </c>
      <c r="C13" s="20" t="s">
        <v>128</v>
      </c>
      <c r="D13" s="8" t="n">
        <v>0</v>
      </c>
      <c r="E13" s="18" t="n">
        <f aca="false">ROUND(B13*D13,1)</f>
        <v>0</v>
      </c>
      <c r="F13" s="18" t="n">
        <f aca="false">B13-E13</f>
        <v>920</v>
      </c>
      <c r="G13" s="5" t="s">
        <v>69</v>
      </c>
      <c r="H13" s="5" t="s">
        <v>188</v>
      </c>
      <c r="I13" s="8" t="s">
        <v>189</v>
      </c>
      <c r="J13" s="5" t="n">
        <v>0</v>
      </c>
      <c r="K13" s="17" t="s">
        <v>190</v>
      </c>
      <c r="L13" s="5" t="s">
        <v>191</v>
      </c>
      <c r="M13" s="17" t="s">
        <v>196</v>
      </c>
    </row>
    <row r="14" customFormat="false" ht="22.35" hidden="false" customHeight="false" outlineLevel="0" collapsed="false">
      <c r="A14" s="17" t="s">
        <v>201</v>
      </c>
      <c r="B14" s="18" t="n">
        <v>920</v>
      </c>
      <c r="C14" s="20" t="s">
        <v>128</v>
      </c>
      <c r="D14" s="8" t="n">
        <v>0</v>
      </c>
      <c r="E14" s="18" t="n">
        <f aca="false">ROUND(B14*D14,1)</f>
        <v>0</v>
      </c>
      <c r="F14" s="18" t="n">
        <f aca="false">B14-E14</f>
        <v>920</v>
      </c>
      <c r="G14" s="5" t="s">
        <v>69</v>
      </c>
      <c r="H14" s="5" t="s">
        <v>188</v>
      </c>
      <c r="I14" s="8" t="s">
        <v>189</v>
      </c>
      <c r="J14" s="5" t="n">
        <v>0</v>
      </c>
      <c r="K14" s="17" t="s">
        <v>190</v>
      </c>
      <c r="L14" s="5" t="s">
        <v>191</v>
      </c>
      <c r="M14" s="17" t="s">
        <v>196</v>
      </c>
    </row>
    <row r="15" customFormat="false" ht="22.35" hidden="false" customHeight="false" outlineLevel="0" collapsed="false">
      <c r="A15" s="17" t="s">
        <v>202</v>
      </c>
      <c r="B15" s="18" t="n">
        <v>920</v>
      </c>
      <c r="C15" s="20" t="s">
        <v>128</v>
      </c>
      <c r="D15" s="8" t="n">
        <v>0</v>
      </c>
      <c r="E15" s="18" t="n">
        <f aca="false">ROUND(B15*D15,1)</f>
        <v>0</v>
      </c>
      <c r="F15" s="18" t="n">
        <f aca="false">B15-E15</f>
        <v>920</v>
      </c>
      <c r="G15" s="5" t="s">
        <v>69</v>
      </c>
      <c r="H15" s="5" t="s">
        <v>188</v>
      </c>
      <c r="I15" s="8" t="s">
        <v>189</v>
      </c>
      <c r="J15" s="5" t="n">
        <v>0</v>
      </c>
      <c r="K15" s="17" t="s">
        <v>190</v>
      </c>
      <c r="L15" s="5" t="s">
        <v>191</v>
      </c>
      <c r="M15" s="17" t="s">
        <v>196</v>
      </c>
    </row>
    <row r="16" customFormat="false" ht="22.35" hidden="false" customHeight="false" outlineLevel="0" collapsed="false">
      <c r="A16" s="17" t="s">
        <v>203</v>
      </c>
      <c r="B16" s="18" t="n">
        <v>920</v>
      </c>
      <c r="C16" s="20" t="s">
        <v>128</v>
      </c>
      <c r="D16" s="8" t="n">
        <v>0</v>
      </c>
      <c r="E16" s="18" t="n">
        <f aca="false">ROUND(B16*D16,1)</f>
        <v>0</v>
      </c>
      <c r="F16" s="18" t="n">
        <f aca="false">B16-E16</f>
        <v>920</v>
      </c>
      <c r="G16" s="5" t="s">
        <v>69</v>
      </c>
      <c r="H16" s="5" t="s">
        <v>188</v>
      </c>
      <c r="I16" s="8" t="s">
        <v>189</v>
      </c>
      <c r="J16" s="5" t="n">
        <v>0</v>
      </c>
      <c r="K16" s="17" t="s">
        <v>190</v>
      </c>
      <c r="L16" s="5" t="s">
        <v>191</v>
      </c>
      <c r="M16" s="17" t="s">
        <v>196</v>
      </c>
    </row>
    <row r="17" customFormat="false" ht="22.35" hidden="false" customHeight="false" outlineLevel="0" collapsed="false">
      <c r="A17" s="17" t="s">
        <v>204</v>
      </c>
      <c r="B17" s="18" t="n">
        <v>920</v>
      </c>
      <c r="C17" s="20" t="s">
        <v>128</v>
      </c>
      <c r="D17" s="8" t="n">
        <v>0</v>
      </c>
      <c r="E17" s="18" t="n">
        <f aca="false">ROUND(B17*D17,1)</f>
        <v>0</v>
      </c>
      <c r="F17" s="18" t="n">
        <f aca="false">B17-E17</f>
        <v>920</v>
      </c>
      <c r="G17" s="5" t="s">
        <v>69</v>
      </c>
      <c r="H17" s="5" t="s">
        <v>188</v>
      </c>
      <c r="I17" s="8" t="s">
        <v>189</v>
      </c>
      <c r="J17" s="5" t="n">
        <v>0</v>
      </c>
      <c r="K17" s="17" t="s">
        <v>190</v>
      </c>
      <c r="L17" s="5" t="s">
        <v>191</v>
      </c>
      <c r="M17" s="17" t="s">
        <v>196</v>
      </c>
    </row>
    <row r="18" customFormat="false" ht="22.35" hidden="false" customHeight="false" outlineLevel="0" collapsed="false">
      <c r="A18" s="17" t="s">
        <v>205</v>
      </c>
      <c r="B18" s="18" t="n">
        <v>920</v>
      </c>
      <c r="C18" s="20" t="s">
        <v>128</v>
      </c>
      <c r="D18" s="8" t="n">
        <v>0</v>
      </c>
      <c r="E18" s="18" t="n">
        <f aca="false">ROUND(B18*D18,1)</f>
        <v>0</v>
      </c>
      <c r="F18" s="18" t="n">
        <f aca="false">B18-E18</f>
        <v>920</v>
      </c>
      <c r="G18" s="5" t="s">
        <v>69</v>
      </c>
      <c r="H18" s="5" t="s">
        <v>188</v>
      </c>
      <c r="I18" s="8" t="s">
        <v>189</v>
      </c>
      <c r="J18" s="5" t="n">
        <v>0</v>
      </c>
      <c r="K18" s="17" t="s">
        <v>190</v>
      </c>
      <c r="L18" s="5" t="s">
        <v>191</v>
      </c>
      <c r="M18" s="17" t="s">
        <v>196</v>
      </c>
    </row>
    <row r="19" customFormat="false" ht="22.35" hidden="false" customHeight="false" outlineLevel="0" collapsed="false">
      <c r="A19" s="17" t="s">
        <v>206</v>
      </c>
      <c r="B19" s="18" t="n">
        <v>920</v>
      </c>
      <c r="C19" s="20" t="s">
        <v>128</v>
      </c>
      <c r="D19" s="8" t="n">
        <v>0</v>
      </c>
      <c r="E19" s="18" t="n">
        <f aca="false">ROUND(B19*D19,1)</f>
        <v>0</v>
      </c>
      <c r="F19" s="18" t="n">
        <f aca="false">B19-E19</f>
        <v>920</v>
      </c>
      <c r="G19" s="5" t="s">
        <v>69</v>
      </c>
      <c r="H19" s="5" t="s">
        <v>188</v>
      </c>
      <c r="I19" s="8" t="s">
        <v>189</v>
      </c>
      <c r="J19" s="5" t="n">
        <v>0</v>
      </c>
      <c r="K19" s="17" t="s">
        <v>190</v>
      </c>
      <c r="L19" s="5" t="s">
        <v>191</v>
      </c>
      <c r="M19" s="17" t="s">
        <v>196</v>
      </c>
    </row>
    <row r="20" customFormat="false" ht="22.35" hidden="false" customHeight="false" outlineLevel="0" collapsed="false">
      <c r="A20" s="17" t="s">
        <v>207</v>
      </c>
      <c r="B20" s="18" t="n">
        <v>920</v>
      </c>
      <c r="C20" s="20" t="s">
        <v>128</v>
      </c>
      <c r="D20" s="8" t="n">
        <v>0</v>
      </c>
      <c r="E20" s="18" t="n">
        <f aca="false">ROUND(B20*D20,1)</f>
        <v>0</v>
      </c>
      <c r="F20" s="18" t="n">
        <f aca="false">B20-E20</f>
        <v>920</v>
      </c>
      <c r="G20" s="5" t="s">
        <v>69</v>
      </c>
      <c r="H20" s="5" t="s">
        <v>188</v>
      </c>
      <c r="I20" s="8" t="s">
        <v>189</v>
      </c>
      <c r="J20" s="5" t="n">
        <v>0</v>
      </c>
      <c r="K20" s="17" t="s">
        <v>190</v>
      </c>
      <c r="L20" s="5" t="s">
        <v>191</v>
      </c>
      <c r="M20" s="17" t="s">
        <v>196</v>
      </c>
    </row>
    <row r="21" customFormat="false" ht="22.35" hidden="false" customHeight="false" outlineLevel="0" collapsed="false">
      <c r="A21" s="17" t="s">
        <v>208</v>
      </c>
      <c r="B21" s="18" t="n">
        <v>920</v>
      </c>
      <c r="C21" s="20" t="s">
        <v>128</v>
      </c>
      <c r="D21" s="8" t="n">
        <v>0</v>
      </c>
      <c r="E21" s="18" t="n">
        <f aca="false">ROUND(B21*D21,1)</f>
        <v>0</v>
      </c>
      <c r="F21" s="18" t="n">
        <f aca="false">B21-E21</f>
        <v>920</v>
      </c>
      <c r="G21" s="5" t="s">
        <v>69</v>
      </c>
      <c r="H21" s="5" t="s">
        <v>188</v>
      </c>
      <c r="I21" s="8" t="s">
        <v>189</v>
      </c>
      <c r="J21" s="5" t="n">
        <v>0</v>
      </c>
      <c r="K21" s="17" t="s">
        <v>190</v>
      </c>
      <c r="L21" s="5" t="s">
        <v>191</v>
      </c>
      <c r="M21" s="17" t="s">
        <v>196</v>
      </c>
    </row>
    <row r="22" customFormat="false" ht="22.35" hidden="false" customHeight="false" outlineLevel="0" collapsed="false">
      <c r="A22" s="17" t="s">
        <v>209</v>
      </c>
      <c r="B22" s="18" t="n">
        <v>920</v>
      </c>
      <c r="C22" s="20" t="s">
        <v>128</v>
      </c>
      <c r="D22" s="8" t="n">
        <v>0</v>
      </c>
      <c r="E22" s="18" t="n">
        <f aca="false">ROUND(B22*D22,1)</f>
        <v>0</v>
      </c>
      <c r="F22" s="18" t="n">
        <f aca="false">B22-E22</f>
        <v>920</v>
      </c>
      <c r="G22" s="5" t="s">
        <v>69</v>
      </c>
      <c r="H22" s="5" t="s">
        <v>188</v>
      </c>
      <c r="I22" s="8" t="s">
        <v>189</v>
      </c>
      <c r="J22" s="5" t="n">
        <v>0</v>
      </c>
      <c r="K22" s="17" t="s">
        <v>190</v>
      </c>
      <c r="L22" s="5" t="s">
        <v>191</v>
      </c>
      <c r="M22" s="17" t="s">
        <v>196</v>
      </c>
    </row>
    <row r="23" customFormat="false" ht="22.35" hidden="false" customHeight="false" outlineLevel="0" collapsed="false">
      <c r="A23" s="17" t="s">
        <v>210</v>
      </c>
      <c r="B23" s="18" t="n">
        <v>920</v>
      </c>
      <c r="C23" s="20" t="s">
        <v>128</v>
      </c>
      <c r="D23" s="8" t="n">
        <v>0</v>
      </c>
      <c r="E23" s="18" t="n">
        <f aca="false">ROUND(B23*D23,1)</f>
        <v>0</v>
      </c>
      <c r="F23" s="18" t="n">
        <f aca="false">B23-E23</f>
        <v>920</v>
      </c>
      <c r="G23" s="5" t="s">
        <v>69</v>
      </c>
      <c r="H23" s="5" t="s">
        <v>188</v>
      </c>
      <c r="I23" s="8" t="s">
        <v>189</v>
      </c>
      <c r="J23" s="5" t="n">
        <v>0</v>
      </c>
      <c r="K23" s="17" t="s">
        <v>190</v>
      </c>
      <c r="L23" s="5" t="s">
        <v>191</v>
      </c>
      <c r="M23" s="17" t="s">
        <v>196</v>
      </c>
    </row>
    <row r="24" customFormat="false" ht="22.35" hidden="false" customHeight="false" outlineLevel="0" collapsed="false">
      <c r="A24" s="17" t="s">
        <v>211</v>
      </c>
      <c r="B24" s="18" t="n">
        <v>920</v>
      </c>
      <c r="C24" s="20" t="s">
        <v>128</v>
      </c>
      <c r="D24" s="8" t="n">
        <v>0</v>
      </c>
      <c r="E24" s="18" t="n">
        <f aca="false">ROUND(B24*D24,1)</f>
        <v>0</v>
      </c>
      <c r="F24" s="18" t="n">
        <f aca="false">B24-E24</f>
        <v>920</v>
      </c>
      <c r="G24" s="5" t="s">
        <v>69</v>
      </c>
      <c r="H24" s="5" t="s">
        <v>188</v>
      </c>
      <c r="I24" s="8" t="s">
        <v>189</v>
      </c>
      <c r="J24" s="5" t="n">
        <v>0</v>
      </c>
      <c r="K24" s="17" t="s">
        <v>190</v>
      </c>
      <c r="L24" s="5" t="s">
        <v>191</v>
      </c>
      <c r="M24" s="17" t="s">
        <v>196</v>
      </c>
    </row>
    <row r="25" customFormat="false" ht="22.35" hidden="false" customHeight="false" outlineLevel="0" collapsed="false">
      <c r="A25" s="17" t="s">
        <v>212</v>
      </c>
      <c r="B25" s="18" t="n">
        <v>920</v>
      </c>
      <c r="C25" s="20" t="s">
        <v>128</v>
      </c>
      <c r="D25" s="8" t="n">
        <v>0</v>
      </c>
      <c r="E25" s="18" t="n">
        <f aca="false">ROUND(B25*D25,1)</f>
        <v>0</v>
      </c>
      <c r="F25" s="18" t="n">
        <f aca="false">B25-E25</f>
        <v>920</v>
      </c>
      <c r="G25" s="5" t="s">
        <v>69</v>
      </c>
      <c r="H25" s="5" t="s">
        <v>188</v>
      </c>
      <c r="I25" s="8" t="s">
        <v>189</v>
      </c>
      <c r="J25" s="5" t="n">
        <v>0</v>
      </c>
      <c r="K25" s="17" t="s">
        <v>190</v>
      </c>
      <c r="L25" s="5" t="s">
        <v>191</v>
      </c>
      <c r="M25" s="17" t="s">
        <v>196</v>
      </c>
    </row>
    <row r="26" customFormat="false" ht="22.35" hidden="false" customHeight="false" outlineLevel="0" collapsed="false">
      <c r="A26" s="17" t="s">
        <v>213</v>
      </c>
      <c r="B26" s="18" t="n">
        <v>920</v>
      </c>
      <c r="C26" s="20" t="s">
        <v>128</v>
      </c>
      <c r="D26" s="8" t="n">
        <v>0</v>
      </c>
      <c r="E26" s="18" t="n">
        <f aca="false">ROUND(B26*D26,1)</f>
        <v>0</v>
      </c>
      <c r="F26" s="18" t="n">
        <f aca="false">B26-E26</f>
        <v>920</v>
      </c>
      <c r="G26" s="5" t="s">
        <v>69</v>
      </c>
      <c r="H26" s="5" t="s">
        <v>188</v>
      </c>
      <c r="I26" s="8" t="s">
        <v>189</v>
      </c>
      <c r="J26" s="5" t="n">
        <v>0</v>
      </c>
      <c r="K26" s="17" t="s">
        <v>190</v>
      </c>
      <c r="L26" s="5" t="s">
        <v>191</v>
      </c>
      <c r="M26" s="17" t="s">
        <v>196</v>
      </c>
    </row>
    <row r="27" customFormat="false" ht="22.35" hidden="false" customHeight="false" outlineLevel="0" collapsed="false">
      <c r="A27" s="17" t="s">
        <v>214</v>
      </c>
      <c r="B27" s="18" t="n">
        <v>920</v>
      </c>
      <c r="C27" s="20" t="s">
        <v>128</v>
      </c>
      <c r="D27" s="8" t="n">
        <v>0</v>
      </c>
      <c r="E27" s="18" t="n">
        <f aca="false">ROUND(B27*D27,1)</f>
        <v>0</v>
      </c>
      <c r="F27" s="18" t="n">
        <f aca="false">B27-E27</f>
        <v>920</v>
      </c>
      <c r="G27" s="5" t="s">
        <v>69</v>
      </c>
      <c r="H27" s="5" t="s">
        <v>188</v>
      </c>
      <c r="I27" s="8" t="s">
        <v>189</v>
      </c>
      <c r="J27" s="5" t="n">
        <v>0</v>
      </c>
      <c r="K27" s="17" t="s">
        <v>190</v>
      </c>
      <c r="L27" s="5" t="s">
        <v>191</v>
      </c>
      <c r="M27" s="17" t="s">
        <v>196</v>
      </c>
    </row>
    <row r="28" customFormat="false" ht="22.35" hidden="false" customHeight="false" outlineLevel="0" collapsed="false">
      <c r="A28" s="17" t="s">
        <v>215</v>
      </c>
      <c r="B28" s="18" t="n">
        <v>920</v>
      </c>
      <c r="C28" s="20" t="s">
        <v>128</v>
      </c>
      <c r="D28" s="8" t="n">
        <v>0</v>
      </c>
      <c r="E28" s="18" t="n">
        <f aca="false">ROUND(B28*D28,1)</f>
        <v>0</v>
      </c>
      <c r="F28" s="18" t="n">
        <f aca="false">B28-E28</f>
        <v>920</v>
      </c>
      <c r="G28" s="5" t="s">
        <v>69</v>
      </c>
      <c r="H28" s="5" t="s">
        <v>188</v>
      </c>
      <c r="I28" s="8" t="s">
        <v>189</v>
      </c>
      <c r="J28" s="5" t="n">
        <v>0</v>
      </c>
      <c r="K28" s="17" t="s">
        <v>190</v>
      </c>
      <c r="L28" s="5" t="s">
        <v>191</v>
      </c>
      <c r="M28" s="17" t="s">
        <v>196</v>
      </c>
    </row>
    <row r="29" customFormat="false" ht="22.35" hidden="false" customHeight="false" outlineLevel="0" collapsed="false">
      <c r="A29" s="17" t="s">
        <v>216</v>
      </c>
      <c r="B29" s="18" t="n">
        <v>920</v>
      </c>
      <c r="C29" s="20" t="s">
        <v>128</v>
      </c>
      <c r="D29" s="8" t="n">
        <v>0</v>
      </c>
      <c r="E29" s="18" t="n">
        <f aca="false">ROUND(B29*D29,1)</f>
        <v>0</v>
      </c>
      <c r="F29" s="18" t="n">
        <f aca="false">B29-E29</f>
        <v>920</v>
      </c>
      <c r="G29" s="5" t="s">
        <v>69</v>
      </c>
      <c r="H29" s="5" t="s">
        <v>188</v>
      </c>
      <c r="I29" s="8" t="s">
        <v>189</v>
      </c>
      <c r="J29" s="5" t="n">
        <v>0</v>
      </c>
      <c r="K29" s="17" t="s">
        <v>190</v>
      </c>
      <c r="L29" s="5" t="s">
        <v>191</v>
      </c>
      <c r="M29" s="17" t="s">
        <v>196</v>
      </c>
    </row>
    <row r="30" customFormat="false" ht="22.35" hidden="false" customHeight="false" outlineLevel="0" collapsed="false">
      <c r="A30" s="17" t="s">
        <v>217</v>
      </c>
      <c r="B30" s="18" t="n">
        <v>920</v>
      </c>
      <c r="C30" s="20" t="s">
        <v>128</v>
      </c>
      <c r="D30" s="8" t="n">
        <v>0</v>
      </c>
      <c r="E30" s="18" t="n">
        <f aca="false">ROUND(B30*D30,1)</f>
        <v>0</v>
      </c>
      <c r="F30" s="18" t="n">
        <f aca="false">B30-E30</f>
        <v>920</v>
      </c>
      <c r="G30" s="5" t="s">
        <v>69</v>
      </c>
      <c r="H30" s="5" t="s">
        <v>188</v>
      </c>
      <c r="I30" s="8" t="s">
        <v>189</v>
      </c>
      <c r="J30" s="5" t="n">
        <v>0</v>
      </c>
      <c r="K30" s="17" t="s">
        <v>190</v>
      </c>
      <c r="L30" s="5" t="s">
        <v>191</v>
      </c>
      <c r="M30" s="17" t="s">
        <v>196</v>
      </c>
    </row>
    <row r="31" customFormat="false" ht="22.35" hidden="false" customHeight="false" outlineLevel="0" collapsed="false">
      <c r="A31" s="17" t="s">
        <v>218</v>
      </c>
      <c r="B31" s="18" t="n">
        <v>920</v>
      </c>
      <c r="C31" s="20" t="s">
        <v>128</v>
      </c>
      <c r="D31" s="8" t="n">
        <v>0</v>
      </c>
      <c r="E31" s="18" t="n">
        <f aca="false">ROUND(B31*D31,1)</f>
        <v>0</v>
      </c>
      <c r="F31" s="18" t="n">
        <f aca="false">B31-E31</f>
        <v>920</v>
      </c>
      <c r="G31" s="5" t="s">
        <v>69</v>
      </c>
      <c r="H31" s="5" t="s">
        <v>188</v>
      </c>
      <c r="I31" s="8" t="s">
        <v>189</v>
      </c>
      <c r="J31" s="5" t="n">
        <v>0</v>
      </c>
      <c r="K31" s="17" t="s">
        <v>190</v>
      </c>
      <c r="L31" s="5" t="s">
        <v>191</v>
      </c>
      <c r="M31" s="17" t="s">
        <v>196</v>
      </c>
    </row>
    <row r="32" customFormat="false" ht="22.35" hidden="false" customHeight="false" outlineLevel="0" collapsed="false">
      <c r="A32" s="17" t="s">
        <v>219</v>
      </c>
      <c r="B32" s="18" t="n">
        <v>920</v>
      </c>
      <c r="C32" s="20" t="s">
        <v>128</v>
      </c>
      <c r="D32" s="8" t="n">
        <v>0</v>
      </c>
      <c r="E32" s="18" t="n">
        <f aca="false">ROUND(B32*D32,1)</f>
        <v>0</v>
      </c>
      <c r="F32" s="18" t="n">
        <f aca="false">B32-E32</f>
        <v>920</v>
      </c>
      <c r="G32" s="5" t="s">
        <v>69</v>
      </c>
      <c r="H32" s="5" t="s">
        <v>188</v>
      </c>
      <c r="I32" s="8" t="s">
        <v>189</v>
      </c>
      <c r="J32" s="5" t="n">
        <v>0</v>
      </c>
      <c r="K32" s="17" t="s">
        <v>190</v>
      </c>
      <c r="L32" s="5" t="s">
        <v>191</v>
      </c>
      <c r="M32" s="17" t="s">
        <v>220</v>
      </c>
    </row>
    <row r="33" customFormat="false" ht="22.35" hidden="false" customHeight="false" outlineLevel="0" collapsed="false">
      <c r="A33" s="17" t="s">
        <v>221</v>
      </c>
      <c r="B33" s="18" t="n">
        <v>1870</v>
      </c>
      <c r="C33" s="20" t="s">
        <v>128</v>
      </c>
      <c r="D33" s="8" t="n">
        <v>0</v>
      </c>
      <c r="E33" s="18" t="n">
        <f aca="false">ROUND(B33*D33,1)</f>
        <v>0</v>
      </c>
      <c r="F33" s="18" t="n">
        <f aca="false">B33-E33</f>
        <v>1870</v>
      </c>
      <c r="G33" s="5" t="s">
        <v>69</v>
      </c>
      <c r="H33" s="5" t="s">
        <v>188</v>
      </c>
      <c r="I33" s="8" t="s">
        <v>189</v>
      </c>
      <c r="J33" s="5" t="n">
        <v>0</v>
      </c>
      <c r="K33" s="17" t="s">
        <v>190</v>
      </c>
      <c r="L33" s="5" t="s">
        <v>191</v>
      </c>
      <c r="M33" s="17" t="s">
        <v>222</v>
      </c>
    </row>
    <row r="34" customFormat="false" ht="22.35" hidden="false" customHeight="false" outlineLevel="0" collapsed="false">
      <c r="A34" s="17" t="s">
        <v>223</v>
      </c>
      <c r="B34" s="18" t="n">
        <v>1870</v>
      </c>
      <c r="C34" s="20" t="s">
        <v>128</v>
      </c>
      <c r="D34" s="8" t="n">
        <v>0</v>
      </c>
      <c r="E34" s="18" t="n">
        <f aca="false">ROUND(B34*D34,1)</f>
        <v>0</v>
      </c>
      <c r="F34" s="18" t="n">
        <f aca="false">B34-E34</f>
        <v>1870</v>
      </c>
      <c r="G34" s="5" t="s">
        <v>69</v>
      </c>
      <c r="H34" s="5" t="s">
        <v>188</v>
      </c>
      <c r="I34" s="8" t="s">
        <v>189</v>
      </c>
      <c r="J34" s="5" t="n">
        <v>0</v>
      </c>
      <c r="K34" s="17" t="s">
        <v>190</v>
      </c>
      <c r="L34" s="5" t="s">
        <v>191</v>
      </c>
      <c r="M34" s="17" t="s">
        <v>224</v>
      </c>
    </row>
    <row r="35" customFormat="false" ht="22.35" hidden="false" customHeight="false" outlineLevel="0" collapsed="false">
      <c r="A35" s="17" t="s">
        <v>225</v>
      </c>
      <c r="B35" s="18" t="n">
        <v>1870</v>
      </c>
      <c r="C35" s="20" t="s">
        <v>128</v>
      </c>
      <c r="D35" s="8" t="n">
        <v>0</v>
      </c>
      <c r="E35" s="18" t="n">
        <f aca="false">ROUND(B35*D35,1)</f>
        <v>0</v>
      </c>
      <c r="F35" s="18" t="n">
        <f aca="false">B35-E35</f>
        <v>1870</v>
      </c>
      <c r="G35" s="5" t="s">
        <v>69</v>
      </c>
      <c r="H35" s="5" t="s">
        <v>188</v>
      </c>
      <c r="I35" s="8" t="s">
        <v>189</v>
      </c>
      <c r="J35" s="5" t="n">
        <v>0</v>
      </c>
      <c r="K35" s="17" t="s">
        <v>190</v>
      </c>
      <c r="L35" s="5" t="s">
        <v>191</v>
      </c>
      <c r="M35" s="17" t="s">
        <v>226</v>
      </c>
    </row>
    <row r="36" customFormat="false" ht="22.35" hidden="false" customHeight="false" outlineLevel="0" collapsed="false">
      <c r="A36" s="17" t="s">
        <v>227</v>
      </c>
      <c r="B36" s="18" t="n">
        <v>1870</v>
      </c>
      <c r="C36" s="20" t="s">
        <v>128</v>
      </c>
      <c r="D36" s="8" t="n">
        <v>0</v>
      </c>
      <c r="E36" s="18" t="n">
        <f aca="false">ROUND(B36*D36,1)</f>
        <v>0</v>
      </c>
      <c r="F36" s="18" t="n">
        <f aca="false">B36-E36</f>
        <v>1870</v>
      </c>
      <c r="G36" s="5" t="s">
        <v>69</v>
      </c>
      <c r="H36" s="5" t="s">
        <v>188</v>
      </c>
      <c r="I36" s="8" t="s">
        <v>189</v>
      </c>
      <c r="J36" s="5" t="n">
        <v>0</v>
      </c>
      <c r="K36" s="17" t="s">
        <v>190</v>
      </c>
      <c r="L36" s="5" t="s">
        <v>191</v>
      </c>
      <c r="M36" s="17" t="s">
        <v>228</v>
      </c>
    </row>
    <row r="37" customFormat="false" ht="22.35" hidden="false" customHeight="false" outlineLevel="0" collapsed="false">
      <c r="A37" s="17" t="s">
        <v>229</v>
      </c>
      <c r="B37" s="18" t="n">
        <v>1870</v>
      </c>
      <c r="C37" s="26" t="s">
        <v>230</v>
      </c>
      <c r="D37" s="8" t="n">
        <v>0</v>
      </c>
      <c r="E37" s="18" t="n">
        <f aca="false">ROUND(B37*D37,1)</f>
        <v>0</v>
      </c>
      <c r="F37" s="18" t="n">
        <f aca="false">B37-E37</f>
        <v>1870</v>
      </c>
      <c r="G37" s="5" t="s">
        <v>69</v>
      </c>
      <c r="H37" s="5" t="s">
        <v>189</v>
      </c>
      <c r="I37" s="8" t="s">
        <v>189</v>
      </c>
      <c r="J37" s="5" t="n">
        <v>0</v>
      </c>
      <c r="K37" s="17" t="s">
        <v>231</v>
      </c>
      <c r="L37" s="5" t="s">
        <v>191</v>
      </c>
      <c r="M37" s="17" t="s">
        <v>232</v>
      </c>
    </row>
    <row r="38" customFormat="false" ht="22.35" hidden="false" customHeight="false" outlineLevel="0" collapsed="false">
      <c r="A38" s="17" t="s">
        <v>233</v>
      </c>
      <c r="B38" s="18" t="n">
        <v>180</v>
      </c>
      <c r="C38" s="20" t="s">
        <v>128</v>
      </c>
      <c r="D38" s="8" t="n">
        <v>0</v>
      </c>
      <c r="E38" s="18" t="n">
        <f aca="false">ROUND(B38*D38,1)</f>
        <v>0</v>
      </c>
      <c r="F38" s="18" t="n">
        <f aca="false">B38-E38</f>
        <v>180</v>
      </c>
      <c r="G38" s="5" t="s">
        <v>69</v>
      </c>
      <c r="H38" s="5" t="s">
        <v>188</v>
      </c>
      <c r="I38" s="8" t="s">
        <v>189</v>
      </c>
      <c r="J38" s="5" t="n">
        <v>0</v>
      </c>
      <c r="K38" s="17" t="s">
        <v>190</v>
      </c>
      <c r="L38" s="5" t="s">
        <v>191</v>
      </c>
      <c r="M38" s="17" t="s">
        <v>234</v>
      </c>
    </row>
    <row r="39" customFormat="false" ht="22.35" hidden="false" customHeight="false" outlineLevel="0" collapsed="false">
      <c r="A39" s="17" t="s">
        <v>235</v>
      </c>
      <c r="B39" s="18" t="n">
        <v>180</v>
      </c>
      <c r="C39" s="20" t="s">
        <v>128</v>
      </c>
      <c r="D39" s="8" t="n">
        <v>0</v>
      </c>
      <c r="E39" s="18" t="n">
        <f aca="false">ROUND(B39*D39,1)</f>
        <v>0</v>
      </c>
      <c r="F39" s="18" t="n">
        <f aca="false">B39-E39</f>
        <v>180</v>
      </c>
      <c r="G39" s="5" t="s">
        <v>69</v>
      </c>
      <c r="H39" s="5" t="s">
        <v>188</v>
      </c>
      <c r="I39" s="8" t="s">
        <v>189</v>
      </c>
      <c r="J39" s="5" t="n">
        <v>0</v>
      </c>
      <c r="K39" s="17" t="s">
        <v>190</v>
      </c>
      <c r="L39" s="5" t="s">
        <v>191</v>
      </c>
      <c r="M39" s="17" t="s">
        <v>234</v>
      </c>
    </row>
    <row r="40" customFormat="false" ht="22.35" hidden="false" customHeight="false" outlineLevel="0" collapsed="false">
      <c r="A40" s="17" t="s">
        <v>236</v>
      </c>
      <c r="B40" s="18" t="n">
        <v>180</v>
      </c>
      <c r="C40" s="20" t="s">
        <v>128</v>
      </c>
      <c r="D40" s="8" t="n">
        <v>0</v>
      </c>
      <c r="E40" s="18" t="n">
        <f aca="false">ROUND(B40*D40,1)</f>
        <v>0</v>
      </c>
      <c r="F40" s="18" t="n">
        <f aca="false">B40-E40</f>
        <v>180</v>
      </c>
      <c r="G40" s="5" t="s">
        <v>69</v>
      </c>
      <c r="H40" s="5" t="s">
        <v>188</v>
      </c>
      <c r="I40" s="8" t="s">
        <v>189</v>
      </c>
      <c r="J40" s="5" t="n">
        <v>0</v>
      </c>
      <c r="K40" s="17" t="s">
        <v>190</v>
      </c>
      <c r="L40" s="5" t="s">
        <v>191</v>
      </c>
      <c r="M40" s="17" t="s">
        <v>234</v>
      </c>
    </row>
    <row r="41" customFormat="false" ht="22.35" hidden="false" customHeight="false" outlineLevel="0" collapsed="false">
      <c r="A41" s="17" t="s">
        <v>237</v>
      </c>
      <c r="B41" s="18" t="n">
        <v>180</v>
      </c>
      <c r="C41" s="20" t="s">
        <v>128</v>
      </c>
      <c r="D41" s="8" t="n">
        <v>0</v>
      </c>
      <c r="E41" s="18" t="n">
        <f aca="false">ROUND(B41*D41,1)</f>
        <v>0</v>
      </c>
      <c r="F41" s="18" t="n">
        <f aca="false">B41-E41</f>
        <v>180</v>
      </c>
      <c r="G41" s="5" t="s">
        <v>69</v>
      </c>
      <c r="H41" s="5" t="s">
        <v>188</v>
      </c>
      <c r="I41" s="8" t="s">
        <v>189</v>
      </c>
      <c r="J41" s="5" t="n">
        <v>0</v>
      </c>
      <c r="K41" s="17" t="s">
        <v>190</v>
      </c>
      <c r="L41" s="5" t="s">
        <v>191</v>
      </c>
      <c r="M41" s="17" t="s">
        <v>234</v>
      </c>
    </row>
    <row r="42" customFormat="false" ht="22.35" hidden="false" customHeight="false" outlineLevel="0" collapsed="false">
      <c r="A42" s="17" t="s">
        <v>238</v>
      </c>
      <c r="B42" s="18" t="n">
        <v>180</v>
      </c>
      <c r="C42" s="20" t="s">
        <v>128</v>
      </c>
      <c r="D42" s="8" t="n">
        <v>0</v>
      </c>
      <c r="E42" s="18" t="n">
        <f aca="false">ROUND(B42*D42,1)</f>
        <v>0</v>
      </c>
      <c r="F42" s="18" t="n">
        <f aca="false">B42-E42</f>
        <v>180</v>
      </c>
      <c r="G42" s="5" t="s">
        <v>69</v>
      </c>
      <c r="H42" s="5" t="s">
        <v>188</v>
      </c>
      <c r="I42" s="8" t="s">
        <v>189</v>
      </c>
      <c r="J42" s="5" t="n">
        <v>0</v>
      </c>
      <c r="K42" s="17" t="s">
        <v>190</v>
      </c>
      <c r="L42" s="5" t="s">
        <v>191</v>
      </c>
      <c r="M42" s="17" t="s">
        <v>234</v>
      </c>
    </row>
    <row r="43" customFormat="false" ht="22.35" hidden="false" customHeight="false" outlineLevel="0" collapsed="false">
      <c r="A43" s="17" t="s">
        <v>239</v>
      </c>
      <c r="B43" s="18" t="n">
        <v>180</v>
      </c>
      <c r="C43" s="20" t="s">
        <v>128</v>
      </c>
      <c r="D43" s="8" t="n">
        <v>0</v>
      </c>
      <c r="E43" s="18" t="n">
        <f aca="false">ROUND(B43*D43,1)</f>
        <v>0</v>
      </c>
      <c r="F43" s="18" t="n">
        <f aca="false">B43-E43</f>
        <v>180</v>
      </c>
      <c r="G43" s="5" t="s">
        <v>69</v>
      </c>
      <c r="H43" s="5" t="s">
        <v>188</v>
      </c>
      <c r="I43" s="8" t="s">
        <v>189</v>
      </c>
      <c r="J43" s="5" t="n">
        <v>0</v>
      </c>
      <c r="K43" s="17" t="s">
        <v>190</v>
      </c>
      <c r="L43" s="5" t="s">
        <v>191</v>
      </c>
      <c r="M43" s="17" t="s">
        <v>234</v>
      </c>
    </row>
    <row r="44" customFormat="false" ht="22.35" hidden="false" customHeight="false" outlineLevel="0" collapsed="false">
      <c r="A44" s="17" t="s">
        <v>240</v>
      </c>
      <c r="B44" s="18" t="n">
        <v>180</v>
      </c>
      <c r="C44" s="20" t="s">
        <v>128</v>
      </c>
      <c r="D44" s="8" t="n">
        <v>0</v>
      </c>
      <c r="E44" s="18" t="n">
        <f aca="false">ROUND(B44*D44,1)</f>
        <v>0</v>
      </c>
      <c r="F44" s="18" t="n">
        <f aca="false">B44-E44</f>
        <v>180</v>
      </c>
      <c r="G44" s="5" t="s">
        <v>69</v>
      </c>
      <c r="H44" s="5" t="s">
        <v>188</v>
      </c>
      <c r="I44" s="8" t="s">
        <v>189</v>
      </c>
      <c r="J44" s="5" t="n">
        <v>0</v>
      </c>
      <c r="K44" s="17" t="s">
        <v>190</v>
      </c>
      <c r="L44" s="5" t="s">
        <v>191</v>
      </c>
      <c r="M44" s="17" t="s">
        <v>234</v>
      </c>
    </row>
    <row r="45" customFormat="false" ht="22.35" hidden="false" customHeight="false" outlineLevel="0" collapsed="false">
      <c r="A45" s="17" t="s">
        <v>241</v>
      </c>
      <c r="B45" s="18" t="n">
        <v>920</v>
      </c>
      <c r="C45" s="20" t="s">
        <v>128</v>
      </c>
      <c r="D45" s="8" t="n">
        <v>0</v>
      </c>
      <c r="E45" s="18" t="n">
        <f aca="false">ROUND(B45*D45,1)</f>
        <v>0</v>
      </c>
      <c r="F45" s="18" t="n">
        <f aca="false">B45-E45</f>
        <v>920</v>
      </c>
      <c r="G45" s="5" t="s">
        <v>69</v>
      </c>
      <c r="H45" s="5" t="s">
        <v>188</v>
      </c>
      <c r="I45" s="8" t="s">
        <v>189</v>
      </c>
      <c r="J45" s="5" t="n">
        <v>0</v>
      </c>
      <c r="K45" s="17" t="s">
        <v>190</v>
      </c>
      <c r="L45" s="5" t="s">
        <v>191</v>
      </c>
      <c r="M45" s="17" t="s">
        <v>242</v>
      </c>
    </row>
    <row r="46" customFormat="false" ht="15" hidden="false" customHeight="false" outlineLevel="0" collapsed="false">
      <c r="A46" s="9" t="s">
        <v>163</v>
      </c>
      <c r="B46" s="10" t="n">
        <f aca="false">SUM(B6:B45)</f>
        <v>36392.4</v>
      </c>
      <c r="C46" s="9"/>
      <c r="D46" s="11" t="n">
        <f aca="false">IF(B46=0,0,E46/B46)</f>
        <v>0</v>
      </c>
      <c r="E46" s="10" t="n">
        <f aca="false">SUM(E6:E45)</f>
        <v>0</v>
      </c>
      <c r="F46" s="10" t="n">
        <f aca="false">SUM(F6:F45)</f>
        <v>36392.4</v>
      </c>
      <c r="G46" s="9"/>
      <c r="H46" s="9"/>
      <c r="I46" s="9"/>
      <c r="J46" s="9"/>
      <c r="K46" s="9"/>
      <c r="L46" s="9"/>
      <c r="M46" s="9"/>
    </row>
    <row r="48" customFormat="false" ht="15" hidden="false" customHeight="false" outlineLevel="0" collapsed="false">
      <c r="A48" s="12" t="s">
        <v>164</v>
      </c>
      <c r="D48" s="22" t="n">
        <f aca="false">F46*8</f>
        <v>291139.2</v>
      </c>
      <c r="E48" s="16" t="s">
        <v>165</v>
      </c>
    </row>
    <row r="49" customFormat="false" ht="15" hidden="false" customHeight="false" outlineLevel="0" collapsed="false">
      <c r="A49" s="12" t="s">
        <v>166</v>
      </c>
      <c r="D49" s="23" t="n">
        <v>1870</v>
      </c>
      <c r="E49" s="16" t="s">
        <v>167</v>
      </c>
    </row>
    <row r="50" customFormat="false" ht="15" hidden="false" customHeight="false" outlineLevel="0" collapsed="false">
      <c r="A50" s="12" t="s">
        <v>168</v>
      </c>
      <c r="D50" s="24" t="n">
        <v>0.05</v>
      </c>
      <c r="E50" s="16" t="s">
        <v>243</v>
      </c>
    </row>
    <row r="51" customFormat="false" ht="15" hidden="false" customHeight="false" outlineLevel="0" collapsed="false">
      <c r="A51" s="12" t="s">
        <v>170</v>
      </c>
      <c r="D51" s="22" t="n">
        <f aca="false">(B46-D49)*(1-D50)</f>
        <v>32796.28</v>
      </c>
      <c r="E51" s="16" t="s">
        <v>171</v>
      </c>
    </row>
    <row r="52" customFormat="false" ht="15" hidden="false" customHeight="false" outlineLevel="0" collapsed="false">
      <c r="A52" s="12" t="s">
        <v>172</v>
      </c>
      <c r="D52" s="22" t="n">
        <f aca="false">D51*4</f>
        <v>131185.12</v>
      </c>
      <c r="E52" s="16" t="s">
        <v>173</v>
      </c>
    </row>
    <row r="53" customFormat="false" ht="15" hidden="false" customHeight="false" outlineLevel="0" collapsed="false">
      <c r="A53" s="12" t="s">
        <v>174</v>
      </c>
      <c r="D53" s="23" t="n">
        <v>0</v>
      </c>
    </row>
    <row r="54" customFormat="false" ht="15" hidden="false" customHeight="false" outlineLevel="0" collapsed="false">
      <c r="A54" s="12" t="s">
        <v>175</v>
      </c>
      <c r="D54" s="23" t="n">
        <v>0</v>
      </c>
      <c r="E54" s="16" t="s">
        <v>176</v>
      </c>
    </row>
    <row r="55" customFormat="false" ht="15" hidden="false" customHeight="false" outlineLevel="0" collapsed="false">
      <c r="A55" s="12" t="s">
        <v>177</v>
      </c>
      <c r="D55" s="23" t="n">
        <v>942</v>
      </c>
    </row>
    <row r="56" customFormat="false" ht="15" hidden="false" customHeight="false" outlineLevel="0" collapsed="false">
      <c r="A56" s="12" t="s">
        <v>178</v>
      </c>
      <c r="D56" s="23" t="n">
        <v>35450</v>
      </c>
      <c r="E56" s="16" t="s">
        <v>179</v>
      </c>
    </row>
    <row r="57" customFormat="false" ht="15" hidden="false" customHeight="true" outlineLevel="0" collapsed="false">
      <c r="A57" s="25" t="s">
        <v>244</v>
      </c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</row>
  </sheetData>
  <mergeCells count="1">
    <mergeCell ref="A57:M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10" min="9" style="0" width="9"/>
    <col collapsed="false" customWidth="true" hidden="false" outlineLevel="0" max="11" min="11" style="0" width="46"/>
    <col collapsed="false" customWidth="true" hidden="false" outlineLevel="0" max="12" min="12" style="0" width="17"/>
    <col collapsed="false" customWidth="true" hidden="false" outlineLevel="0" max="13" min="13" style="0" width="54"/>
  </cols>
  <sheetData>
    <row r="1" customFormat="false" ht="16.15" hidden="false" customHeight="false" outlineLevel="0" collapsed="false">
      <c r="A1" s="14" t="s">
        <v>245</v>
      </c>
    </row>
    <row r="2" customFormat="false" ht="15" hidden="false" customHeight="false" outlineLevel="0" collapsed="false">
      <c r="A2" s="15" t="s">
        <v>246</v>
      </c>
    </row>
    <row r="3" customFormat="false" ht="15" hidden="false" customHeight="false" outlineLevel="0" collapsed="false">
      <c r="A3" s="16" t="s">
        <v>247</v>
      </c>
    </row>
    <row r="5" customFormat="false" ht="22.35" hidden="false" customHeight="false" outlineLevel="0" collapsed="false">
      <c r="A5" s="4" t="s">
        <v>102</v>
      </c>
      <c r="B5" s="4" t="s">
        <v>103</v>
      </c>
      <c r="C5" s="4" t="s">
        <v>104</v>
      </c>
      <c r="D5" s="4" t="s">
        <v>105</v>
      </c>
      <c r="E5" s="4" t="s">
        <v>106</v>
      </c>
      <c r="F5" s="4" t="s">
        <v>107</v>
      </c>
      <c r="G5" s="4" t="s">
        <v>108</v>
      </c>
      <c r="H5" s="4" t="s">
        <v>109</v>
      </c>
      <c r="I5" s="4" t="s">
        <v>110</v>
      </c>
      <c r="J5" s="4" t="s">
        <v>16</v>
      </c>
      <c r="K5" s="4" t="s">
        <v>111</v>
      </c>
      <c r="L5" s="4" t="s">
        <v>112</v>
      </c>
      <c r="M5" s="4" t="s">
        <v>113</v>
      </c>
    </row>
    <row r="6" customFormat="false" ht="15" hidden="false" customHeight="false" outlineLevel="0" collapsed="false">
      <c r="A6" s="17" t="s">
        <v>248</v>
      </c>
      <c r="B6" s="18" t="n">
        <v>1101.1</v>
      </c>
      <c r="C6" s="20" t="s">
        <v>128</v>
      </c>
      <c r="D6" s="8" t="n">
        <v>0</v>
      </c>
      <c r="E6" s="18" t="n">
        <f aca="false">ROUND(B6*D6,1)</f>
        <v>0</v>
      </c>
      <c r="F6" s="18" t="n">
        <f aca="false">B6-E6</f>
        <v>1101.1</v>
      </c>
      <c r="G6" s="5" t="s">
        <v>26</v>
      </c>
      <c r="H6" s="5" t="s">
        <v>124</v>
      </c>
      <c r="I6" s="8" t="n">
        <v>0.33</v>
      </c>
      <c r="J6" s="5" t="n">
        <v>3</v>
      </c>
      <c r="K6" s="17" t="s">
        <v>249</v>
      </c>
      <c r="L6" s="5" t="s">
        <v>118</v>
      </c>
      <c r="M6" s="17" t="s">
        <v>250</v>
      </c>
    </row>
    <row r="7" customFormat="false" ht="43.25" hidden="false" customHeight="false" outlineLevel="0" collapsed="false">
      <c r="A7" s="17" t="s">
        <v>251</v>
      </c>
      <c r="B7" s="18" t="n">
        <v>1377.1</v>
      </c>
      <c r="C7" s="21" t="s">
        <v>124</v>
      </c>
      <c r="D7" s="8" t="n">
        <v>0.42</v>
      </c>
      <c r="E7" s="18" t="n">
        <f aca="false">ROUND(B7*D7,1)</f>
        <v>578.4</v>
      </c>
      <c r="F7" s="18" t="n">
        <f aca="false">B7-E7</f>
        <v>798.7</v>
      </c>
      <c r="G7" s="5" t="s">
        <v>26</v>
      </c>
      <c r="H7" s="5" t="s">
        <v>124</v>
      </c>
      <c r="I7" s="8" t="n">
        <v>0.32</v>
      </c>
      <c r="J7" s="5" t="n">
        <v>4</v>
      </c>
      <c r="K7" s="17" t="s">
        <v>252</v>
      </c>
      <c r="L7" s="5" t="s">
        <v>118</v>
      </c>
      <c r="M7" s="17" t="s">
        <v>253</v>
      </c>
    </row>
    <row r="8" customFormat="false" ht="32.8" hidden="false" customHeight="false" outlineLevel="0" collapsed="false">
      <c r="A8" s="17" t="s">
        <v>254</v>
      </c>
      <c r="B8" s="18" t="n">
        <v>536.1</v>
      </c>
      <c r="C8" s="21" t="s">
        <v>124</v>
      </c>
      <c r="D8" s="8" t="n">
        <v>0.52</v>
      </c>
      <c r="E8" s="18" t="n">
        <f aca="false">ROUND(B8*D8,1)</f>
        <v>278.8</v>
      </c>
      <c r="F8" s="18" t="n">
        <f aca="false">B8-E8</f>
        <v>257.3</v>
      </c>
      <c r="G8" s="5" t="s">
        <v>69</v>
      </c>
      <c r="H8" s="5" t="s">
        <v>188</v>
      </c>
      <c r="I8" s="8" t="s">
        <v>189</v>
      </c>
      <c r="J8" s="5" t="n">
        <v>0</v>
      </c>
      <c r="K8" s="17" t="s">
        <v>255</v>
      </c>
      <c r="L8" s="5" t="s">
        <v>118</v>
      </c>
      <c r="M8" s="17" t="s">
        <v>256</v>
      </c>
    </row>
    <row r="9" customFormat="false" ht="15" hidden="false" customHeight="false" outlineLevel="0" collapsed="false">
      <c r="A9" s="17" t="s">
        <v>257</v>
      </c>
      <c r="B9" s="18" t="n">
        <v>624.3</v>
      </c>
      <c r="C9" s="20" t="s">
        <v>128</v>
      </c>
      <c r="D9" s="8" t="n">
        <v>0</v>
      </c>
      <c r="E9" s="18" t="n">
        <f aca="false">ROUND(B9*D9,1)</f>
        <v>0</v>
      </c>
      <c r="F9" s="18" t="n">
        <f aca="false">B9-E9</f>
        <v>624.3</v>
      </c>
      <c r="G9" s="5" t="s">
        <v>26</v>
      </c>
      <c r="H9" s="5" t="s">
        <v>124</v>
      </c>
      <c r="I9" s="8" t="n">
        <v>0.25</v>
      </c>
      <c r="J9" s="5" t="n">
        <v>2</v>
      </c>
      <c r="K9" s="17" t="s">
        <v>258</v>
      </c>
      <c r="L9" s="5" t="s">
        <v>118</v>
      </c>
      <c r="M9" s="17" t="s">
        <v>250</v>
      </c>
    </row>
    <row r="10" customFormat="false" ht="15" hidden="false" customHeight="false" outlineLevel="0" collapsed="false">
      <c r="A10" s="17" t="s">
        <v>259</v>
      </c>
      <c r="B10" s="18" t="n">
        <v>598.3</v>
      </c>
      <c r="C10" s="20" t="s">
        <v>128</v>
      </c>
      <c r="D10" s="8" t="n">
        <v>0</v>
      </c>
      <c r="E10" s="18" t="n">
        <f aca="false">ROUND(B10*D10,1)</f>
        <v>0</v>
      </c>
      <c r="F10" s="18" t="n">
        <f aca="false">B10-E10</f>
        <v>598.3</v>
      </c>
      <c r="G10" s="5" t="s">
        <v>26</v>
      </c>
      <c r="H10" s="5" t="s">
        <v>148</v>
      </c>
      <c r="I10" s="8" t="n">
        <v>0</v>
      </c>
      <c r="J10" s="5" t="n">
        <v>2</v>
      </c>
      <c r="K10" s="17" t="s">
        <v>258</v>
      </c>
      <c r="L10" s="5" t="s">
        <v>118</v>
      </c>
      <c r="M10" s="17" t="s">
        <v>250</v>
      </c>
    </row>
    <row r="11" customFormat="false" ht="15" hidden="false" customHeight="false" outlineLevel="0" collapsed="false">
      <c r="A11" s="17" t="s">
        <v>142</v>
      </c>
      <c r="B11" s="18" t="n">
        <v>346.1</v>
      </c>
      <c r="C11" s="20" t="s">
        <v>128</v>
      </c>
      <c r="D11" s="8" t="n">
        <v>0</v>
      </c>
      <c r="E11" s="18" t="n">
        <f aca="false">ROUND(B11*D11,1)</f>
        <v>0</v>
      </c>
      <c r="F11" s="18" t="n">
        <f aca="false">B11-E11</f>
        <v>346.1</v>
      </c>
      <c r="G11" s="5" t="s">
        <v>26</v>
      </c>
      <c r="H11" s="5" t="s">
        <v>124</v>
      </c>
      <c r="I11" s="8" t="n">
        <v>0.5</v>
      </c>
      <c r="J11" s="5" t="n">
        <v>1</v>
      </c>
      <c r="K11" s="17" t="s">
        <v>129</v>
      </c>
      <c r="L11" s="5" t="s">
        <v>118</v>
      </c>
      <c r="M11" s="17" t="s">
        <v>260</v>
      </c>
    </row>
    <row r="12" customFormat="false" ht="15" hidden="false" customHeight="false" outlineLevel="0" collapsed="false">
      <c r="A12" s="17" t="s">
        <v>123</v>
      </c>
      <c r="B12" s="18" t="n">
        <v>21.6</v>
      </c>
      <c r="C12" s="19" t="s">
        <v>115</v>
      </c>
      <c r="D12" s="8" t="n">
        <v>1</v>
      </c>
      <c r="E12" s="18" t="n">
        <f aca="false">ROUND(B12*D12,1)</f>
        <v>21.6</v>
      </c>
      <c r="F12" s="18" t="n">
        <f aca="false">B12-E12</f>
        <v>0</v>
      </c>
      <c r="G12" s="5" t="s">
        <v>26</v>
      </c>
      <c r="H12" s="5" t="s">
        <v>116</v>
      </c>
      <c r="I12" s="8" t="n">
        <v>1</v>
      </c>
      <c r="J12" s="5" t="n">
        <v>1</v>
      </c>
      <c r="K12" s="17" t="s">
        <v>261</v>
      </c>
      <c r="L12" s="5" t="s">
        <v>118</v>
      </c>
      <c r="M12" s="17" t="s">
        <v>262</v>
      </c>
    </row>
    <row r="13" customFormat="false" ht="15" hidden="false" customHeight="false" outlineLevel="0" collapsed="false">
      <c r="A13" s="17" t="s">
        <v>263</v>
      </c>
      <c r="B13" s="18" t="n">
        <v>596</v>
      </c>
      <c r="C13" s="20" t="s">
        <v>128</v>
      </c>
      <c r="D13" s="8" t="n">
        <v>0</v>
      </c>
      <c r="E13" s="18" t="n">
        <f aca="false">ROUND(B13*D13,1)</f>
        <v>0</v>
      </c>
      <c r="F13" s="18" t="n">
        <f aca="false">B13-E13</f>
        <v>596</v>
      </c>
      <c r="G13" s="5" t="s">
        <v>26</v>
      </c>
      <c r="H13" s="5" t="s">
        <v>124</v>
      </c>
      <c r="I13" s="8" t="n">
        <v>0.25</v>
      </c>
      <c r="J13" s="5" t="n">
        <v>2</v>
      </c>
      <c r="K13" s="17" t="s">
        <v>264</v>
      </c>
      <c r="L13" s="5" t="s">
        <v>118</v>
      </c>
      <c r="M13" s="17" t="s">
        <v>250</v>
      </c>
    </row>
    <row r="14" customFormat="false" ht="15" hidden="false" customHeight="false" outlineLevel="0" collapsed="false">
      <c r="A14" s="17" t="s">
        <v>265</v>
      </c>
      <c r="B14" s="18" t="n">
        <v>592.3</v>
      </c>
      <c r="C14" s="20" t="s">
        <v>128</v>
      </c>
      <c r="D14" s="8" t="n">
        <v>0</v>
      </c>
      <c r="E14" s="18" t="n">
        <f aca="false">ROUND(B14*D14,1)</f>
        <v>0</v>
      </c>
      <c r="F14" s="18" t="n">
        <f aca="false">B14-E14</f>
        <v>592.3</v>
      </c>
      <c r="G14" s="5" t="s">
        <v>26</v>
      </c>
      <c r="H14" s="5" t="s">
        <v>124</v>
      </c>
      <c r="I14" s="8" t="n">
        <v>0.31</v>
      </c>
      <c r="J14" s="5" t="n">
        <v>2</v>
      </c>
      <c r="K14" s="17" t="s">
        <v>264</v>
      </c>
      <c r="L14" s="5" t="s">
        <v>118</v>
      </c>
      <c r="M14" s="17" t="s">
        <v>250</v>
      </c>
    </row>
    <row r="15" customFormat="false" ht="15" hidden="false" customHeight="false" outlineLevel="0" collapsed="false">
      <c r="A15" s="17" t="s">
        <v>266</v>
      </c>
      <c r="B15" s="18" t="n">
        <v>361.4</v>
      </c>
      <c r="C15" s="20" t="s">
        <v>128</v>
      </c>
      <c r="D15" s="8" t="n">
        <v>0</v>
      </c>
      <c r="E15" s="18" t="n">
        <f aca="false">ROUND(B15*D15,1)</f>
        <v>0</v>
      </c>
      <c r="F15" s="18" t="n">
        <f aca="false">B15-E15</f>
        <v>361.4</v>
      </c>
      <c r="G15" s="5" t="s">
        <v>26</v>
      </c>
      <c r="H15" s="5" t="s">
        <v>116</v>
      </c>
      <c r="I15" s="8" t="n">
        <v>1</v>
      </c>
      <c r="J15" s="5" t="n">
        <v>1</v>
      </c>
      <c r="K15" s="17" t="s">
        <v>129</v>
      </c>
      <c r="L15" s="5" t="s">
        <v>118</v>
      </c>
      <c r="M15" s="17" t="s">
        <v>250</v>
      </c>
    </row>
    <row r="16" customFormat="false" ht="15" hidden="false" customHeight="false" outlineLevel="0" collapsed="false">
      <c r="A16" s="17" t="s">
        <v>267</v>
      </c>
      <c r="B16" s="18" t="n">
        <v>558.1</v>
      </c>
      <c r="C16" s="20" t="s">
        <v>128</v>
      </c>
      <c r="D16" s="8" t="n">
        <v>0</v>
      </c>
      <c r="E16" s="18" t="n">
        <f aca="false">ROUND(B16*D16,1)</f>
        <v>0</v>
      </c>
      <c r="F16" s="18" t="n">
        <f aca="false">B16-E16</f>
        <v>558.1</v>
      </c>
      <c r="G16" s="5" t="s">
        <v>26</v>
      </c>
      <c r="H16" s="5" t="s">
        <v>124</v>
      </c>
      <c r="I16" s="8" t="n">
        <v>0.5</v>
      </c>
      <c r="J16" s="5" t="n">
        <v>2</v>
      </c>
      <c r="K16" s="17" t="s">
        <v>264</v>
      </c>
      <c r="L16" s="5" t="s">
        <v>118</v>
      </c>
      <c r="M16" s="17" t="s">
        <v>250</v>
      </c>
    </row>
    <row r="17" customFormat="false" ht="15" hidden="false" customHeight="false" outlineLevel="0" collapsed="false">
      <c r="A17" s="17" t="s">
        <v>268</v>
      </c>
      <c r="B17" s="18" t="n">
        <v>595.8</v>
      </c>
      <c r="C17" s="21" t="s">
        <v>124</v>
      </c>
      <c r="D17" s="8" t="n">
        <v>0.5</v>
      </c>
      <c r="E17" s="18" t="n">
        <f aca="false">ROUND(B17*D17,1)</f>
        <v>297.9</v>
      </c>
      <c r="F17" s="18" t="n">
        <f aca="false">B17-E17</f>
        <v>297.9</v>
      </c>
      <c r="G17" s="5" t="s">
        <v>26</v>
      </c>
      <c r="H17" s="5" t="s">
        <v>116</v>
      </c>
      <c r="I17" s="8" t="n">
        <v>0.75</v>
      </c>
      <c r="J17" s="5" t="n">
        <v>2</v>
      </c>
      <c r="K17" s="17" t="s">
        <v>269</v>
      </c>
      <c r="L17" s="5" t="s">
        <v>118</v>
      </c>
      <c r="M17" s="17" t="s">
        <v>250</v>
      </c>
    </row>
    <row r="18" customFormat="false" ht="22.35" hidden="false" customHeight="false" outlineLevel="0" collapsed="false">
      <c r="A18" s="17" t="s">
        <v>270</v>
      </c>
      <c r="B18" s="18" t="n">
        <v>102</v>
      </c>
      <c r="C18" s="19" t="s">
        <v>115</v>
      </c>
      <c r="D18" s="8" t="n">
        <v>1</v>
      </c>
      <c r="E18" s="18" t="n">
        <f aca="false">ROUND(B18*D18,1)</f>
        <v>102</v>
      </c>
      <c r="F18" s="18" t="n">
        <f aca="false">B18-E18</f>
        <v>0</v>
      </c>
      <c r="G18" s="5" t="s">
        <v>26</v>
      </c>
      <c r="H18" s="5" t="s">
        <v>124</v>
      </c>
      <c r="I18" s="8" t="n">
        <v>0.5</v>
      </c>
      <c r="J18" s="5" t="n">
        <v>1</v>
      </c>
      <c r="K18" s="17" t="s">
        <v>125</v>
      </c>
      <c r="L18" s="5" t="s">
        <v>118</v>
      </c>
      <c r="M18" s="17" t="s">
        <v>271</v>
      </c>
    </row>
    <row r="19" customFormat="false" ht="15" hidden="false" customHeight="false" outlineLevel="0" collapsed="false">
      <c r="A19" s="17" t="s">
        <v>272</v>
      </c>
      <c r="B19" s="18" t="n">
        <v>351.2</v>
      </c>
      <c r="C19" s="20" t="s">
        <v>128</v>
      </c>
      <c r="D19" s="8" t="n">
        <v>0</v>
      </c>
      <c r="E19" s="18" t="n">
        <f aca="false">ROUND(B19*D19,1)</f>
        <v>0</v>
      </c>
      <c r="F19" s="18" t="n">
        <f aca="false">B19-E19</f>
        <v>351.2</v>
      </c>
      <c r="G19" s="5" t="s">
        <v>26</v>
      </c>
      <c r="H19" s="5" t="s">
        <v>124</v>
      </c>
      <c r="I19" s="8" t="n">
        <v>0.5</v>
      </c>
      <c r="J19" s="5" t="n">
        <v>1</v>
      </c>
      <c r="K19" s="17" t="s">
        <v>129</v>
      </c>
      <c r="L19" s="5" t="s">
        <v>118</v>
      </c>
      <c r="M19" s="17" t="s">
        <v>250</v>
      </c>
    </row>
    <row r="20" customFormat="false" ht="15" hidden="false" customHeight="false" outlineLevel="0" collapsed="false">
      <c r="A20" s="17" t="s">
        <v>273</v>
      </c>
      <c r="B20" s="18" t="n">
        <v>347.5</v>
      </c>
      <c r="C20" s="20" t="s">
        <v>128</v>
      </c>
      <c r="D20" s="8" t="n">
        <v>0</v>
      </c>
      <c r="E20" s="18" t="n">
        <f aca="false">ROUND(B20*D20,1)</f>
        <v>0</v>
      </c>
      <c r="F20" s="18" t="n">
        <f aca="false">B20-E20</f>
        <v>347.5</v>
      </c>
      <c r="G20" s="5" t="s">
        <v>26</v>
      </c>
      <c r="H20" s="5" t="s">
        <v>124</v>
      </c>
      <c r="I20" s="8" t="n">
        <v>0.5</v>
      </c>
      <c r="J20" s="5" t="n">
        <v>1</v>
      </c>
      <c r="K20" s="17" t="s">
        <v>129</v>
      </c>
      <c r="L20" s="5" t="s">
        <v>118</v>
      </c>
      <c r="M20" s="17" t="s">
        <v>250</v>
      </c>
    </row>
    <row r="21" customFormat="false" ht="15" hidden="false" customHeight="false" outlineLevel="0" collapsed="false">
      <c r="A21" s="17" t="s">
        <v>274</v>
      </c>
      <c r="B21" s="18" t="n">
        <v>357.5</v>
      </c>
      <c r="C21" s="20" t="s">
        <v>128</v>
      </c>
      <c r="D21" s="8" t="n">
        <v>0</v>
      </c>
      <c r="E21" s="18" t="n">
        <f aca="false">ROUND(B21*D21,1)</f>
        <v>0</v>
      </c>
      <c r="F21" s="18" t="n">
        <f aca="false">B21-E21</f>
        <v>357.5</v>
      </c>
      <c r="G21" s="5" t="s">
        <v>26</v>
      </c>
      <c r="H21" s="5" t="s">
        <v>124</v>
      </c>
      <c r="I21" s="8" t="n">
        <v>0.5</v>
      </c>
      <c r="J21" s="5" t="n">
        <v>1</v>
      </c>
      <c r="K21" s="17" t="s">
        <v>129</v>
      </c>
      <c r="L21" s="5" t="s">
        <v>118</v>
      </c>
      <c r="M21" s="17" t="s">
        <v>250</v>
      </c>
    </row>
    <row r="22" customFormat="false" ht="15" hidden="false" customHeight="false" outlineLevel="0" collapsed="false">
      <c r="A22" s="17" t="s">
        <v>120</v>
      </c>
      <c r="B22" s="18" t="n">
        <v>119.8</v>
      </c>
      <c r="C22" s="19" t="s">
        <v>115</v>
      </c>
      <c r="D22" s="8" t="n">
        <v>1</v>
      </c>
      <c r="E22" s="18" t="n">
        <f aca="false">ROUND(B22*D22,1)</f>
        <v>119.8</v>
      </c>
      <c r="F22" s="18" t="n">
        <f aca="false">B22-E22</f>
        <v>0</v>
      </c>
      <c r="G22" s="5" t="s">
        <v>26</v>
      </c>
      <c r="H22" s="5" t="s">
        <v>116</v>
      </c>
      <c r="I22" s="8" t="n">
        <v>1</v>
      </c>
      <c r="J22" s="5" t="n">
        <v>1</v>
      </c>
      <c r="K22" s="17" t="s">
        <v>261</v>
      </c>
      <c r="L22" s="5" t="s">
        <v>118</v>
      </c>
      <c r="M22" s="17" t="s">
        <v>275</v>
      </c>
    </row>
    <row r="23" customFormat="false" ht="15" hidden="false" customHeight="false" outlineLevel="0" collapsed="false">
      <c r="A23" s="17" t="s">
        <v>276</v>
      </c>
      <c r="B23" s="18" t="n">
        <v>598.2</v>
      </c>
      <c r="C23" s="21" t="s">
        <v>124</v>
      </c>
      <c r="D23" s="8" t="n">
        <v>0.5</v>
      </c>
      <c r="E23" s="18" t="n">
        <f aca="false">ROUND(B23*D23,1)</f>
        <v>299.1</v>
      </c>
      <c r="F23" s="18" t="n">
        <f aca="false">B23-E23</f>
        <v>299.1</v>
      </c>
      <c r="G23" s="5" t="s">
        <v>26</v>
      </c>
      <c r="H23" s="5" t="s">
        <v>116</v>
      </c>
      <c r="I23" s="8" t="n">
        <v>0.75</v>
      </c>
      <c r="J23" s="5" t="n">
        <v>2</v>
      </c>
      <c r="K23" s="17" t="s">
        <v>277</v>
      </c>
      <c r="L23" s="5" t="s">
        <v>118</v>
      </c>
      <c r="M23" s="17" t="s">
        <v>250</v>
      </c>
    </row>
    <row r="24" customFormat="false" ht="22.35" hidden="false" customHeight="false" outlineLevel="0" collapsed="false">
      <c r="A24" s="17" t="s">
        <v>278</v>
      </c>
      <c r="B24" s="18" t="n">
        <v>801.8</v>
      </c>
      <c r="C24" s="19" t="s">
        <v>115</v>
      </c>
      <c r="D24" s="8" t="n">
        <v>1</v>
      </c>
      <c r="E24" s="18" t="n">
        <f aca="false">ROUND(B24*D24,1)</f>
        <v>801.8</v>
      </c>
      <c r="F24" s="18" t="n">
        <f aca="false">B24-E24</f>
        <v>0</v>
      </c>
      <c r="G24" s="5" t="s">
        <v>26</v>
      </c>
      <c r="H24" s="5" t="s">
        <v>124</v>
      </c>
      <c r="I24" s="8" t="n">
        <v>0.5</v>
      </c>
      <c r="J24" s="5" t="n">
        <v>2</v>
      </c>
      <c r="K24" s="17" t="s">
        <v>279</v>
      </c>
      <c r="L24" s="5" t="s">
        <v>118</v>
      </c>
      <c r="M24" s="17" t="s">
        <v>280</v>
      </c>
    </row>
    <row r="25" customFormat="false" ht="22.35" hidden="false" customHeight="false" outlineLevel="0" collapsed="false">
      <c r="A25" s="17" t="s">
        <v>114</v>
      </c>
      <c r="B25" s="18" t="n">
        <v>1055.1</v>
      </c>
      <c r="C25" s="19" t="s">
        <v>115</v>
      </c>
      <c r="D25" s="8" t="n">
        <v>1</v>
      </c>
      <c r="E25" s="18" t="n">
        <f aca="false">ROUND(B25*D25,1)</f>
        <v>1055.1</v>
      </c>
      <c r="F25" s="18" t="n">
        <f aca="false">B25-E25</f>
        <v>0</v>
      </c>
      <c r="G25" s="5" t="s">
        <v>26</v>
      </c>
      <c r="H25" s="5" t="s">
        <v>116</v>
      </c>
      <c r="I25" s="8" t="n">
        <v>1</v>
      </c>
      <c r="J25" s="5" t="n">
        <v>3</v>
      </c>
      <c r="K25" s="17" t="s">
        <v>281</v>
      </c>
      <c r="L25" s="5" t="s">
        <v>118</v>
      </c>
      <c r="M25" s="17" t="s">
        <v>282</v>
      </c>
    </row>
    <row r="26" customFormat="false" ht="15" hidden="false" customHeight="false" outlineLevel="0" collapsed="false">
      <c r="A26" s="17" t="s">
        <v>150</v>
      </c>
      <c r="B26" s="18" t="n">
        <v>989.8</v>
      </c>
      <c r="C26" s="20" t="s">
        <v>128</v>
      </c>
      <c r="D26" s="8" t="n">
        <v>0</v>
      </c>
      <c r="E26" s="18" t="n">
        <f aca="false">ROUND(B26*D26,1)</f>
        <v>0</v>
      </c>
      <c r="F26" s="18" t="n">
        <f aca="false">B26-E26</f>
        <v>989.8</v>
      </c>
      <c r="G26" s="5" t="s">
        <v>26</v>
      </c>
      <c r="H26" s="5" t="s">
        <v>124</v>
      </c>
      <c r="I26" s="8" t="n">
        <v>0.5</v>
      </c>
      <c r="J26" s="5" t="n">
        <v>2</v>
      </c>
      <c r="K26" s="17" t="s">
        <v>264</v>
      </c>
      <c r="L26" s="5" t="s">
        <v>118</v>
      </c>
      <c r="M26" s="17" t="s">
        <v>250</v>
      </c>
    </row>
    <row r="27" customFormat="false" ht="22.35" hidden="false" customHeight="false" outlineLevel="0" collapsed="false">
      <c r="A27" s="17" t="s">
        <v>161</v>
      </c>
      <c r="B27" s="18" t="n">
        <v>1099</v>
      </c>
      <c r="C27" s="19" t="s">
        <v>115</v>
      </c>
      <c r="D27" s="8" t="n">
        <v>1</v>
      </c>
      <c r="E27" s="18" t="n">
        <f aca="false">ROUND(B27*D27,1)</f>
        <v>1099</v>
      </c>
      <c r="F27" s="18" t="n">
        <f aca="false">B27-E27</f>
        <v>0</v>
      </c>
      <c r="G27" s="5" t="s">
        <v>26</v>
      </c>
      <c r="H27" s="5" t="s">
        <v>116</v>
      </c>
      <c r="I27" s="8" t="n">
        <v>1</v>
      </c>
      <c r="J27" s="5" t="n">
        <v>3</v>
      </c>
      <c r="K27" s="17" t="s">
        <v>283</v>
      </c>
      <c r="L27" s="5" t="s">
        <v>118</v>
      </c>
      <c r="M27" s="17" t="s">
        <v>284</v>
      </c>
    </row>
    <row r="28" customFormat="false" ht="15" hidden="false" customHeight="false" outlineLevel="0" collapsed="false">
      <c r="A28" s="17" t="s">
        <v>285</v>
      </c>
      <c r="B28" s="18" t="n">
        <v>598</v>
      </c>
      <c r="C28" s="20" t="s">
        <v>128</v>
      </c>
      <c r="D28" s="8" t="n">
        <v>0</v>
      </c>
      <c r="E28" s="18" t="n">
        <f aca="false">ROUND(B28*D28,1)</f>
        <v>0</v>
      </c>
      <c r="F28" s="18" t="n">
        <f aca="false">B28-E28</f>
        <v>598</v>
      </c>
      <c r="G28" s="5" t="s">
        <v>26</v>
      </c>
      <c r="H28" s="5" t="s">
        <v>124</v>
      </c>
      <c r="I28" s="8" t="n">
        <v>0.5</v>
      </c>
      <c r="J28" s="5" t="n">
        <v>2</v>
      </c>
      <c r="K28" s="17" t="s">
        <v>264</v>
      </c>
      <c r="L28" s="5" t="s">
        <v>118</v>
      </c>
      <c r="M28" s="17" t="s">
        <v>250</v>
      </c>
    </row>
    <row r="29" customFormat="false" ht="15" hidden="false" customHeight="false" outlineLevel="0" collapsed="false">
      <c r="A29" s="17" t="s">
        <v>137</v>
      </c>
      <c r="B29" s="18" t="n">
        <v>536.7</v>
      </c>
      <c r="C29" s="19" t="s">
        <v>115</v>
      </c>
      <c r="D29" s="8" t="n">
        <v>1</v>
      </c>
      <c r="E29" s="18" t="n">
        <f aca="false">ROUND(B29*D29,1)</f>
        <v>536.7</v>
      </c>
      <c r="F29" s="18" t="n">
        <f aca="false">B29-E29</f>
        <v>0</v>
      </c>
      <c r="G29" s="5" t="s">
        <v>26</v>
      </c>
      <c r="H29" s="5" t="s">
        <v>124</v>
      </c>
      <c r="I29" s="8" t="n">
        <v>0.5</v>
      </c>
      <c r="J29" s="5" t="n">
        <v>2</v>
      </c>
      <c r="K29" s="17" t="s">
        <v>135</v>
      </c>
      <c r="L29" s="5" t="s">
        <v>118</v>
      </c>
      <c r="M29" s="17" t="s">
        <v>250</v>
      </c>
    </row>
    <row r="30" customFormat="false" ht="15" hidden="false" customHeight="false" outlineLevel="0" collapsed="false">
      <c r="A30" s="17" t="s">
        <v>286</v>
      </c>
      <c r="B30" s="18" t="n">
        <v>597</v>
      </c>
      <c r="C30" s="20" t="s">
        <v>128</v>
      </c>
      <c r="D30" s="8" t="n">
        <v>0</v>
      </c>
      <c r="E30" s="18" t="n">
        <f aca="false">ROUND(B30*D30,1)</f>
        <v>0</v>
      </c>
      <c r="F30" s="18" t="n">
        <f aca="false">B30-E30</f>
        <v>597</v>
      </c>
      <c r="G30" s="5" t="s">
        <v>30</v>
      </c>
      <c r="H30" s="5" t="s">
        <v>124</v>
      </c>
      <c r="I30" s="8" t="n">
        <v>0.5</v>
      </c>
      <c r="J30" s="5" t="n">
        <v>1</v>
      </c>
      <c r="K30" s="17" t="s">
        <v>129</v>
      </c>
      <c r="L30" s="5" t="s">
        <v>118</v>
      </c>
      <c r="M30" s="17" t="s">
        <v>250</v>
      </c>
    </row>
    <row r="31" customFormat="false" ht="15" hidden="false" customHeight="false" outlineLevel="0" collapsed="false">
      <c r="A31" s="17" t="s">
        <v>131</v>
      </c>
      <c r="B31" s="18" t="n">
        <v>543</v>
      </c>
      <c r="C31" s="20" t="s">
        <v>128</v>
      </c>
      <c r="D31" s="8" t="n">
        <v>0</v>
      </c>
      <c r="E31" s="18" t="n">
        <f aca="false">ROUND(B31*D31,1)</f>
        <v>0</v>
      </c>
      <c r="F31" s="18" t="n">
        <f aca="false">B31-E31</f>
        <v>543</v>
      </c>
      <c r="G31" s="5" t="s">
        <v>26</v>
      </c>
      <c r="H31" s="5" t="s">
        <v>124</v>
      </c>
      <c r="I31" s="8" t="n">
        <v>0.5</v>
      </c>
      <c r="J31" s="5" t="n">
        <v>2</v>
      </c>
      <c r="K31" s="17" t="s">
        <v>264</v>
      </c>
      <c r="L31" s="5" t="s">
        <v>118</v>
      </c>
      <c r="M31" s="17" t="s">
        <v>250</v>
      </c>
    </row>
    <row r="32" customFormat="false" ht="15" hidden="false" customHeight="false" outlineLevel="0" collapsed="false">
      <c r="A32" s="17" t="s">
        <v>139</v>
      </c>
      <c r="B32" s="18" t="n">
        <v>540.8</v>
      </c>
      <c r="C32" s="20" t="s">
        <v>128</v>
      </c>
      <c r="D32" s="8" t="n">
        <v>0</v>
      </c>
      <c r="E32" s="18" t="n">
        <f aca="false">ROUND(B32*D32,1)</f>
        <v>0</v>
      </c>
      <c r="F32" s="18" t="n">
        <f aca="false">B32-E32</f>
        <v>540.8</v>
      </c>
      <c r="G32" s="5" t="s">
        <v>26</v>
      </c>
      <c r="H32" s="5" t="s">
        <v>124</v>
      </c>
      <c r="I32" s="8" t="n">
        <v>0.5</v>
      </c>
      <c r="J32" s="5" t="n">
        <v>2</v>
      </c>
      <c r="K32" s="17" t="s">
        <v>264</v>
      </c>
      <c r="L32" s="5" t="s">
        <v>118</v>
      </c>
      <c r="M32" s="17" t="s">
        <v>250</v>
      </c>
    </row>
    <row r="33" customFormat="false" ht="15" hidden="false" customHeight="false" outlineLevel="0" collapsed="false">
      <c r="A33" s="17" t="s">
        <v>155</v>
      </c>
      <c r="B33" s="18" t="n">
        <v>538.8</v>
      </c>
      <c r="C33" s="20" t="s">
        <v>128</v>
      </c>
      <c r="D33" s="8" t="n">
        <v>0</v>
      </c>
      <c r="E33" s="18" t="n">
        <f aca="false">ROUND(B33*D33,1)</f>
        <v>0</v>
      </c>
      <c r="F33" s="18" t="n">
        <f aca="false">B33-E33</f>
        <v>538.8</v>
      </c>
      <c r="G33" s="5" t="s">
        <v>26</v>
      </c>
      <c r="H33" s="5" t="s">
        <v>116</v>
      </c>
      <c r="I33" s="8" t="n">
        <v>0.75</v>
      </c>
      <c r="J33" s="5" t="n">
        <v>2</v>
      </c>
      <c r="K33" s="17" t="s">
        <v>264</v>
      </c>
      <c r="L33" s="5" t="s">
        <v>118</v>
      </c>
      <c r="M33" s="17" t="s">
        <v>287</v>
      </c>
    </row>
    <row r="34" customFormat="false" ht="15" hidden="false" customHeight="false" outlineLevel="0" collapsed="false">
      <c r="A34" s="17" t="s">
        <v>153</v>
      </c>
      <c r="B34" s="18" t="n">
        <v>532.4</v>
      </c>
      <c r="C34" s="20" t="s">
        <v>128</v>
      </c>
      <c r="D34" s="8" t="n">
        <v>0</v>
      </c>
      <c r="E34" s="18" t="n">
        <f aca="false">ROUND(B34*D34,1)</f>
        <v>0</v>
      </c>
      <c r="F34" s="18" t="n">
        <f aca="false">B34-E34</f>
        <v>532.4</v>
      </c>
      <c r="G34" s="5" t="s">
        <v>30</v>
      </c>
      <c r="H34" s="5" t="s">
        <v>124</v>
      </c>
      <c r="I34" s="8" t="n">
        <v>0.5</v>
      </c>
      <c r="J34" s="5" t="n">
        <v>1</v>
      </c>
      <c r="K34" s="17" t="s">
        <v>129</v>
      </c>
      <c r="L34" s="5" t="s">
        <v>118</v>
      </c>
      <c r="M34" s="17" t="s">
        <v>250</v>
      </c>
    </row>
    <row r="35" customFormat="false" ht="15" hidden="false" customHeight="false" outlineLevel="0" collapsed="false">
      <c r="A35" s="17" t="s">
        <v>288</v>
      </c>
      <c r="B35" s="18" t="n">
        <v>495.1</v>
      </c>
      <c r="C35" s="19" t="s">
        <v>115</v>
      </c>
      <c r="D35" s="8" t="n">
        <v>1</v>
      </c>
      <c r="E35" s="18" t="n">
        <f aca="false">ROUND(B35*D35,1)</f>
        <v>495.1</v>
      </c>
      <c r="F35" s="18" t="n">
        <f aca="false">B35-E35</f>
        <v>0</v>
      </c>
      <c r="G35" s="5" t="s">
        <v>30</v>
      </c>
      <c r="H35" s="5" t="s">
        <v>116</v>
      </c>
      <c r="I35" s="8" t="n">
        <v>1</v>
      </c>
      <c r="J35" s="5" t="n">
        <v>1</v>
      </c>
      <c r="K35" s="17" t="s">
        <v>125</v>
      </c>
      <c r="L35" s="5" t="s">
        <v>118</v>
      </c>
      <c r="M35" s="17" t="s">
        <v>250</v>
      </c>
    </row>
    <row r="36" customFormat="false" ht="15" hidden="false" customHeight="false" outlineLevel="0" collapsed="false">
      <c r="A36" s="17" t="s">
        <v>289</v>
      </c>
      <c r="B36" s="18" t="n">
        <v>312.9</v>
      </c>
      <c r="C36" s="20" t="s">
        <v>128</v>
      </c>
      <c r="D36" s="8" t="n">
        <v>0</v>
      </c>
      <c r="E36" s="18" t="n">
        <f aca="false">ROUND(B36*D36,1)</f>
        <v>0</v>
      </c>
      <c r="F36" s="18" t="n">
        <f aca="false">B36-E36</f>
        <v>312.9</v>
      </c>
      <c r="G36" s="5" t="s">
        <v>26</v>
      </c>
      <c r="H36" s="5" t="s">
        <v>124</v>
      </c>
      <c r="I36" s="8" t="n">
        <v>0.5</v>
      </c>
      <c r="J36" s="5" t="n">
        <v>1</v>
      </c>
      <c r="K36" s="17" t="s">
        <v>129</v>
      </c>
      <c r="L36" s="5" t="s">
        <v>118</v>
      </c>
      <c r="M36" s="17" t="s">
        <v>250</v>
      </c>
    </row>
    <row r="37" customFormat="false" ht="15" hidden="false" customHeight="false" outlineLevel="0" collapsed="false">
      <c r="A37" s="17" t="s">
        <v>290</v>
      </c>
      <c r="B37" s="18" t="n">
        <v>171.6</v>
      </c>
      <c r="C37" s="20" t="s">
        <v>128</v>
      </c>
      <c r="D37" s="8" t="n">
        <v>0</v>
      </c>
      <c r="E37" s="18" t="n">
        <f aca="false">ROUND(B37*D37,1)</f>
        <v>0</v>
      </c>
      <c r="F37" s="18" t="n">
        <f aca="false">B37-E37</f>
        <v>171.6</v>
      </c>
      <c r="G37" s="5" t="s">
        <v>26</v>
      </c>
      <c r="H37" s="5" t="s">
        <v>148</v>
      </c>
      <c r="I37" s="8" t="n">
        <v>0</v>
      </c>
      <c r="J37" s="5" t="n">
        <v>1</v>
      </c>
      <c r="K37" s="17" t="s">
        <v>129</v>
      </c>
      <c r="L37" s="5" t="s">
        <v>118</v>
      </c>
      <c r="M37" s="17" t="s">
        <v>250</v>
      </c>
    </row>
    <row r="38" customFormat="false" ht="15" hidden="false" customHeight="false" outlineLevel="0" collapsed="false">
      <c r="A38" s="9" t="s">
        <v>163</v>
      </c>
      <c r="B38" s="10" t="n">
        <f aca="false">SUM(B6:B37)</f>
        <v>17996.4</v>
      </c>
      <c r="C38" s="9"/>
      <c r="D38" s="11" t="n">
        <f aca="false">IF(B38=0,0,E38/B38)</f>
        <v>0.315913182636527</v>
      </c>
      <c r="E38" s="10" t="n">
        <f aca="false">SUM(E6:E37)</f>
        <v>5685.3</v>
      </c>
      <c r="F38" s="10" t="n">
        <f aca="false">SUM(F6:F37)</f>
        <v>12311.1</v>
      </c>
      <c r="G38" s="9"/>
      <c r="H38" s="9"/>
      <c r="I38" s="9"/>
      <c r="J38" s="9"/>
      <c r="K38" s="9"/>
      <c r="L38" s="9"/>
      <c r="M38" s="9"/>
    </row>
    <row r="40" customFormat="false" ht="15" hidden="false" customHeight="false" outlineLevel="0" collapsed="false">
      <c r="A40" s="12" t="s">
        <v>164</v>
      </c>
      <c r="D40" s="22" t="n">
        <f aca="false">F38*8</f>
        <v>98488.8</v>
      </c>
      <c r="E40" s="16" t="s">
        <v>165</v>
      </c>
    </row>
    <row r="41" customFormat="false" ht="15" hidden="false" customHeight="false" outlineLevel="0" collapsed="false">
      <c r="A41" s="12" t="s">
        <v>166</v>
      </c>
      <c r="D41" s="23" t="n">
        <v>0</v>
      </c>
      <c r="E41" s="16" t="s">
        <v>167</v>
      </c>
    </row>
    <row r="42" customFormat="false" ht="15" hidden="false" customHeight="false" outlineLevel="0" collapsed="false">
      <c r="A42" s="12" t="s">
        <v>168</v>
      </c>
      <c r="D42" s="24" t="n">
        <v>0.53</v>
      </c>
      <c r="E42" s="16" t="s">
        <v>291</v>
      </c>
    </row>
    <row r="43" customFormat="false" ht="15" hidden="false" customHeight="false" outlineLevel="0" collapsed="false">
      <c r="A43" s="12" t="s">
        <v>170</v>
      </c>
      <c r="D43" s="22" t="n">
        <f aca="false">(B38-D41)*(1-D42)</f>
        <v>8458.308</v>
      </c>
      <c r="E43" s="16" t="s">
        <v>171</v>
      </c>
    </row>
    <row r="44" customFormat="false" ht="15" hidden="false" customHeight="false" outlineLevel="0" collapsed="false">
      <c r="A44" s="12" t="s">
        <v>172</v>
      </c>
      <c r="D44" s="22" t="n">
        <f aca="false">D43*4</f>
        <v>33833.232</v>
      </c>
      <c r="E44" s="16" t="s">
        <v>173</v>
      </c>
    </row>
    <row r="45" customFormat="false" ht="15" hidden="false" customHeight="false" outlineLevel="0" collapsed="false">
      <c r="A45" s="12" t="s">
        <v>174</v>
      </c>
      <c r="D45" s="23" t="n">
        <v>5685</v>
      </c>
    </row>
    <row r="46" customFormat="false" ht="15" hidden="false" customHeight="false" outlineLevel="0" collapsed="false">
      <c r="A46" s="12" t="s">
        <v>175</v>
      </c>
      <c r="D46" s="23" t="n">
        <v>0</v>
      </c>
      <c r="E46" s="16" t="s">
        <v>176</v>
      </c>
    </row>
    <row r="47" customFormat="false" ht="15" hidden="false" customHeight="false" outlineLevel="0" collapsed="false">
      <c r="A47" s="12" t="s">
        <v>177</v>
      </c>
      <c r="D47" s="23" t="n">
        <v>12311</v>
      </c>
    </row>
    <row r="48" customFormat="false" ht="15" hidden="false" customHeight="false" outlineLevel="0" collapsed="false">
      <c r="A48" s="12" t="s">
        <v>178</v>
      </c>
      <c r="D48" s="23" t="n">
        <v>0</v>
      </c>
      <c r="E48" s="16" t="s">
        <v>179</v>
      </c>
    </row>
    <row r="49" customFormat="false" ht="15" hidden="false" customHeight="true" outlineLevel="0" collapsed="false">
      <c r="A49" s="25" t="s">
        <v>292</v>
      </c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</row>
  </sheetData>
  <mergeCells count="1">
    <mergeCell ref="A49:M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10" min="9" style="0" width="9"/>
    <col collapsed="false" customWidth="true" hidden="false" outlineLevel="0" max="11" min="11" style="0" width="46"/>
    <col collapsed="false" customWidth="true" hidden="false" outlineLevel="0" max="12" min="12" style="0" width="17"/>
    <col collapsed="false" customWidth="true" hidden="false" outlineLevel="0" max="13" min="13" style="0" width="54"/>
  </cols>
  <sheetData>
    <row r="1" customFormat="false" ht="16.15" hidden="false" customHeight="false" outlineLevel="0" collapsed="false">
      <c r="A1" s="14" t="s">
        <v>293</v>
      </c>
    </row>
    <row r="2" customFormat="false" ht="15" hidden="false" customHeight="false" outlineLevel="0" collapsed="false">
      <c r="A2" s="15" t="s">
        <v>294</v>
      </c>
    </row>
    <row r="3" customFormat="false" ht="15" hidden="false" customHeight="false" outlineLevel="0" collapsed="false">
      <c r="A3" s="16" t="s">
        <v>295</v>
      </c>
    </row>
    <row r="5" customFormat="false" ht="22.35" hidden="false" customHeight="false" outlineLevel="0" collapsed="false">
      <c r="A5" s="4" t="s">
        <v>102</v>
      </c>
      <c r="B5" s="4" t="s">
        <v>103</v>
      </c>
      <c r="C5" s="4" t="s">
        <v>104</v>
      </c>
      <c r="D5" s="4" t="s">
        <v>105</v>
      </c>
      <c r="E5" s="4" t="s">
        <v>106</v>
      </c>
      <c r="F5" s="4" t="s">
        <v>107</v>
      </c>
      <c r="G5" s="4" t="s">
        <v>108</v>
      </c>
      <c r="H5" s="4" t="s">
        <v>109</v>
      </c>
      <c r="I5" s="4" t="s">
        <v>110</v>
      </c>
      <c r="J5" s="4" t="s">
        <v>16</v>
      </c>
      <c r="K5" s="4" t="s">
        <v>111</v>
      </c>
      <c r="L5" s="4" t="s">
        <v>112</v>
      </c>
      <c r="M5" s="4" t="s">
        <v>113</v>
      </c>
    </row>
    <row r="6" customFormat="false" ht="15" hidden="false" customHeight="false" outlineLevel="0" collapsed="false">
      <c r="A6" s="17" t="s">
        <v>296</v>
      </c>
      <c r="B6" s="18" t="n">
        <v>143.9</v>
      </c>
      <c r="C6" s="19" t="s">
        <v>115</v>
      </c>
      <c r="D6" s="8" t="n">
        <v>1</v>
      </c>
      <c r="E6" s="18" t="n">
        <f aca="false">ROUND(B6*D6,1)</f>
        <v>143.9</v>
      </c>
      <c r="F6" s="18" t="n">
        <f aca="false">B6-E6</f>
        <v>0</v>
      </c>
      <c r="G6" s="5" t="s">
        <v>26</v>
      </c>
      <c r="H6" s="5" t="s">
        <v>148</v>
      </c>
      <c r="I6" s="8" t="n">
        <v>0</v>
      </c>
      <c r="J6" s="5" t="n">
        <v>1</v>
      </c>
      <c r="K6" s="17" t="s">
        <v>125</v>
      </c>
      <c r="L6" s="5" t="s">
        <v>118</v>
      </c>
      <c r="M6" s="17" t="s">
        <v>297</v>
      </c>
    </row>
    <row r="7" customFormat="false" ht="15" hidden="false" customHeight="false" outlineLevel="0" collapsed="false">
      <c r="A7" s="17" t="s">
        <v>298</v>
      </c>
      <c r="B7" s="18" t="n">
        <v>467.7</v>
      </c>
      <c r="C7" s="20" t="s">
        <v>128</v>
      </c>
      <c r="D7" s="8" t="n">
        <v>0</v>
      </c>
      <c r="E7" s="18" t="n">
        <f aca="false">ROUND(B7*D7,1)</f>
        <v>0</v>
      </c>
      <c r="F7" s="18" t="n">
        <f aca="false">B7-E7</f>
        <v>467.7</v>
      </c>
      <c r="G7" s="5" t="s">
        <v>30</v>
      </c>
      <c r="H7" s="5" t="s">
        <v>148</v>
      </c>
      <c r="I7" s="8" t="n">
        <v>0</v>
      </c>
      <c r="J7" s="5" t="n">
        <v>1</v>
      </c>
      <c r="K7" s="17" t="s">
        <v>129</v>
      </c>
      <c r="L7" s="5" t="s">
        <v>118</v>
      </c>
      <c r="M7" s="17" t="s">
        <v>297</v>
      </c>
    </row>
    <row r="8" customFormat="false" ht="15" hidden="false" customHeight="false" outlineLevel="0" collapsed="false">
      <c r="A8" s="17" t="s">
        <v>299</v>
      </c>
      <c r="B8" s="18" t="n">
        <v>189.3</v>
      </c>
      <c r="C8" s="20" t="s">
        <v>128</v>
      </c>
      <c r="D8" s="8" t="n">
        <v>0</v>
      </c>
      <c r="E8" s="18" t="n">
        <f aca="false">ROUND(B8*D8,1)</f>
        <v>0</v>
      </c>
      <c r="F8" s="18" t="n">
        <f aca="false">B8-E8</f>
        <v>189.3</v>
      </c>
      <c r="G8" s="5" t="s">
        <v>26</v>
      </c>
      <c r="H8" s="5" t="s">
        <v>124</v>
      </c>
      <c r="I8" s="8" t="n">
        <v>0.5</v>
      </c>
      <c r="J8" s="5" t="n">
        <v>1</v>
      </c>
      <c r="K8" s="17" t="s">
        <v>129</v>
      </c>
      <c r="L8" s="5" t="s">
        <v>118</v>
      </c>
      <c r="M8" s="17" t="s">
        <v>297</v>
      </c>
    </row>
    <row r="9" customFormat="false" ht="15" hidden="false" customHeight="false" outlineLevel="0" collapsed="false">
      <c r="A9" s="17" t="s">
        <v>300</v>
      </c>
      <c r="B9" s="18" t="n">
        <v>522.3</v>
      </c>
      <c r="C9" s="20" t="s">
        <v>128</v>
      </c>
      <c r="D9" s="8" t="n">
        <v>0</v>
      </c>
      <c r="E9" s="18" t="n">
        <f aca="false">ROUND(B9*D9,1)</f>
        <v>0</v>
      </c>
      <c r="F9" s="18" t="n">
        <f aca="false">B9-E9</f>
        <v>522.3</v>
      </c>
      <c r="G9" s="5" t="s">
        <v>26</v>
      </c>
      <c r="H9" s="5" t="s">
        <v>124</v>
      </c>
      <c r="I9" s="8" t="n">
        <v>0.25</v>
      </c>
      <c r="J9" s="5" t="n">
        <v>2</v>
      </c>
      <c r="K9" s="17" t="s">
        <v>264</v>
      </c>
      <c r="L9" s="5" t="s">
        <v>118</v>
      </c>
      <c r="M9" s="17" t="s">
        <v>297</v>
      </c>
    </row>
    <row r="10" customFormat="false" ht="15" hidden="false" customHeight="false" outlineLevel="0" collapsed="false">
      <c r="A10" s="17" t="s">
        <v>301</v>
      </c>
      <c r="B10" s="18" t="n">
        <v>187.3</v>
      </c>
      <c r="C10" s="20" t="s">
        <v>128</v>
      </c>
      <c r="D10" s="8" t="n">
        <v>0</v>
      </c>
      <c r="E10" s="18" t="n">
        <f aca="false">ROUND(B10*D10,1)</f>
        <v>0</v>
      </c>
      <c r="F10" s="18" t="n">
        <f aca="false">B10-E10</f>
        <v>187.3</v>
      </c>
      <c r="G10" s="5" t="s">
        <v>26</v>
      </c>
      <c r="H10" s="5" t="s">
        <v>124</v>
      </c>
      <c r="I10" s="8" t="n">
        <v>0.5</v>
      </c>
      <c r="J10" s="5" t="n">
        <v>1</v>
      </c>
      <c r="K10" s="17" t="s">
        <v>129</v>
      </c>
      <c r="L10" s="5" t="s">
        <v>118</v>
      </c>
      <c r="M10" s="17" t="s">
        <v>297</v>
      </c>
    </row>
    <row r="11" customFormat="false" ht="22.35" hidden="false" customHeight="false" outlineLevel="0" collapsed="false">
      <c r="A11" s="17" t="s">
        <v>302</v>
      </c>
      <c r="B11" s="18" t="n">
        <v>75.3</v>
      </c>
      <c r="C11" s="19" t="s">
        <v>115</v>
      </c>
      <c r="D11" s="8" t="n">
        <v>1</v>
      </c>
      <c r="E11" s="18" t="n">
        <f aca="false">ROUND(B11*D11,1)</f>
        <v>75.3</v>
      </c>
      <c r="F11" s="18" t="n">
        <f aca="false">B11-E11</f>
        <v>0</v>
      </c>
      <c r="G11" s="5" t="s">
        <v>26</v>
      </c>
      <c r="H11" s="5" t="s">
        <v>124</v>
      </c>
      <c r="I11" s="8" t="n">
        <v>0.5</v>
      </c>
      <c r="J11" s="5" t="n">
        <v>1</v>
      </c>
      <c r="K11" s="17" t="s">
        <v>125</v>
      </c>
      <c r="L11" s="5" t="s">
        <v>118</v>
      </c>
      <c r="M11" s="17" t="s">
        <v>303</v>
      </c>
    </row>
    <row r="12" customFormat="false" ht="15" hidden="false" customHeight="false" outlineLevel="0" collapsed="false">
      <c r="A12" s="17" t="s">
        <v>304</v>
      </c>
      <c r="B12" s="18" t="n">
        <v>98.5</v>
      </c>
      <c r="C12" s="20" t="s">
        <v>128</v>
      </c>
      <c r="D12" s="8" t="n">
        <v>0</v>
      </c>
      <c r="E12" s="18" t="n">
        <f aca="false">ROUND(B12*D12,1)</f>
        <v>0</v>
      </c>
      <c r="F12" s="18" t="n">
        <f aca="false">B12-E12</f>
        <v>98.5</v>
      </c>
      <c r="G12" s="5" t="s">
        <v>26</v>
      </c>
      <c r="H12" s="5" t="s">
        <v>148</v>
      </c>
      <c r="I12" s="8" t="n">
        <v>0</v>
      </c>
      <c r="J12" s="5" t="n">
        <v>1</v>
      </c>
      <c r="K12" s="17" t="s">
        <v>129</v>
      </c>
      <c r="L12" s="5" t="s">
        <v>118</v>
      </c>
      <c r="M12" s="17" t="s">
        <v>297</v>
      </c>
    </row>
    <row r="13" customFormat="false" ht="15" hidden="false" customHeight="false" outlineLevel="0" collapsed="false">
      <c r="A13" s="17" t="s">
        <v>305</v>
      </c>
      <c r="B13" s="18" t="n">
        <v>405.9</v>
      </c>
      <c r="C13" s="20" t="s">
        <v>128</v>
      </c>
      <c r="D13" s="8" t="n">
        <v>0</v>
      </c>
      <c r="E13" s="18" t="n">
        <f aca="false">ROUND(B13*D13,1)</f>
        <v>0</v>
      </c>
      <c r="F13" s="18" t="n">
        <f aca="false">B13-E13</f>
        <v>405.9</v>
      </c>
      <c r="G13" s="5" t="s">
        <v>26</v>
      </c>
      <c r="H13" s="5" t="s">
        <v>124</v>
      </c>
      <c r="I13" s="8" t="n">
        <v>0.5</v>
      </c>
      <c r="J13" s="5" t="n">
        <v>1</v>
      </c>
      <c r="K13" s="17" t="s">
        <v>129</v>
      </c>
      <c r="L13" s="5" t="s">
        <v>118</v>
      </c>
      <c r="M13" s="17" t="s">
        <v>297</v>
      </c>
    </row>
    <row r="14" customFormat="false" ht="15" hidden="false" customHeight="false" outlineLevel="0" collapsed="false">
      <c r="A14" s="17" t="s">
        <v>306</v>
      </c>
      <c r="B14" s="18" t="n">
        <v>121.8</v>
      </c>
      <c r="C14" s="20" t="s">
        <v>128</v>
      </c>
      <c r="D14" s="8" t="n">
        <v>0</v>
      </c>
      <c r="E14" s="18" t="n">
        <f aca="false">ROUND(B14*D14,1)</f>
        <v>0</v>
      </c>
      <c r="F14" s="18" t="n">
        <f aca="false">B14-E14</f>
        <v>121.8</v>
      </c>
      <c r="G14" s="5" t="s">
        <v>26</v>
      </c>
      <c r="H14" s="5" t="s">
        <v>148</v>
      </c>
      <c r="I14" s="8" t="n">
        <v>0</v>
      </c>
      <c r="J14" s="5" t="n">
        <v>1</v>
      </c>
      <c r="K14" s="17" t="s">
        <v>129</v>
      </c>
      <c r="L14" s="5" t="s">
        <v>118</v>
      </c>
      <c r="M14" s="17" t="s">
        <v>297</v>
      </c>
    </row>
    <row r="15" customFormat="false" ht="15" hidden="false" customHeight="false" outlineLevel="0" collapsed="false">
      <c r="A15" s="17" t="s">
        <v>142</v>
      </c>
      <c r="B15" s="18" t="n">
        <v>639.2</v>
      </c>
      <c r="C15" s="21" t="s">
        <v>124</v>
      </c>
      <c r="D15" s="8" t="n">
        <v>0.62</v>
      </c>
      <c r="E15" s="18" t="n">
        <f aca="false">ROUND(B15*D15,1)</f>
        <v>396.3</v>
      </c>
      <c r="F15" s="18" t="n">
        <f aca="false">B15-E15</f>
        <v>242.9</v>
      </c>
      <c r="G15" s="5" t="s">
        <v>26</v>
      </c>
      <c r="H15" s="5" t="s">
        <v>148</v>
      </c>
      <c r="I15" s="8" t="n">
        <v>0.18</v>
      </c>
      <c r="J15" s="5" t="n">
        <v>7</v>
      </c>
      <c r="K15" s="17" t="s">
        <v>307</v>
      </c>
      <c r="L15" s="5" t="s">
        <v>118</v>
      </c>
      <c r="M15" s="17" t="s">
        <v>308</v>
      </c>
    </row>
    <row r="16" customFormat="false" ht="15" hidden="false" customHeight="false" outlineLevel="0" collapsed="false">
      <c r="A16" s="17" t="s">
        <v>309</v>
      </c>
      <c r="B16" s="18" t="n">
        <v>392</v>
      </c>
      <c r="C16" s="20" t="s">
        <v>128</v>
      </c>
      <c r="D16" s="8" t="n">
        <v>0</v>
      </c>
      <c r="E16" s="18" t="n">
        <f aca="false">ROUND(B16*D16,1)</f>
        <v>0</v>
      </c>
      <c r="F16" s="18" t="n">
        <f aca="false">B16-E16</f>
        <v>392</v>
      </c>
      <c r="G16" s="5" t="s">
        <v>26</v>
      </c>
      <c r="H16" s="5" t="s">
        <v>148</v>
      </c>
      <c r="I16" s="8" t="n">
        <v>0</v>
      </c>
      <c r="J16" s="5" t="n">
        <v>1</v>
      </c>
      <c r="K16" s="17" t="s">
        <v>129</v>
      </c>
      <c r="L16" s="5" t="s">
        <v>118</v>
      </c>
      <c r="M16" s="17" t="s">
        <v>297</v>
      </c>
    </row>
    <row r="17" customFormat="false" ht="15" hidden="false" customHeight="false" outlineLevel="0" collapsed="false">
      <c r="A17" s="17" t="s">
        <v>310</v>
      </c>
      <c r="B17" s="18" t="n">
        <v>183.9</v>
      </c>
      <c r="C17" s="20" t="s">
        <v>128</v>
      </c>
      <c r="D17" s="8" t="n">
        <v>0</v>
      </c>
      <c r="E17" s="18" t="n">
        <f aca="false">ROUND(B17*D17,1)</f>
        <v>0</v>
      </c>
      <c r="F17" s="18" t="n">
        <f aca="false">B17-E17</f>
        <v>183.9</v>
      </c>
      <c r="G17" s="5" t="s">
        <v>26</v>
      </c>
      <c r="H17" s="5" t="s">
        <v>124</v>
      </c>
      <c r="I17" s="8" t="n">
        <v>0.5</v>
      </c>
      <c r="J17" s="5" t="n">
        <v>1</v>
      </c>
      <c r="K17" s="17" t="s">
        <v>129</v>
      </c>
      <c r="L17" s="5" t="s">
        <v>118</v>
      </c>
      <c r="M17" s="17" t="s">
        <v>297</v>
      </c>
    </row>
    <row r="18" customFormat="false" ht="15" hidden="false" customHeight="false" outlineLevel="0" collapsed="false">
      <c r="A18" s="17" t="s">
        <v>311</v>
      </c>
      <c r="B18" s="18" t="n">
        <v>380</v>
      </c>
      <c r="C18" s="20" t="s">
        <v>128</v>
      </c>
      <c r="D18" s="8" t="n">
        <v>0</v>
      </c>
      <c r="E18" s="18" t="n">
        <f aca="false">ROUND(B18*D18,1)</f>
        <v>0</v>
      </c>
      <c r="F18" s="18" t="n">
        <f aca="false">B18-E18</f>
        <v>380</v>
      </c>
      <c r="G18" s="5" t="s">
        <v>26</v>
      </c>
      <c r="H18" s="5" t="s">
        <v>124</v>
      </c>
      <c r="I18" s="8" t="n">
        <v>0.5</v>
      </c>
      <c r="J18" s="5" t="n">
        <v>1</v>
      </c>
      <c r="K18" s="17" t="s">
        <v>129</v>
      </c>
      <c r="L18" s="5" t="s">
        <v>118</v>
      </c>
      <c r="M18" s="17" t="s">
        <v>297</v>
      </c>
    </row>
    <row r="19" customFormat="false" ht="15" hidden="false" customHeight="false" outlineLevel="0" collapsed="false">
      <c r="A19" s="17" t="s">
        <v>312</v>
      </c>
      <c r="B19" s="18" t="n">
        <v>222.3</v>
      </c>
      <c r="C19" s="20" t="s">
        <v>128</v>
      </c>
      <c r="D19" s="8" t="n">
        <v>0</v>
      </c>
      <c r="E19" s="18" t="n">
        <f aca="false">ROUND(B19*D19,1)</f>
        <v>0</v>
      </c>
      <c r="F19" s="18" t="n">
        <f aca="false">B19-E19</f>
        <v>222.3</v>
      </c>
      <c r="G19" s="5" t="s">
        <v>26</v>
      </c>
      <c r="H19" s="5" t="s">
        <v>148</v>
      </c>
      <c r="I19" s="8" t="n">
        <v>0</v>
      </c>
      <c r="J19" s="5" t="n">
        <v>1</v>
      </c>
      <c r="K19" s="17" t="s">
        <v>129</v>
      </c>
      <c r="L19" s="5" t="s">
        <v>118</v>
      </c>
      <c r="M19" s="17" t="s">
        <v>297</v>
      </c>
    </row>
    <row r="20" customFormat="false" ht="15" hidden="false" customHeight="false" outlineLevel="0" collapsed="false">
      <c r="A20" s="17" t="s">
        <v>248</v>
      </c>
      <c r="B20" s="18" t="n">
        <v>234.9</v>
      </c>
      <c r="C20" s="20" t="s">
        <v>128</v>
      </c>
      <c r="D20" s="8" t="n">
        <v>0</v>
      </c>
      <c r="E20" s="18" t="n">
        <f aca="false">ROUND(B20*D20,1)</f>
        <v>0</v>
      </c>
      <c r="F20" s="18" t="n">
        <f aca="false">B20-E20</f>
        <v>234.9</v>
      </c>
      <c r="G20" s="5" t="s">
        <v>26</v>
      </c>
      <c r="H20" s="5" t="s">
        <v>148</v>
      </c>
      <c r="I20" s="8" t="n">
        <v>0</v>
      </c>
      <c r="J20" s="5" t="n">
        <v>1</v>
      </c>
      <c r="K20" s="17" t="s">
        <v>149</v>
      </c>
      <c r="L20" s="5" t="s">
        <v>118</v>
      </c>
      <c r="M20" s="17" t="s">
        <v>297</v>
      </c>
    </row>
    <row r="21" customFormat="false" ht="15" hidden="false" customHeight="false" outlineLevel="0" collapsed="false">
      <c r="A21" s="17" t="s">
        <v>313</v>
      </c>
      <c r="B21" s="18" t="n">
        <v>526.6</v>
      </c>
      <c r="C21" s="20" t="s">
        <v>128</v>
      </c>
      <c r="D21" s="8" t="n">
        <v>0</v>
      </c>
      <c r="E21" s="18" t="n">
        <f aca="false">ROUND(B21*D21,1)</f>
        <v>0</v>
      </c>
      <c r="F21" s="18" t="n">
        <f aca="false">B21-E21</f>
        <v>526.6</v>
      </c>
      <c r="G21" s="5" t="s">
        <v>26</v>
      </c>
      <c r="H21" s="5" t="s">
        <v>148</v>
      </c>
      <c r="I21" s="8" t="n">
        <v>0</v>
      </c>
      <c r="J21" s="5" t="n">
        <v>3</v>
      </c>
      <c r="K21" s="17" t="s">
        <v>185</v>
      </c>
      <c r="L21" s="5" t="s">
        <v>118</v>
      </c>
      <c r="M21" s="17" t="s">
        <v>297</v>
      </c>
    </row>
    <row r="22" customFormat="false" ht="15" hidden="false" customHeight="false" outlineLevel="0" collapsed="false">
      <c r="A22" s="17" t="s">
        <v>314</v>
      </c>
      <c r="B22" s="18" t="n">
        <v>449.5</v>
      </c>
      <c r="C22" s="20" t="s">
        <v>128</v>
      </c>
      <c r="D22" s="8" t="n">
        <v>0</v>
      </c>
      <c r="E22" s="18" t="n">
        <f aca="false">ROUND(B22*D22,1)</f>
        <v>0</v>
      </c>
      <c r="F22" s="18" t="n">
        <f aca="false">B22-E22</f>
        <v>449.5</v>
      </c>
      <c r="G22" s="5" t="s">
        <v>26</v>
      </c>
      <c r="H22" s="5" t="s">
        <v>148</v>
      </c>
      <c r="I22" s="8" t="n">
        <v>0</v>
      </c>
      <c r="J22" s="5" t="n">
        <v>2</v>
      </c>
      <c r="K22" s="17" t="s">
        <v>315</v>
      </c>
      <c r="L22" s="5" t="s">
        <v>118</v>
      </c>
      <c r="M22" s="17" t="s">
        <v>297</v>
      </c>
    </row>
    <row r="23" customFormat="false" ht="15" hidden="false" customHeight="false" outlineLevel="0" collapsed="false">
      <c r="A23" s="17" t="s">
        <v>316</v>
      </c>
      <c r="B23" s="18" t="n">
        <v>180.6</v>
      </c>
      <c r="C23" s="20" t="s">
        <v>128</v>
      </c>
      <c r="D23" s="8" t="n">
        <v>0</v>
      </c>
      <c r="E23" s="18" t="n">
        <f aca="false">ROUND(B23*D23,1)</f>
        <v>0</v>
      </c>
      <c r="F23" s="18" t="n">
        <f aca="false">B23-E23</f>
        <v>180.6</v>
      </c>
      <c r="G23" s="5" t="s">
        <v>26</v>
      </c>
      <c r="H23" s="5" t="s">
        <v>148</v>
      </c>
      <c r="I23" s="8" t="n">
        <v>0</v>
      </c>
      <c r="J23" s="5" t="n">
        <v>1</v>
      </c>
      <c r="K23" s="17" t="s">
        <v>129</v>
      </c>
      <c r="L23" s="5" t="s">
        <v>118</v>
      </c>
      <c r="M23" s="17" t="s">
        <v>297</v>
      </c>
    </row>
    <row r="24" customFormat="false" ht="15" hidden="false" customHeight="false" outlineLevel="0" collapsed="false">
      <c r="A24" s="17" t="s">
        <v>272</v>
      </c>
      <c r="B24" s="18" t="n">
        <v>456.9</v>
      </c>
      <c r="C24" s="20" t="s">
        <v>128</v>
      </c>
      <c r="D24" s="8" t="n">
        <v>0</v>
      </c>
      <c r="E24" s="18" t="n">
        <f aca="false">ROUND(B24*D24,1)</f>
        <v>0</v>
      </c>
      <c r="F24" s="18" t="n">
        <f aca="false">B24-E24</f>
        <v>456.9</v>
      </c>
      <c r="G24" s="5" t="s">
        <v>26</v>
      </c>
      <c r="H24" s="5" t="s">
        <v>148</v>
      </c>
      <c r="I24" s="8" t="n">
        <v>0.21</v>
      </c>
      <c r="J24" s="5" t="n">
        <v>2</v>
      </c>
      <c r="K24" s="17" t="s">
        <v>264</v>
      </c>
      <c r="L24" s="5" t="s">
        <v>118</v>
      </c>
      <c r="M24" s="17" t="s">
        <v>297</v>
      </c>
    </row>
    <row r="25" customFormat="false" ht="15" hidden="false" customHeight="false" outlineLevel="0" collapsed="false">
      <c r="A25" s="17" t="s">
        <v>317</v>
      </c>
      <c r="B25" s="18" t="n">
        <v>141</v>
      </c>
      <c r="C25" s="20" t="s">
        <v>128</v>
      </c>
      <c r="D25" s="8" t="n">
        <v>0</v>
      </c>
      <c r="E25" s="18" t="n">
        <f aca="false">ROUND(B25*D25,1)</f>
        <v>0</v>
      </c>
      <c r="F25" s="18" t="n">
        <f aca="false">B25-E25</f>
        <v>141</v>
      </c>
      <c r="G25" s="5" t="s">
        <v>26</v>
      </c>
      <c r="H25" s="5" t="s">
        <v>124</v>
      </c>
      <c r="I25" s="8" t="n">
        <v>0.5</v>
      </c>
      <c r="J25" s="5" t="n">
        <v>1</v>
      </c>
      <c r="K25" s="17" t="s">
        <v>129</v>
      </c>
      <c r="L25" s="5" t="s">
        <v>118</v>
      </c>
      <c r="M25" s="17" t="s">
        <v>297</v>
      </c>
    </row>
    <row r="26" customFormat="false" ht="15" hidden="false" customHeight="false" outlineLevel="0" collapsed="false">
      <c r="A26" s="17" t="s">
        <v>318</v>
      </c>
      <c r="B26" s="18" t="n">
        <v>423</v>
      </c>
      <c r="C26" s="20" t="s">
        <v>128</v>
      </c>
      <c r="D26" s="8" t="n">
        <v>0</v>
      </c>
      <c r="E26" s="18" t="n">
        <f aca="false">ROUND(B26*D26,1)</f>
        <v>0</v>
      </c>
      <c r="F26" s="18" t="n">
        <f aca="false">B26-E26</f>
        <v>423</v>
      </c>
      <c r="G26" s="5" t="s">
        <v>26</v>
      </c>
      <c r="H26" s="5" t="s">
        <v>148</v>
      </c>
      <c r="I26" s="8" t="n">
        <v>0.13</v>
      </c>
      <c r="J26" s="5" t="n">
        <v>3</v>
      </c>
      <c r="K26" s="17" t="s">
        <v>185</v>
      </c>
      <c r="L26" s="5" t="s">
        <v>118</v>
      </c>
      <c r="M26" s="17" t="s">
        <v>297</v>
      </c>
    </row>
    <row r="27" customFormat="false" ht="15" hidden="false" customHeight="false" outlineLevel="0" collapsed="false">
      <c r="A27" s="17" t="s">
        <v>319</v>
      </c>
      <c r="B27" s="18" t="n">
        <v>177.5</v>
      </c>
      <c r="C27" s="20" t="s">
        <v>128</v>
      </c>
      <c r="D27" s="8" t="n">
        <v>0</v>
      </c>
      <c r="E27" s="18" t="n">
        <f aca="false">ROUND(B27*D27,1)</f>
        <v>0</v>
      </c>
      <c r="F27" s="18" t="n">
        <f aca="false">B27-E27</f>
        <v>177.5</v>
      </c>
      <c r="G27" s="5" t="s">
        <v>26</v>
      </c>
      <c r="H27" s="5" t="s">
        <v>148</v>
      </c>
      <c r="I27" s="8" t="n">
        <v>0</v>
      </c>
      <c r="J27" s="5" t="n">
        <v>1</v>
      </c>
      <c r="K27" s="17" t="s">
        <v>129</v>
      </c>
      <c r="L27" s="5" t="s">
        <v>118</v>
      </c>
      <c r="M27" s="17" t="s">
        <v>297</v>
      </c>
    </row>
    <row r="28" customFormat="false" ht="15" hidden="false" customHeight="false" outlineLevel="0" collapsed="false">
      <c r="A28" s="17" t="s">
        <v>320</v>
      </c>
      <c r="B28" s="18" t="n">
        <v>181.7</v>
      </c>
      <c r="C28" s="20" t="s">
        <v>128</v>
      </c>
      <c r="D28" s="8" t="n">
        <v>0</v>
      </c>
      <c r="E28" s="18" t="n">
        <f aca="false">ROUND(B28*D28,1)</f>
        <v>0</v>
      </c>
      <c r="F28" s="18" t="n">
        <f aca="false">B28-E28</f>
        <v>181.7</v>
      </c>
      <c r="G28" s="5" t="s">
        <v>26</v>
      </c>
      <c r="H28" s="5" t="s">
        <v>148</v>
      </c>
      <c r="I28" s="8" t="n">
        <v>0</v>
      </c>
      <c r="J28" s="5" t="n">
        <v>1</v>
      </c>
      <c r="K28" s="17" t="s">
        <v>129</v>
      </c>
      <c r="L28" s="5" t="s">
        <v>118</v>
      </c>
      <c r="M28" s="17" t="s">
        <v>297</v>
      </c>
    </row>
    <row r="29" customFormat="false" ht="15" hidden="false" customHeight="false" outlineLevel="0" collapsed="false">
      <c r="A29" s="17" t="s">
        <v>290</v>
      </c>
      <c r="B29" s="18" t="n">
        <v>200.7</v>
      </c>
      <c r="C29" s="20" t="s">
        <v>128</v>
      </c>
      <c r="D29" s="8" t="n">
        <v>0</v>
      </c>
      <c r="E29" s="18" t="n">
        <f aca="false">ROUND(B29*D29,1)</f>
        <v>0</v>
      </c>
      <c r="F29" s="18" t="n">
        <f aca="false">B29-E29</f>
        <v>200.7</v>
      </c>
      <c r="G29" s="5" t="s">
        <v>26</v>
      </c>
      <c r="H29" s="5" t="s">
        <v>124</v>
      </c>
      <c r="I29" s="8" t="n">
        <v>0.5</v>
      </c>
      <c r="J29" s="5" t="n">
        <v>1</v>
      </c>
      <c r="K29" s="17" t="s">
        <v>129</v>
      </c>
      <c r="L29" s="5" t="s">
        <v>118</v>
      </c>
      <c r="M29" s="17" t="s">
        <v>297</v>
      </c>
    </row>
    <row r="30" customFormat="false" ht="15" hidden="false" customHeight="false" outlineLevel="0" collapsed="false">
      <c r="A30" s="17" t="s">
        <v>321</v>
      </c>
      <c r="B30" s="18" t="n">
        <v>221.6</v>
      </c>
      <c r="C30" s="20" t="s">
        <v>128</v>
      </c>
      <c r="D30" s="8" t="n">
        <v>0</v>
      </c>
      <c r="E30" s="18" t="n">
        <f aca="false">ROUND(B30*D30,1)</f>
        <v>0</v>
      </c>
      <c r="F30" s="18" t="n">
        <f aca="false">B30-E30</f>
        <v>221.6</v>
      </c>
      <c r="G30" s="5" t="s">
        <v>26</v>
      </c>
      <c r="H30" s="5" t="s">
        <v>148</v>
      </c>
      <c r="I30" s="8" t="n">
        <v>0</v>
      </c>
      <c r="J30" s="5" t="n">
        <v>1</v>
      </c>
      <c r="K30" s="17" t="s">
        <v>129</v>
      </c>
      <c r="L30" s="5" t="s">
        <v>118</v>
      </c>
      <c r="M30" s="17" t="s">
        <v>297</v>
      </c>
    </row>
    <row r="31" customFormat="false" ht="15" hidden="false" customHeight="false" outlineLevel="0" collapsed="false">
      <c r="A31" s="17" t="s">
        <v>322</v>
      </c>
      <c r="B31" s="18" t="n">
        <v>279.1</v>
      </c>
      <c r="C31" s="20" t="s">
        <v>128</v>
      </c>
      <c r="D31" s="8" t="n">
        <v>0</v>
      </c>
      <c r="E31" s="18" t="n">
        <f aca="false">ROUND(B31*D31,1)</f>
        <v>0</v>
      </c>
      <c r="F31" s="18" t="n">
        <f aca="false">B31-E31</f>
        <v>279.1</v>
      </c>
      <c r="G31" s="5" t="s">
        <v>26</v>
      </c>
      <c r="H31" s="5" t="s">
        <v>124</v>
      </c>
      <c r="I31" s="8" t="n">
        <v>0.5</v>
      </c>
      <c r="J31" s="5" t="n">
        <v>1</v>
      </c>
      <c r="K31" s="17" t="s">
        <v>129</v>
      </c>
      <c r="L31" s="5" t="s">
        <v>118</v>
      </c>
      <c r="M31" s="17" t="s">
        <v>297</v>
      </c>
    </row>
    <row r="32" customFormat="false" ht="15" hidden="false" customHeight="false" outlineLevel="0" collapsed="false">
      <c r="A32" s="17" t="s">
        <v>323</v>
      </c>
      <c r="B32" s="18" t="n">
        <v>214.8</v>
      </c>
      <c r="C32" s="20" t="s">
        <v>128</v>
      </c>
      <c r="D32" s="8" t="n">
        <v>0</v>
      </c>
      <c r="E32" s="18" t="n">
        <f aca="false">ROUND(B32*D32,1)</f>
        <v>0</v>
      </c>
      <c r="F32" s="18" t="n">
        <f aca="false">B32-E32</f>
        <v>214.8</v>
      </c>
      <c r="G32" s="5" t="s">
        <v>26</v>
      </c>
      <c r="H32" s="5" t="s">
        <v>124</v>
      </c>
      <c r="I32" s="8" t="n">
        <v>0.5</v>
      </c>
      <c r="J32" s="5" t="n">
        <v>1</v>
      </c>
      <c r="K32" s="17" t="s">
        <v>129</v>
      </c>
      <c r="L32" s="5" t="s">
        <v>118</v>
      </c>
      <c r="M32" s="17" t="s">
        <v>297</v>
      </c>
    </row>
    <row r="33" customFormat="false" ht="15" hidden="false" customHeight="false" outlineLevel="0" collapsed="false">
      <c r="A33" s="17" t="s">
        <v>324</v>
      </c>
      <c r="B33" s="18" t="n">
        <v>182.7</v>
      </c>
      <c r="C33" s="20" t="s">
        <v>128</v>
      </c>
      <c r="D33" s="8" t="n">
        <v>0</v>
      </c>
      <c r="E33" s="18" t="n">
        <f aca="false">ROUND(B33*D33,1)</f>
        <v>0</v>
      </c>
      <c r="F33" s="18" t="n">
        <f aca="false">B33-E33</f>
        <v>182.7</v>
      </c>
      <c r="G33" s="5" t="s">
        <v>26</v>
      </c>
      <c r="H33" s="5" t="s">
        <v>148</v>
      </c>
      <c r="I33" s="8" t="n">
        <v>0</v>
      </c>
      <c r="J33" s="5" t="n">
        <v>1</v>
      </c>
      <c r="K33" s="17" t="s">
        <v>129</v>
      </c>
      <c r="L33" s="5" t="s">
        <v>118</v>
      </c>
      <c r="M33" s="17" t="s">
        <v>297</v>
      </c>
    </row>
    <row r="34" customFormat="false" ht="15" hidden="false" customHeight="false" outlineLevel="0" collapsed="false">
      <c r="A34" s="17" t="s">
        <v>266</v>
      </c>
      <c r="B34" s="18" t="n">
        <v>263.3</v>
      </c>
      <c r="C34" s="19" t="s">
        <v>115</v>
      </c>
      <c r="D34" s="8" t="n">
        <v>1</v>
      </c>
      <c r="E34" s="18" t="n">
        <f aca="false">ROUND(B34*D34,1)</f>
        <v>263.3</v>
      </c>
      <c r="F34" s="18" t="n">
        <f aca="false">B34-E34</f>
        <v>0</v>
      </c>
      <c r="G34" s="5" t="s">
        <v>26</v>
      </c>
      <c r="H34" s="5" t="s">
        <v>124</v>
      </c>
      <c r="I34" s="8" t="n">
        <v>0.5</v>
      </c>
      <c r="J34" s="5" t="n">
        <v>1</v>
      </c>
      <c r="K34" s="17" t="s">
        <v>125</v>
      </c>
      <c r="L34" s="5" t="s">
        <v>118</v>
      </c>
      <c r="M34" s="17" t="s">
        <v>297</v>
      </c>
    </row>
    <row r="35" customFormat="false" ht="15" hidden="false" customHeight="false" outlineLevel="0" collapsed="false">
      <c r="A35" s="17" t="s">
        <v>325</v>
      </c>
      <c r="B35" s="18" t="n">
        <v>181.5</v>
      </c>
      <c r="C35" s="20" t="s">
        <v>128</v>
      </c>
      <c r="D35" s="8" t="n">
        <v>0</v>
      </c>
      <c r="E35" s="18" t="n">
        <f aca="false">ROUND(B35*D35,1)</f>
        <v>0</v>
      </c>
      <c r="F35" s="18" t="n">
        <f aca="false">B35-E35</f>
        <v>181.5</v>
      </c>
      <c r="G35" s="5" t="s">
        <v>26</v>
      </c>
      <c r="H35" s="5" t="s">
        <v>148</v>
      </c>
      <c r="I35" s="8" t="n">
        <v>0</v>
      </c>
      <c r="J35" s="5" t="n">
        <v>1</v>
      </c>
      <c r="K35" s="17" t="s">
        <v>129</v>
      </c>
      <c r="L35" s="5" t="s">
        <v>118</v>
      </c>
      <c r="M35" s="17" t="s">
        <v>297</v>
      </c>
    </row>
    <row r="36" customFormat="false" ht="15" hidden="false" customHeight="false" outlineLevel="0" collapsed="false">
      <c r="A36" s="17" t="s">
        <v>326</v>
      </c>
      <c r="B36" s="18" t="n">
        <v>156.1</v>
      </c>
      <c r="C36" s="20" t="s">
        <v>128</v>
      </c>
      <c r="D36" s="8" t="n">
        <v>0</v>
      </c>
      <c r="E36" s="18" t="n">
        <f aca="false">ROUND(B36*D36,1)</f>
        <v>0</v>
      </c>
      <c r="F36" s="18" t="n">
        <f aca="false">B36-E36</f>
        <v>156.1</v>
      </c>
      <c r="G36" s="5" t="s">
        <v>26</v>
      </c>
      <c r="H36" s="5" t="s">
        <v>148</v>
      </c>
      <c r="I36" s="8" t="n">
        <v>0</v>
      </c>
      <c r="J36" s="5" t="n">
        <v>1</v>
      </c>
      <c r="K36" s="17" t="s">
        <v>129</v>
      </c>
      <c r="L36" s="5" t="s">
        <v>118</v>
      </c>
      <c r="M36" s="17" t="s">
        <v>297</v>
      </c>
    </row>
    <row r="37" customFormat="false" ht="15" hidden="false" customHeight="false" outlineLevel="0" collapsed="false">
      <c r="A37" s="17" t="s">
        <v>327</v>
      </c>
      <c r="B37" s="18" t="n">
        <v>236.9</v>
      </c>
      <c r="C37" s="20" t="s">
        <v>128</v>
      </c>
      <c r="D37" s="8" t="n">
        <v>0</v>
      </c>
      <c r="E37" s="18" t="n">
        <f aca="false">ROUND(B37*D37,1)</f>
        <v>0</v>
      </c>
      <c r="F37" s="18" t="n">
        <f aca="false">B37-E37</f>
        <v>236.9</v>
      </c>
      <c r="G37" s="5" t="s">
        <v>26</v>
      </c>
      <c r="H37" s="5" t="s">
        <v>148</v>
      </c>
      <c r="I37" s="8" t="n">
        <v>0</v>
      </c>
      <c r="J37" s="5" t="n">
        <v>1</v>
      </c>
      <c r="K37" s="17" t="s">
        <v>129</v>
      </c>
      <c r="L37" s="5" t="s">
        <v>118</v>
      </c>
      <c r="M37" s="17" t="s">
        <v>297</v>
      </c>
    </row>
    <row r="38" customFormat="false" ht="15" hidden="false" customHeight="false" outlineLevel="0" collapsed="false">
      <c r="A38" s="17" t="s">
        <v>328</v>
      </c>
      <c r="B38" s="18" t="n">
        <v>258</v>
      </c>
      <c r="C38" s="20" t="s">
        <v>128</v>
      </c>
      <c r="D38" s="8" t="n">
        <v>0</v>
      </c>
      <c r="E38" s="18" t="n">
        <f aca="false">ROUND(B38*D38,1)</f>
        <v>0</v>
      </c>
      <c r="F38" s="18" t="n">
        <f aca="false">B38-E38</f>
        <v>258</v>
      </c>
      <c r="G38" s="5" t="s">
        <v>26</v>
      </c>
      <c r="H38" s="5" t="s">
        <v>124</v>
      </c>
      <c r="I38" s="8" t="n">
        <v>0.5</v>
      </c>
      <c r="J38" s="5" t="n">
        <v>1</v>
      </c>
      <c r="K38" s="17" t="s">
        <v>129</v>
      </c>
      <c r="L38" s="5" t="s">
        <v>118</v>
      </c>
      <c r="M38" s="17" t="s">
        <v>297</v>
      </c>
    </row>
    <row r="39" customFormat="false" ht="15" hidden="false" customHeight="false" outlineLevel="0" collapsed="false">
      <c r="A39" s="17" t="s">
        <v>278</v>
      </c>
      <c r="B39" s="18" t="n">
        <v>1332.9</v>
      </c>
      <c r="C39" s="19" t="s">
        <v>115</v>
      </c>
      <c r="D39" s="8" t="n">
        <v>1</v>
      </c>
      <c r="E39" s="18" t="n">
        <f aca="false">ROUND(B39*D39,1)</f>
        <v>1332.9</v>
      </c>
      <c r="F39" s="18" t="n">
        <f aca="false">B39-E39</f>
        <v>0</v>
      </c>
      <c r="G39" s="5" t="s">
        <v>26</v>
      </c>
      <c r="H39" s="5" t="s">
        <v>124</v>
      </c>
      <c r="I39" s="8" t="n">
        <v>0.5</v>
      </c>
      <c r="J39" s="5" t="n">
        <v>4</v>
      </c>
      <c r="K39" s="17" t="s">
        <v>329</v>
      </c>
      <c r="L39" s="5" t="s">
        <v>118</v>
      </c>
      <c r="M39" s="17" t="s">
        <v>330</v>
      </c>
    </row>
    <row r="40" customFormat="false" ht="15" hidden="false" customHeight="false" outlineLevel="0" collapsed="false">
      <c r="A40" s="17" t="s">
        <v>331</v>
      </c>
      <c r="B40" s="18" t="n">
        <v>475.5</v>
      </c>
      <c r="C40" s="20" t="s">
        <v>128</v>
      </c>
      <c r="D40" s="8" t="n">
        <v>0</v>
      </c>
      <c r="E40" s="18" t="n">
        <f aca="false">ROUND(B40*D40,1)</f>
        <v>0</v>
      </c>
      <c r="F40" s="18" t="n">
        <f aca="false">B40-E40</f>
        <v>475.5</v>
      </c>
      <c r="G40" s="5" t="s">
        <v>30</v>
      </c>
      <c r="H40" s="5" t="s">
        <v>124</v>
      </c>
      <c r="I40" s="8" t="n">
        <v>0.5</v>
      </c>
      <c r="J40" s="5" t="n">
        <v>1</v>
      </c>
      <c r="K40" s="17" t="s">
        <v>129</v>
      </c>
      <c r="L40" s="5" t="s">
        <v>118</v>
      </c>
      <c r="M40" s="17" t="s">
        <v>297</v>
      </c>
    </row>
    <row r="41" customFormat="false" ht="15" hidden="false" customHeight="false" outlineLevel="0" collapsed="false">
      <c r="A41" s="17" t="s">
        <v>332</v>
      </c>
      <c r="B41" s="18" t="n">
        <v>64.3</v>
      </c>
      <c r="C41" s="20" t="s">
        <v>128</v>
      </c>
      <c r="D41" s="8" t="n">
        <v>0</v>
      </c>
      <c r="E41" s="18" t="n">
        <f aca="false">ROUND(B41*D41,1)</f>
        <v>0</v>
      </c>
      <c r="F41" s="18" t="n">
        <f aca="false">B41-E41</f>
        <v>64.3</v>
      </c>
      <c r="G41" s="5" t="s">
        <v>26</v>
      </c>
      <c r="H41" s="5" t="s">
        <v>148</v>
      </c>
      <c r="I41" s="8" t="n">
        <v>0</v>
      </c>
      <c r="J41" s="5" t="n">
        <v>1</v>
      </c>
      <c r="K41" s="17" t="s">
        <v>129</v>
      </c>
      <c r="L41" s="5" t="s">
        <v>118</v>
      </c>
      <c r="M41" s="17" t="s">
        <v>297</v>
      </c>
    </row>
    <row r="42" customFormat="false" ht="15" hidden="false" customHeight="false" outlineLevel="0" collapsed="false">
      <c r="A42" s="17" t="s">
        <v>333</v>
      </c>
      <c r="B42" s="18" t="n">
        <v>61.8</v>
      </c>
      <c r="C42" s="20" t="s">
        <v>128</v>
      </c>
      <c r="D42" s="8" t="n">
        <v>0</v>
      </c>
      <c r="E42" s="18" t="n">
        <f aca="false">ROUND(B42*D42,1)</f>
        <v>0</v>
      </c>
      <c r="F42" s="18" t="n">
        <f aca="false">B42-E42</f>
        <v>61.8</v>
      </c>
      <c r="G42" s="5" t="s">
        <v>26</v>
      </c>
      <c r="H42" s="5" t="s">
        <v>148</v>
      </c>
      <c r="I42" s="8" t="n">
        <v>0</v>
      </c>
      <c r="J42" s="5" t="n">
        <v>1</v>
      </c>
      <c r="K42" s="17" t="s">
        <v>149</v>
      </c>
      <c r="L42" s="5" t="s">
        <v>118</v>
      </c>
      <c r="M42" s="17" t="s">
        <v>297</v>
      </c>
    </row>
    <row r="43" customFormat="false" ht="15" hidden="false" customHeight="false" outlineLevel="0" collapsed="false">
      <c r="A43" s="17" t="s">
        <v>334</v>
      </c>
      <c r="B43" s="18" t="n">
        <v>183.8</v>
      </c>
      <c r="C43" s="20" t="s">
        <v>128</v>
      </c>
      <c r="D43" s="8" t="n">
        <v>0</v>
      </c>
      <c r="E43" s="18" t="n">
        <f aca="false">ROUND(B43*D43,1)</f>
        <v>0</v>
      </c>
      <c r="F43" s="18" t="n">
        <f aca="false">B43-E43</f>
        <v>183.8</v>
      </c>
      <c r="G43" s="5" t="s">
        <v>26</v>
      </c>
      <c r="H43" s="5" t="s">
        <v>148</v>
      </c>
      <c r="I43" s="8" t="n">
        <v>0</v>
      </c>
      <c r="J43" s="5" t="n">
        <v>1</v>
      </c>
      <c r="K43" s="17" t="s">
        <v>129</v>
      </c>
      <c r="L43" s="5" t="s">
        <v>118</v>
      </c>
      <c r="M43" s="17" t="s">
        <v>297</v>
      </c>
    </row>
    <row r="44" customFormat="false" ht="32.8" hidden="false" customHeight="false" outlineLevel="0" collapsed="false">
      <c r="A44" s="17" t="s">
        <v>254</v>
      </c>
      <c r="B44" s="18" t="n">
        <v>822.4</v>
      </c>
      <c r="C44" s="20" t="s">
        <v>128</v>
      </c>
      <c r="D44" s="8" t="n">
        <v>0</v>
      </c>
      <c r="E44" s="18" t="n">
        <f aca="false">ROUND(B44*D44,1)</f>
        <v>0</v>
      </c>
      <c r="F44" s="18" t="n">
        <f aca="false">B44-E44</f>
        <v>822.4</v>
      </c>
      <c r="G44" s="5" t="s">
        <v>26</v>
      </c>
      <c r="H44" s="5" t="s">
        <v>124</v>
      </c>
      <c r="I44" s="8" t="n">
        <v>0.5</v>
      </c>
      <c r="J44" s="5" t="n">
        <v>2</v>
      </c>
      <c r="K44" s="17" t="s">
        <v>264</v>
      </c>
      <c r="L44" s="5" t="s">
        <v>118</v>
      </c>
      <c r="M44" s="17" t="s">
        <v>335</v>
      </c>
    </row>
    <row r="45" customFormat="false" ht="22.35" hidden="false" customHeight="false" outlineLevel="0" collapsed="false">
      <c r="A45" s="17" t="s">
        <v>336</v>
      </c>
      <c r="B45" s="18" t="n">
        <v>479.6</v>
      </c>
      <c r="C45" s="19" t="s">
        <v>115</v>
      </c>
      <c r="D45" s="8" t="n">
        <v>1</v>
      </c>
      <c r="E45" s="18" t="n">
        <f aca="false">ROUND(B45*D45,1)</f>
        <v>479.6</v>
      </c>
      <c r="F45" s="18" t="n">
        <f aca="false">B45-E45</f>
        <v>0</v>
      </c>
      <c r="G45" s="5" t="s">
        <v>30</v>
      </c>
      <c r="H45" s="5" t="s">
        <v>116</v>
      </c>
      <c r="I45" s="8" t="n">
        <v>1</v>
      </c>
      <c r="J45" s="5" t="n">
        <v>1</v>
      </c>
      <c r="K45" s="17" t="s">
        <v>261</v>
      </c>
      <c r="L45" s="5" t="s">
        <v>118</v>
      </c>
      <c r="M45" s="17" t="s">
        <v>337</v>
      </c>
    </row>
    <row r="46" customFormat="false" ht="15" hidden="false" customHeight="false" outlineLevel="0" collapsed="false">
      <c r="A46" s="9" t="s">
        <v>163</v>
      </c>
      <c r="B46" s="10" t="n">
        <f aca="false">SUM(B6:B45)</f>
        <v>12416.1</v>
      </c>
      <c r="C46" s="9"/>
      <c r="D46" s="11" t="n">
        <f aca="false">IF(B46=0,0,E46/B46)</f>
        <v>0.216758885640419</v>
      </c>
      <c r="E46" s="10" t="n">
        <f aca="false">SUM(E6:E45)</f>
        <v>2691.3</v>
      </c>
      <c r="F46" s="10" t="n">
        <f aca="false">SUM(F6:F45)</f>
        <v>9724.8</v>
      </c>
      <c r="G46" s="9"/>
      <c r="H46" s="9"/>
      <c r="I46" s="9"/>
      <c r="J46" s="9"/>
      <c r="K46" s="9"/>
      <c r="L46" s="9"/>
      <c r="M46" s="9"/>
    </row>
    <row r="48" customFormat="false" ht="15" hidden="false" customHeight="false" outlineLevel="0" collapsed="false">
      <c r="A48" s="12" t="s">
        <v>164</v>
      </c>
      <c r="D48" s="22" t="n">
        <f aca="false">F46*8</f>
        <v>77798.4</v>
      </c>
      <c r="E48" s="16" t="s">
        <v>165</v>
      </c>
    </row>
    <row r="49" customFormat="false" ht="15" hidden="false" customHeight="false" outlineLevel="0" collapsed="false">
      <c r="A49" s="12" t="s">
        <v>166</v>
      </c>
      <c r="D49" s="23" t="n">
        <v>0</v>
      </c>
      <c r="E49" s="16" t="s">
        <v>167</v>
      </c>
    </row>
    <row r="50" customFormat="false" ht="15" hidden="false" customHeight="false" outlineLevel="0" collapsed="false">
      <c r="A50" s="12" t="s">
        <v>168</v>
      </c>
      <c r="D50" s="24" t="n">
        <v>0.27</v>
      </c>
      <c r="E50" s="16" t="s">
        <v>338</v>
      </c>
    </row>
    <row r="51" customFormat="false" ht="15" hidden="false" customHeight="false" outlineLevel="0" collapsed="false">
      <c r="A51" s="12" t="s">
        <v>170</v>
      </c>
      <c r="D51" s="22" t="n">
        <f aca="false">(B46-D49)*(1-D50)</f>
        <v>9063.753</v>
      </c>
      <c r="E51" s="16" t="s">
        <v>171</v>
      </c>
    </row>
    <row r="52" customFormat="false" ht="15" hidden="false" customHeight="false" outlineLevel="0" collapsed="false">
      <c r="A52" s="12" t="s">
        <v>172</v>
      </c>
      <c r="D52" s="22" t="n">
        <f aca="false">D51*4</f>
        <v>36255.012</v>
      </c>
      <c r="E52" s="16" t="s">
        <v>173</v>
      </c>
    </row>
    <row r="53" customFormat="false" ht="15" hidden="false" customHeight="false" outlineLevel="0" collapsed="false">
      <c r="A53" s="12" t="s">
        <v>174</v>
      </c>
      <c r="D53" s="23" t="n">
        <v>2691</v>
      </c>
    </row>
    <row r="54" customFormat="false" ht="15" hidden="false" customHeight="false" outlineLevel="0" collapsed="false">
      <c r="A54" s="12" t="s">
        <v>175</v>
      </c>
      <c r="D54" s="23" t="n">
        <v>0</v>
      </c>
      <c r="E54" s="16" t="s">
        <v>176</v>
      </c>
    </row>
    <row r="55" customFormat="false" ht="15" hidden="false" customHeight="false" outlineLevel="0" collapsed="false">
      <c r="A55" s="12" t="s">
        <v>177</v>
      </c>
      <c r="D55" s="23" t="n">
        <v>9725</v>
      </c>
    </row>
    <row r="56" customFormat="false" ht="15" hidden="false" customHeight="false" outlineLevel="0" collapsed="false">
      <c r="A56" s="12" t="s">
        <v>178</v>
      </c>
      <c r="D56" s="23" t="n">
        <v>0</v>
      </c>
      <c r="E56" s="16" t="s">
        <v>179</v>
      </c>
    </row>
    <row r="57" customFormat="false" ht="15" hidden="false" customHeight="true" outlineLevel="0" collapsed="false">
      <c r="A57" s="25" t="s">
        <v>339</v>
      </c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</row>
  </sheetData>
  <mergeCells count="1">
    <mergeCell ref="A57:M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10" min="9" style="0" width="9"/>
    <col collapsed="false" customWidth="true" hidden="false" outlineLevel="0" max="11" min="11" style="0" width="46"/>
    <col collapsed="false" customWidth="true" hidden="false" outlineLevel="0" max="12" min="12" style="0" width="17"/>
    <col collapsed="false" customWidth="true" hidden="false" outlineLevel="0" max="13" min="13" style="0" width="54"/>
  </cols>
  <sheetData>
    <row r="1" customFormat="false" ht="16.15" hidden="false" customHeight="false" outlineLevel="0" collapsed="false">
      <c r="A1" s="14" t="s">
        <v>340</v>
      </c>
    </row>
    <row r="2" customFormat="false" ht="15" hidden="false" customHeight="false" outlineLevel="0" collapsed="false">
      <c r="A2" s="15" t="s">
        <v>341</v>
      </c>
    </row>
    <row r="3" customFormat="false" ht="15" hidden="false" customHeight="false" outlineLevel="0" collapsed="false">
      <c r="A3" s="16" t="s">
        <v>342</v>
      </c>
    </row>
    <row r="5" customFormat="false" ht="22.35" hidden="false" customHeight="false" outlineLevel="0" collapsed="false">
      <c r="A5" s="4" t="s">
        <v>102</v>
      </c>
      <c r="B5" s="4" t="s">
        <v>103</v>
      </c>
      <c r="C5" s="4" t="s">
        <v>104</v>
      </c>
      <c r="D5" s="4" t="s">
        <v>105</v>
      </c>
      <c r="E5" s="4" t="s">
        <v>106</v>
      </c>
      <c r="F5" s="4" t="s">
        <v>107</v>
      </c>
      <c r="G5" s="4" t="s">
        <v>108</v>
      </c>
      <c r="H5" s="4" t="s">
        <v>109</v>
      </c>
      <c r="I5" s="4" t="s">
        <v>110</v>
      </c>
      <c r="J5" s="4" t="s">
        <v>16</v>
      </c>
      <c r="K5" s="4" t="s">
        <v>111</v>
      </c>
      <c r="L5" s="4" t="s">
        <v>112</v>
      </c>
      <c r="M5" s="4" t="s">
        <v>113</v>
      </c>
    </row>
    <row r="6" customFormat="false" ht="15" hidden="false" customHeight="false" outlineLevel="0" collapsed="false">
      <c r="A6" s="17" t="s">
        <v>296</v>
      </c>
      <c r="B6" s="18" t="n">
        <v>156.6</v>
      </c>
      <c r="C6" s="19" t="s">
        <v>115</v>
      </c>
      <c r="D6" s="8" t="n">
        <v>1</v>
      </c>
      <c r="E6" s="18" t="n">
        <f aca="false">ROUND(B6*D6,1)</f>
        <v>156.6</v>
      </c>
      <c r="F6" s="18" t="n">
        <f aca="false">B6-E6</f>
        <v>0</v>
      </c>
      <c r="G6" s="5" t="s">
        <v>26</v>
      </c>
      <c r="H6" s="5" t="s">
        <v>116</v>
      </c>
      <c r="I6" s="8" t="n">
        <v>1</v>
      </c>
      <c r="J6" s="5" t="n">
        <v>1</v>
      </c>
      <c r="K6" s="17" t="s">
        <v>125</v>
      </c>
      <c r="L6" s="5" t="s">
        <v>118</v>
      </c>
      <c r="M6" s="17" t="s">
        <v>343</v>
      </c>
    </row>
    <row r="7" customFormat="false" ht="15" hidden="false" customHeight="false" outlineLevel="0" collapsed="false">
      <c r="A7" s="17" t="s">
        <v>299</v>
      </c>
      <c r="B7" s="18" t="n">
        <v>156.6</v>
      </c>
      <c r="C7" s="20" t="s">
        <v>128</v>
      </c>
      <c r="D7" s="8" t="n">
        <v>0</v>
      </c>
      <c r="E7" s="18" t="n">
        <f aca="false">ROUND(B7*D7,1)</f>
        <v>0</v>
      </c>
      <c r="F7" s="18" t="n">
        <f aca="false">B7-E7</f>
        <v>156.6</v>
      </c>
      <c r="G7" s="5" t="s">
        <v>26</v>
      </c>
      <c r="H7" s="5" t="s">
        <v>148</v>
      </c>
      <c r="I7" s="8" t="n">
        <v>0</v>
      </c>
      <c r="J7" s="5" t="n">
        <v>1</v>
      </c>
      <c r="K7" s="17" t="s">
        <v>129</v>
      </c>
      <c r="L7" s="5" t="s">
        <v>118</v>
      </c>
      <c r="M7" s="17" t="s">
        <v>343</v>
      </c>
    </row>
    <row r="8" customFormat="false" ht="15" hidden="false" customHeight="false" outlineLevel="0" collapsed="false">
      <c r="A8" s="17" t="s">
        <v>302</v>
      </c>
      <c r="B8" s="18" t="n">
        <v>156.6</v>
      </c>
      <c r="C8" s="20" t="s">
        <v>128</v>
      </c>
      <c r="D8" s="8" t="n">
        <v>0</v>
      </c>
      <c r="E8" s="18" t="n">
        <f aca="false">ROUND(B8*D8,1)</f>
        <v>0</v>
      </c>
      <c r="F8" s="18" t="n">
        <f aca="false">B8-E8</f>
        <v>156.6</v>
      </c>
      <c r="G8" s="5" t="s">
        <v>26</v>
      </c>
      <c r="H8" s="5" t="s">
        <v>148</v>
      </c>
      <c r="I8" s="8" t="n">
        <v>0</v>
      </c>
      <c r="J8" s="5" t="n">
        <v>1</v>
      </c>
      <c r="K8" s="17" t="s">
        <v>129</v>
      </c>
      <c r="L8" s="5" t="s">
        <v>118</v>
      </c>
      <c r="M8" s="17" t="s">
        <v>343</v>
      </c>
    </row>
    <row r="9" customFormat="false" ht="15" hidden="false" customHeight="false" outlineLevel="0" collapsed="false">
      <c r="A9" s="17" t="s">
        <v>304</v>
      </c>
      <c r="B9" s="18" t="n">
        <v>154.7</v>
      </c>
      <c r="C9" s="20" t="s">
        <v>128</v>
      </c>
      <c r="D9" s="8" t="n">
        <v>0</v>
      </c>
      <c r="E9" s="18" t="n">
        <f aca="false">ROUND(B9*D9,1)</f>
        <v>0</v>
      </c>
      <c r="F9" s="18" t="n">
        <f aca="false">B9-E9</f>
        <v>154.7</v>
      </c>
      <c r="G9" s="5" t="s">
        <v>26</v>
      </c>
      <c r="H9" s="5" t="s">
        <v>148</v>
      </c>
      <c r="I9" s="8" t="n">
        <v>0</v>
      </c>
      <c r="J9" s="5" t="n">
        <v>1</v>
      </c>
      <c r="K9" s="17" t="s">
        <v>129</v>
      </c>
      <c r="L9" s="5" t="s">
        <v>118</v>
      </c>
      <c r="M9" s="17" t="s">
        <v>343</v>
      </c>
    </row>
    <row r="10" customFormat="false" ht="15" hidden="false" customHeight="false" outlineLevel="0" collapsed="false">
      <c r="A10" s="17" t="s">
        <v>306</v>
      </c>
      <c r="B10" s="18" t="n">
        <v>155.7</v>
      </c>
      <c r="C10" s="20" t="s">
        <v>128</v>
      </c>
      <c r="D10" s="8" t="n">
        <v>0</v>
      </c>
      <c r="E10" s="18" t="n">
        <f aca="false">ROUND(B10*D10,1)</f>
        <v>0</v>
      </c>
      <c r="F10" s="18" t="n">
        <f aca="false">B10-E10</f>
        <v>155.7</v>
      </c>
      <c r="G10" s="5" t="s">
        <v>26</v>
      </c>
      <c r="H10" s="5" t="s">
        <v>148</v>
      </c>
      <c r="I10" s="8" t="n">
        <v>0</v>
      </c>
      <c r="J10" s="5" t="n">
        <v>1</v>
      </c>
      <c r="K10" s="17" t="s">
        <v>129</v>
      </c>
      <c r="L10" s="5" t="s">
        <v>118</v>
      </c>
      <c r="M10" s="17" t="s">
        <v>343</v>
      </c>
    </row>
    <row r="11" customFormat="false" ht="15" hidden="false" customHeight="false" outlineLevel="0" collapsed="false">
      <c r="A11" s="17" t="s">
        <v>310</v>
      </c>
      <c r="B11" s="18" t="n">
        <v>156.6</v>
      </c>
      <c r="C11" s="19" t="s">
        <v>115</v>
      </c>
      <c r="D11" s="8" t="n">
        <v>1</v>
      </c>
      <c r="E11" s="18" t="n">
        <f aca="false">ROUND(B11*D11,1)</f>
        <v>156.6</v>
      </c>
      <c r="F11" s="18" t="n">
        <f aca="false">B11-E11</f>
        <v>0</v>
      </c>
      <c r="G11" s="5" t="s">
        <v>26</v>
      </c>
      <c r="H11" s="5" t="s">
        <v>148</v>
      </c>
      <c r="I11" s="8" t="n">
        <v>0</v>
      </c>
      <c r="J11" s="5" t="n">
        <v>1</v>
      </c>
      <c r="K11" s="17" t="s">
        <v>125</v>
      </c>
      <c r="L11" s="5" t="s">
        <v>118</v>
      </c>
      <c r="M11" s="17" t="s">
        <v>343</v>
      </c>
    </row>
    <row r="12" customFormat="false" ht="15" hidden="false" customHeight="false" outlineLevel="0" collapsed="false">
      <c r="A12" s="17" t="s">
        <v>344</v>
      </c>
      <c r="B12" s="18" t="n">
        <v>917.1</v>
      </c>
      <c r="C12" s="20" t="s">
        <v>128</v>
      </c>
      <c r="D12" s="8" t="n">
        <v>0</v>
      </c>
      <c r="E12" s="18" t="n">
        <f aca="false">ROUND(B12*D12,1)</f>
        <v>0</v>
      </c>
      <c r="F12" s="18" t="n">
        <f aca="false">B12-E12</f>
        <v>917.1</v>
      </c>
      <c r="G12" s="5" t="s">
        <v>26</v>
      </c>
      <c r="H12" s="5" t="s">
        <v>148</v>
      </c>
      <c r="I12" s="8" t="n">
        <v>0</v>
      </c>
      <c r="J12" s="5" t="n">
        <v>3</v>
      </c>
      <c r="K12" s="17" t="s">
        <v>249</v>
      </c>
      <c r="L12" s="5" t="s">
        <v>118</v>
      </c>
      <c r="M12" s="17" t="s">
        <v>343</v>
      </c>
    </row>
    <row r="13" customFormat="false" ht="15" hidden="false" customHeight="false" outlineLevel="0" collapsed="false">
      <c r="A13" s="17" t="s">
        <v>153</v>
      </c>
      <c r="B13" s="18" t="n">
        <v>783</v>
      </c>
      <c r="C13" s="20" t="s">
        <v>128</v>
      </c>
      <c r="D13" s="8" t="n">
        <v>0</v>
      </c>
      <c r="E13" s="18" t="n">
        <f aca="false">ROUND(B13*D13,1)</f>
        <v>0</v>
      </c>
      <c r="F13" s="18" t="n">
        <f aca="false">B13-E13</f>
        <v>783</v>
      </c>
      <c r="G13" s="5" t="s">
        <v>26</v>
      </c>
      <c r="H13" s="5" t="s">
        <v>124</v>
      </c>
      <c r="I13" s="8" t="n">
        <v>0.25</v>
      </c>
      <c r="J13" s="5" t="n">
        <v>2</v>
      </c>
      <c r="K13" s="17" t="s">
        <v>258</v>
      </c>
      <c r="L13" s="5" t="s">
        <v>118</v>
      </c>
      <c r="M13" s="17" t="s">
        <v>343</v>
      </c>
    </row>
    <row r="14" customFormat="false" ht="15" hidden="false" customHeight="false" outlineLevel="0" collapsed="false">
      <c r="A14" s="17" t="s">
        <v>131</v>
      </c>
      <c r="B14" s="18" t="n">
        <v>723.3</v>
      </c>
      <c r="C14" s="20" t="s">
        <v>128</v>
      </c>
      <c r="D14" s="8" t="n">
        <v>0</v>
      </c>
      <c r="E14" s="18" t="n">
        <f aca="false">ROUND(B14*D14,1)</f>
        <v>0</v>
      </c>
      <c r="F14" s="18" t="n">
        <f aca="false">B14-E14</f>
        <v>723.3</v>
      </c>
      <c r="G14" s="5" t="s">
        <v>26</v>
      </c>
      <c r="H14" s="5" t="s">
        <v>148</v>
      </c>
      <c r="I14" s="8" t="n">
        <v>0</v>
      </c>
      <c r="J14" s="5" t="n">
        <v>2</v>
      </c>
      <c r="K14" s="17" t="s">
        <v>315</v>
      </c>
      <c r="L14" s="5" t="s">
        <v>118</v>
      </c>
      <c r="M14" s="17" t="s">
        <v>343</v>
      </c>
    </row>
    <row r="15" customFormat="false" ht="22.35" hidden="false" customHeight="false" outlineLevel="0" collapsed="false">
      <c r="A15" s="17" t="s">
        <v>142</v>
      </c>
      <c r="B15" s="18" t="n">
        <v>1935.5</v>
      </c>
      <c r="C15" s="21" t="s">
        <v>124</v>
      </c>
      <c r="D15" s="8" t="n">
        <v>0.74</v>
      </c>
      <c r="E15" s="18" t="n">
        <f aca="false">ROUND(B15*D15,1)</f>
        <v>1432.3</v>
      </c>
      <c r="F15" s="18" t="n">
        <f aca="false">B15-E15</f>
        <v>503.2</v>
      </c>
      <c r="G15" s="5" t="s">
        <v>26</v>
      </c>
      <c r="H15" s="5" t="s">
        <v>124</v>
      </c>
      <c r="I15" s="8" t="n">
        <v>0.38</v>
      </c>
      <c r="J15" s="5" t="n">
        <v>13</v>
      </c>
      <c r="K15" s="17" t="s">
        <v>345</v>
      </c>
      <c r="L15" s="5" t="s">
        <v>118</v>
      </c>
      <c r="M15" s="17" t="s">
        <v>346</v>
      </c>
    </row>
    <row r="16" customFormat="false" ht="32.8" hidden="false" customHeight="false" outlineLevel="0" collapsed="false">
      <c r="A16" s="17" t="s">
        <v>254</v>
      </c>
      <c r="B16" s="18" t="n">
        <v>555.1</v>
      </c>
      <c r="C16" s="19" t="s">
        <v>115</v>
      </c>
      <c r="D16" s="8" t="n">
        <v>1</v>
      </c>
      <c r="E16" s="18" t="n">
        <f aca="false">ROUND(B16*D16,1)</f>
        <v>555.1</v>
      </c>
      <c r="F16" s="18" t="n">
        <f aca="false">B16-E16</f>
        <v>0</v>
      </c>
      <c r="G16" s="5" t="s">
        <v>26</v>
      </c>
      <c r="H16" s="5" t="s">
        <v>124</v>
      </c>
      <c r="I16" s="8" t="n">
        <v>0.5</v>
      </c>
      <c r="J16" s="5" t="n">
        <v>3</v>
      </c>
      <c r="K16" s="17" t="s">
        <v>281</v>
      </c>
      <c r="L16" s="5" t="s">
        <v>118</v>
      </c>
      <c r="M16" s="17" t="s">
        <v>347</v>
      </c>
    </row>
    <row r="17" customFormat="false" ht="32.8" hidden="false" customHeight="false" outlineLevel="0" collapsed="false">
      <c r="A17" s="17" t="s">
        <v>313</v>
      </c>
      <c r="B17" s="18" t="n">
        <v>526.6</v>
      </c>
      <c r="C17" s="20" t="s">
        <v>128</v>
      </c>
      <c r="D17" s="8" t="n">
        <v>0</v>
      </c>
      <c r="E17" s="18" t="n">
        <f aca="false">ROUND(B17*D17,1)</f>
        <v>0</v>
      </c>
      <c r="F17" s="18" t="n">
        <f aca="false">B17-E17</f>
        <v>526.6</v>
      </c>
      <c r="G17" s="5" t="s">
        <v>30</v>
      </c>
      <c r="H17" s="5" t="s">
        <v>188</v>
      </c>
      <c r="I17" s="8" t="s">
        <v>189</v>
      </c>
      <c r="J17" s="5" t="n">
        <v>0</v>
      </c>
      <c r="K17" s="17" t="s">
        <v>348</v>
      </c>
      <c r="L17" s="5" t="s">
        <v>118</v>
      </c>
      <c r="M17" s="17" t="s">
        <v>343</v>
      </c>
    </row>
    <row r="18" customFormat="false" ht="15" hidden="false" customHeight="false" outlineLevel="0" collapsed="false">
      <c r="A18" s="17" t="s">
        <v>267</v>
      </c>
      <c r="B18" s="18" t="n">
        <v>722</v>
      </c>
      <c r="C18" s="20" t="s">
        <v>128</v>
      </c>
      <c r="D18" s="8" t="n">
        <v>0</v>
      </c>
      <c r="E18" s="18" t="n">
        <f aca="false">ROUND(B18*D18,1)</f>
        <v>0</v>
      </c>
      <c r="F18" s="18" t="n">
        <f aca="false">B18-E18</f>
        <v>722</v>
      </c>
      <c r="G18" s="5" t="s">
        <v>26</v>
      </c>
      <c r="H18" s="5" t="s">
        <v>148</v>
      </c>
      <c r="I18" s="8" t="n">
        <v>0</v>
      </c>
      <c r="J18" s="5" t="n">
        <v>2</v>
      </c>
      <c r="K18" s="17" t="s">
        <v>258</v>
      </c>
      <c r="L18" s="5" t="s">
        <v>118</v>
      </c>
      <c r="M18" s="17" t="s">
        <v>343</v>
      </c>
    </row>
    <row r="19" customFormat="false" ht="15" hidden="false" customHeight="false" outlineLevel="0" collapsed="false">
      <c r="A19" s="17" t="s">
        <v>314</v>
      </c>
      <c r="B19" s="18" t="n">
        <v>155.7</v>
      </c>
      <c r="C19" s="20" t="s">
        <v>128</v>
      </c>
      <c r="D19" s="8" t="n">
        <v>0</v>
      </c>
      <c r="E19" s="18" t="n">
        <f aca="false">ROUND(B19*D19,1)</f>
        <v>0</v>
      </c>
      <c r="F19" s="18" t="n">
        <f aca="false">B19-E19</f>
        <v>155.7</v>
      </c>
      <c r="G19" s="5" t="s">
        <v>26</v>
      </c>
      <c r="H19" s="5" t="s">
        <v>124</v>
      </c>
      <c r="I19" s="8" t="n">
        <v>0.5</v>
      </c>
      <c r="J19" s="5" t="n">
        <v>1</v>
      </c>
      <c r="K19" s="17" t="s">
        <v>129</v>
      </c>
      <c r="L19" s="5" t="s">
        <v>118</v>
      </c>
      <c r="M19" s="17" t="s">
        <v>343</v>
      </c>
    </row>
    <row r="20" customFormat="false" ht="15" hidden="false" customHeight="false" outlineLevel="0" collapsed="false">
      <c r="A20" s="17" t="s">
        <v>285</v>
      </c>
      <c r="B20" s="18" t="n">
        <v>820.7</v>
      </c>
      <c r="C20" s="20" t="s">
        <v>128</v>
      </c>
      <c r="D20" s="8" t="n">
        <v>0</v>
      </c>
      <c r="E20" s="18" t="n">
        <f aca="false">ROUND(B20*D20,1)</f>
        <v>0</v>
      </c>
      <c r="F20" s="18" t="n">
        <f aca="false">B20-E20</f>
        <v>820.7</v>
      </c>
      <c r="G20" s="5" t="s">
        <v>26</v>
      </c>
      <c r="H20" s="5" t="s">
        <v>148</v>
      </c>
      <c r="I20" s="8" t="n">
        <v>0</v>
      </c>
      <c r="J20" s="5" t="n">
        <v>2</v>
      </c>
      <c r="K20" s="17" t="s">
        <v>264</v>
      </c>
      <c r="L20" s="5" t="s">
        <v>118</v>
      </c>
      <c r="M20" s="17" t="s">
        <v>343</v>
      </c>
    </row>
    <row r="21" customFormat="false" ht="15" hidden="false" customHeight="false" outlineLevel="0" collapsed="false">
      <c r="A21" s="17" t="s">
        <v>316</v>
      </c>
      <c r="B21" s="18" t="n">
        <v>157.5</v>
      </c>
      <c r="C21" s="20" t="s">
        <v>128</v>
      </c>
      <c r="D21" s="8" t="n">
        <v>0</v>
      </c>
      <c r="E21" s="18" t="n">
        <f aca="false">ROUND(B21*D21,1)</f>
        <v>0</v>
      </c>
      <c r="F21" s="18" t="n">
        <f aca="false">B21-E21</f>
        <v>157.5</v>
      </c>
      <c r="G21" s="5" t="s">
        <v>26</v>
      </c>
      <c r="H21" s="5" t="s">
        <v>148</v>
      </c>
      <c r="I21" s="8" t="n">
        <v>0</v>
      </c>
      <c r="J21" s="5" t="n">
        <v>1</v>
      </c>
      <c r="K21" s="17" t="s">
        <v>129</v>
      </c>
      <c r="L21" s="5" t="s">
        <v>118</v>
      </c>
      <c r="M21" s="17" t="s">
        <v>343</v>
      </c>
    </row>
    <row r="22" customFormat="false" ht="15" hidden="false" customHeight="false" outlineLevel="0" collapsed="false">
      <c r="A22" s="17" t="s">
        <v>349</v>
      </c>
      <c r="B22" s="18" t="n">
        <v>337.3</v>
      </c>
      <c r="C22" s="19" t="s">
        <v>115</v>
      </c>
      <c r="D22" s="8" t="n">
        <v>1</v>
      </c>
      <c r="E22" s="18" t="n">
        <f aca="false">ROUND(B22*D22,1)</f>
        <v>337.3</v>
      </c>
      <c r="F22" s="18" t="n">
        <f aca="false">B22-E22</f>
        <v>0</v>
      </c>
      <c r="G22" s="5" t="s">
        <v>26</v>
      </c>
      <c r="H22" s="5" t="s">
        <v>148</v>
      </c>
      <c r="I22" s="8" t="n">
        <v>0</v>
      </c>
      <c r="J22" s="5" t="n">
        <v>1</v>
      </c>
      <c r="K22" s="17" t="s">
        <v>125</v>
      </c>
      <c r="L22" s="5" t="s">
        <v>118</v>
      </c>
      <c r="M22" s="17" t="s">
        <v>343</v>
      </c>
    </row>
    <row r="23" customFormat="false" ht="15" hidden="false" customHeight="false" outlineLevel="0" collapsed="false">
      <c r="A23" s="17" t="s">
        <v>350</v>
      </c>
      <c r="B23" s="18" t="n">
        <v>432</v>
      </c>
      <c r="C23" s="20" t="s">
        <v>128</v>
      </c>
      <c r="D23" s="8" t="n">
        <v>0</v>
      </c>
      <c r="E23" s="18" t="n">
        <f aca="false">ROUND(B23*D23,1)</f>
        <v>0</v>
      </c>
      <c r="F23" s="18" t="n">
        <f aca="false">B23-E23</f>
        <v>432</v>
      </c>
      <c r="G23" s="5" t="s">
        <v>26</v>
      </c>
      <c r="H23" s="5" t="s">
        <v>148</v>
      </c>
      <c r="I23" s="8" t="n">
        <v>0</v>
      </c>
      <c r="J23" s="5" t="n">
        <v>1</v>
      </c>
      <c r="K23" s="17" t="s">
        <v>129</v>
      </c>
      <c r="L23" s="5" t="s">
        <v>118</v>
      </c>
      <c r="M23" s="17" t="s">
        <v>343</v>
      </c>
    </row>
    <row r="24" customFormat="false" ht="15" hidden="false" customHeight="false" outlineLevel="0" collapsed="false">
      <c r="A24" s="17" t="s">
        <v>317</v>
      </c>
      <c r="B24" s="18" t="n">
        <v>196.1</v>
      </c>
      <c r="C24" s="19" t="s">
        <v>115</v>
      </c>
      <c r="D24" s="8" t="n">
        <v>1</v>
      </c>
      <c r="E24" s="18" t="n">
        <f aca="false">ROUND(B24*D24,1)</f>
        <v>196.1</v>
      </c>
      <c r="F24" s="18" t="n">
        <f aca="false">B24-E24</f>
        <v>0</v>
      </c>
      <c r="G24" s="5" t="s">
        <v>26</v>
      </c>
      <c r="H24" s="5" t="s">
        <v>148</v>
      </c>
      <c r="I24" s="8" t="n">
        <v>0</v>
      </c>
      <c r="J24" s="5" t="n">
        <v>1</v>
      </c>
      <c r="K24" s="17" t="s">
        <v>125</v>
      </c>
      <c r="L24" s="5" t="s">
        <v>118</v>
      </c>
      <c r="M24" s="17" t="s">
        <v>343</v>
      </c>
    </row>
    <row r="25" customFormat="false" ht="15" hidden="false" customHeight="false" outlineLevel="0" collapsed="false">
      <c r="A25" s="17" t="s">
        <v>259</v>
      </c>
      <c r="B25" s="18" t="n">
        <v>375</v>
      </c>
      <c r="C25" s="20" t="s">
        <v>128</v>
      </c>
      <c r="D25" s="8" t="n">
        <v>0</v>
      </c>
      <c r="E25" s="18" t="n">
        <f aca="false">ROUND(B25*D25,1)</f>
        <v>0</v>
      </c>
      <c r="F25" s="18" t="n">
        <f aca="false">B25-E25</f>
        <v>375</v>
      </c>
      <c r="G25" s="5" t="s">
        <v>26</v>
      </c>
      <c r="H25" s="5" t="s">
        <v>124</v>
      </c>
      <c r="I25" s="8" t="n">
        <v>0.5</v>
      </c>
      <c r="J25" s="5" t="n">
        <v>1</v>
      </c>
      <c r="K25" s="17" t="s">
        <v>129</v>
      </c>
      <c r="L25" s="5" t="s">
        <v>118</v>
      </c>
      <c r="M25" s="17" t="s">
        <v>343</v>
      </c>
    </row>
    <row r="26" customFormat="false" ht="15" hidden="false" customHeight="false" outlineLevel="0" collapsed="false">
      <c r="A26" s="17" t="s">
        <v>270</v>
      </c>
      <c r="B26" s="18" t="n">
        <v>631.3</v>
      </c>
      <c r="C26" s="20" t="s">
        <v>128</v>
      </c>
      <c r="D26" s="8" t="n">
        <v>0</v>
      </c>
      <c r="E26" s="18" t="n">
        <f aca="false">ROUND(B26*D26,1)</f>
        <v>0</v>
      </c>
      <c r="F26" s="18" t="n">
        <f aca="false">B26-E26</f>
        <v>631.3</v>
      </c>
      <c r="G26" s="5" t="s">
        <v>26</v>
      </c>
      <c r="H26" s="5" t="s">
        <v>148</v>
      </c>
      <c r="I26" s="8" t="n">
        <v>0</v>
      </c>
      <c r="J26" s="5" t="n">
        <v>2</v>
      </c>
      <c r="K26" s="17" t="s">
        <v>264</v>
      </c>
      <c r="L26" s="5" t="s">
        <v>118</v>
      </c>
      <c r="M26" s="17" t="s">
        <v>343</v>
      </c>
    </row>
    <row r="27" customFormat="false" ht="15" hidden="false" customHeight="false" outlineLevel="0" collapsed="false">
      <c r="A27" s="17" t="s">
        <v>351</v>
      </c>
      <c r="B27" s="18" t="n">
        <v>345.4</v>
      </c>
      <c r="C27" s="20" t="s">
        <v>128</v>
      </c>
      <c r="D27" s="8" t="n">
        <v>0</v>
      </c>
      <c r="E27" s="18" t="n">
        <f aca="false">ROUND(B27*D27,1)</f>
        <v>0</v>
      </c>
      <c r="F27" s="18" t="n">
        <f aca="false">B27-E27</f>
        <v>345.4</v>
      </c>
      <c r="G27" s="5" t="s">
        <v>26</v>
      </c>
      <c r="H27" s="5" t="s">
        <v>148</v>
      </c>
      <c r="I27" s="8" t="n">
        <v>0</v>
      </c>
      <c r="J27" s="5" t="n">
        <v>1</v>
      </c>
      <c r="K27" s="17" t="s">
        <v>129</v>
      </c>
      <c r="L27" s="5" t="s">
        <v>118</v>
      </c>
      <c r="M27" s="17" t="s">
        <v>343</v>
      </c>
    </row>
    <row r="28" customFormat="false" ht="15" hidden="false" customHeight="false" outlineLevel="0" collapsed="false">
      <c r="A28" s="17" t="s">
        <v>263</v>
      </c>
      <c r="B28" s="18" t="n">
        <v>798.7</v>
      </c>
      <c r="C28" s="20" t="s">
        <v>128</v>
      </c>
      <c r="D28" s="8" t="n">
        <v>0</v>
      </c>
      <c r="E28" s="18" t="n">
        <f aca="false">ROUND(B28*D28,1)</f>
        <v>0</v>
      </c>
      <c r="F28" s="18" t="n">
        <f aca="false">B28-E28</f>
        <v>798.7</v>
      </c>
      <c r="G28" s="5" t="s">
        <v>26</v>
      </c>
      <c r="H28" s="5" t="s">
        <v>148</v>
      </c>
      <c r="I28" s="8" t="n">
        <v>0</v>
      </c>
      <c r="J28" s="5" t="n">
        <v>2</v>
      </c>
      <c r="K28" s="17" t="s">
        <v>264</v>
      </c>
      <c r="L28" s="5" t="s">
        <v>118</v>
      </c>
      <c r="M28" s="17" t="s">
        <v>343</v>
      </c>
    </row>
    <row r="29" customFormat="false" ht="15" hidden="false" customHeight="false" outlineLevel="0" collapsed="false">
      <c r="A29" s="17" t="s">
        <v>272</v>
      </c>
      <c r="B29" s="18" t="n">
        <v>156.7</v>
      </c>
      <c r="C29" s="20" t="s">
        <v>128</v>
      </c>
      <c r="D29" s="8" t="n">
        <v>0</v>
      </c>
      <c r="E29" s="18" t="n">
        <f aca="false">ROUND(B29*D29,1)</f>
        <v>0</v>
      </c>
      <c r="F29" s="18" t="n">
        <f aca="false">B29-E29</f>
        <v>156.7</v>
      </c>
      <c r="G29" s="5" t="s">
        <v>26</v>
      </c>
      <c r="H29" s="5" t="s">
        <v>148</v>
      </c>
      <c r="I29" s="8" t="n">
        <v>0</v>
      </c>
      <c r="J29" s="5" t="n">
        <v>1</v>
      </c>
      <c r="K29" s="17" t="s">
        <v>129</v>
      </c>
      <c r="L29" s="5" t="s">
        <v>118</v>
      </c>
      <c r="M29" s="17" t="s">
        <v>343</v>
      </c>
    </row>
    <row r="30" customFormat="false" ht="15" hidden="false" customHeight="false" outlineLevel="0" collapsed="false">
      <c r="A30" s="17" t="s">
        <v>155</v>
      </c>
      <c r="B30" s="18" t="n">
        <v>723.3</v>
      </c>
      <c r="C30" s="20" t="s">
        <v>128</v>
      </c>
      <c r="D30" s="8" t="n">
        <v>0</v>
      </c>
      <c r="E30" s="18" t="n">
        <f aca="false">ROUND(B30*D30,1)</f>
        <v>0</v>
      </c>
      <c r="F30" s="18" t="n">
        <f aca="false">B30-E30</f>
        <v>723.3</v>
      </c>
      <c r="G30" s="5" t="s">
        <v>26</v>
      </c>
      <c r="H30" s="5" t="s">
        <v>148</v>
      </c>
      <c r="I30" s="8" t="n">
        <v>0</v>
      </c>
      <c r="J30" s="5" t="n">
        <v>2</v>
      </c>
      <c r="K30" s="17" t="s">
        <v>264</v>
      </c>
      <c r="L30" s="5" t="s">
        <v>118</v>
      </c>
      <c r="M30" s="17" t="s">
        <v>343</v>
      </c>
    </row>
    <row r="31" customFormat="false" ht="15" hidden="false" customHeight="false" outlineLevel="0" collapsed="false">
      <c r="A31" s="17" t="s">
        <v>320</v>
      </c>
      <c r="B31" s="18" t="n">
        <v>154.8</v>
      </c>
      <c r="C31" s="20" t="s">
        <v>128</v>
      </c>
      <c r="D31" s="8" t="n">
        <v>0</v>
      </c>
      <c r="E31" s="18" t="n">
        <f aca="false">ROUND(B31*D31,1)</f>
        <v>0</v>
      </c>
      <c r="F31" s="18" t="n">
        <f aca="false">B31-E31</f>
        <v>154.8</v>
      </c>
      <c r="G31" s="5" t="s">
        <v>26</v>
      </c>
      <c r="H31" s="5" t="s">
        <v>148</v>
      </c>
      <c r="I31" s="8" t="n">
        <v>0</v>
      </c>
      <c r="J31" s="5" t="n">
        <v>1</v>
      </c>
      <c r="K31" s="17" t="s">
        <v>129</v>
      </c>
      <c r="L31" s="5" t="s">
        <v>118</v>
      </c>
      <c r="M31" s="17" t="s">
        <v>343</v>
      </c>
    </row>
    <row r="32" customFormat="false" ht="15" hidden="false" customHeight="false" outlineLevel="0" collapsed="false">
      <c r="A32" s="17" t="s">
        <v>265</v>
      </c>
      <c r="B32" s="18" t="n">
        <v>181.6</v>
      </c>
      <c r="C32" s="20" t="s">
        <v>128</v>
      </c>
      <c r="D32" s="8" t="n">
        <v>0</v>
      </c>
      <c r="E32" s="18" t="n">
        <f aca="false">ROUND(B32*D32,1)</f>
        <v>0</v>
      </c>
      <c r="F32" s="18" t="n">
        <f aca="false">B32-E32</f>
        <v>181.6</v>
      </c>
      <c r="G32" s="5" t="s">
        <v>26</v>
      </c>
      <c r="H32" s="5" t="s">
        <v>148</v>
      </c>
      <c r="I32" s="8" t="n">
        <v>0</v>
      </c>
      <c r="J32" s="5" t="n">
        <v>1</v>
      </c>
      <c r="K32" s="17" t="s">
        <v>129</v>
      </c>
      <c r="L32" s="5" t="s">
        <v>118</v>
      </c>
      <c r="M32" s="17" t="s">
        <v>343</v>
      </c>
    </row>
    <row r="33" customFormat="false" ht="15" hidden="false" customHeight="false" outlineLevel="0" collapsed="false">
      <c r="A33" s="17" t="s">
        <v>268</v>
      </c>
      <c r="B33" s="18" t="n">
        <v>827.5</v>
      </c>
      <c r="C33" s="20" t="s">
        <v>128</v>
      </c>
      <c r="D33" s="8" t="n">
        <v>0</v>
      </c>
      <c r="E33" s="18" t="n">
        <f aca="false">ROUND(B33*D33,1)</f>
        <v>0</v>
      </c>
      <c r="F33" s="18" t="n">
        <f aca="false">B33-E33</f>
        <v>827.5</v>
      </c>
      <c r="G33" s="5" t="s">
        <v>26</v>
      </c>
      <c r="H33" s="5" t="s">
        <v>148</v>
      </c>
      <c r="I33" s="8" t="n">
        <v>0</v>
      </c>
      <c r="J33" s="5" t="n">
        <v>2</v>
      </c>
      <c r="K33" s="17" t="s">
        <v>264</v>
      </c>
      <c r="L33" s="5" t="s">
        <v>118</v>
      </c>
      <c r="M33" s="17" t="s">
        <v>343</v>
      </c>
    </row>
    <row r="34" customFormat="false" ht="15" hidden="false" customHeight="false" outlineLevel="0" collapsed="false">
      <c r="A34" s="17" t="s">
        <v>286</v>
      </c>
      <c r="B34" s="18" t="n">
        <v>723.3</v>
      </c>
      <c r="C34" s="20" t="s">
        <v>128</v>
      </c>
      <c r="D34" s="8" t="n">
        <v>0</v>
      </c>
      <c r="E34" s="18" t="n">
        <f aca="false">ROUND(B34*D34,1)</f>
        <v>0</v>
      </c>
      <c r="F34" s="18" t="n">
        <f aca="false">B34-E34</f>
        <v>723.3</v>
      </c>
      <c r="G34" s="5" t="s">
        <v>26</v>
      </c>
      <c r="H34" s="5" t="s">
        <v>124</v>
      </c>
      <c r="I34" s="8" t="n">
        <v>0.25</v>
      </c>
      <c r="J34" s="5" t="n">
        <v>2</v>
      </c>
      <c r="K34" s="17" t="s">
        <v>264</v>
      </c>
      <c r="L34" s="5" t="s">
        <v>118</v>
      </c>
      <c r="M34" s="17" t="s">
        <v>343</v>
      </c>
    </row>
    <row r="35" customFormat="false" ht="15" hidden="false" customHeight="false" outlineLevel="0" collapsed="false">
      <c r="A35" s="17" t="s">
        <v>123</v>
      </c>
      <c r="B35" s="18" t="n">
        <v>194.1</v>
      </c>
      <c r="C35" s="20" t="s">
        <v>128</v>
      </c>
      <c r="D35" s="8" t="n">
        <v>0</v>
      </c>
      <c r="E35" s="18" t="n">
        <f aca="false">ROUND(B35*D35,1)</f>
        <v>0</v>
      </c>
      <c r="F35" s="18" t="n">
        <f aca="false">B35-E35</f>
        <v>194.1</v>
      </c>
      <c r="G35" s="5" t="s">
        <v>26</v>
      </c>
      <c r="H35" s="5" t="s">
        <v>148</v>
      </c>
      <c r="I35" s="8" t="n">
        <v>0</v>
      </c>
      <c r="J35" s="5" t="n">
        <v>1</v>
      </c>
      <c r="K35" s="17" t="s">
        <v>129</v>
      </c>
      <c r="L35" s="5" t="s">
        <v>118</v>
      </c>
      <c r="M35" s="17" t="s">
        <v>343</v>
      </c>
    </row>
    <row r="36" customFormat="false" ht="15" hidden="false" customHeight="false" outlineLevel="0" collapsed="false">
      <c r="A36" s="17" t="s">
        <v>352</v>
      </c>
      <c r="B36" s="18" t="n">
        <v>432.8</v>
      </c>
      <c r="C36" s="20" t="s">
        <v>128</v>
      </c>
      <c r="D36" s="8" t="n">
        <v>0</v>
      </c>
      <c r="E36" s="18" t="n">
        <f aca="false">ROUND(B36*D36,1)</f>
        <v>0</v>
      </c>
      <c r="F36" s="18" t="n">
        <f aca="false">B36-E36</f>
        <v>432.8</v>
      </c>
      <c r="G36" s="5" t="s">
        <v>26</v>
      </c>
      <c r="H36" s="5" t="s">
        <v>148</v>
      </c>
      <c r="I36" s="8" t="n">
        <v>0</v>
      </c>
      <c r="J36" s="5" t="n">
        <v>1</v>
      </c>
      <c r="K36" s="17" t="s">
        <v>149</v>
      </c>
      <c r="L36" s="5" t="s">
        <v>118</v>
      </c>
      <c r="M36" s="17" t="s">
        <v>343</v>
      </c>
    </row>
    <row r="37" customFormat="false" ht="15" hidden="false" customHeight="false" outlineLevel="0" collapsed="false">
      <c r="A37" s="17" t="s">
        <v>322</v>
      </c>
      <c r="B37" s="18" t="n">
        <v>155.7</v>
      </c>
      <c r="C37" s="20" t="s">
        <v>128</v>
      </c>
      <c r="D37" s="8" t="n">
        <v>0</v>
      </c>
      <c r="E37" s="18" t="n">
        <f aca="false">ROUND(B37*D37,1)</f>
        <v>0</v>
      </c>
      <c r="F37" s="18" t="n">
        <f aca="false">B37-E37</f>
        <v>155.7</v>
      </c>
      <c r="G37" s="5" t="s">
        <v>26</v>
      </c>
      <c r="H37" s="5" t="s">
        <v>124</v>
      </c>
      <c r="I37" s="8" t="n">
        <v>0.5</v>
      </c>
      <c r="J37" s="5" t="n">
        <v>1</v>
      </c>
      <c r="K37" s="17" t="s">
        <v>129</v>
      </c>
      <c r="L37" s="5" t="s">
        <v>118</v>
      </c>
      <c r="M37" s="17" t="s">
        <v>343</v>
      </c>
    </row>
    <row r="38" customFormat="false" ht="15" hidden="false" customHeight="false" outlineLevel="0" collapsed="false">
      <c r="A38" s="17" t="s">
        <v>323</v>
      </c>
      <c r="B38" s="18" t="n">
        <v>152.5</v>
      </c>
      <c r="C38" s="20" t="s">
        <v>128</v>
      </c>
      <c r="D38" s="8" t="n">
        <v>0</v>
      </c>
      <c r="E38" s="18" t="n">
        <f aca="false">ROUND(B38*D38,1)</f>
        <v>0</v>
      </c>
      <c r="F38" s="18" t="n">
        <f aca="false">B38-E38</f>
        <v>152.5</v>
      </c>
      <c r="G38" s="5" t="s">
        <v>26</v>
      </c>
      <c r="H38" s="5" t="s">
        <v>124</v>
      </c>
      <c r="I38" s="8" t="n">
        <v>0.5</v>
      </c>
      <c r="J38" s="5" t="n">
        <v>1</v>
      </c>
      <c r="K38" s="17" t="s">
        <v>129</v>
      </c>
      <c r="L38" s="5" t="s">
        <v>118</v>
      </c>
      <c r="M38" s="17" t="s">
        <v>343</v>
      </c>
    </row>
    <row r="39" customFormat="false" ht="15" hidden="false" customHeight="false" outlineLevel="0" collapsed="false">
      <c r="A39" s="17" t="s">
        <v>324</v>
      </c>
      <c r="B39" s="18" t="n">
        <v>154.7</v>
      </c>
      <c r="C39" s="20" t="s">
        <v>128</v>
      </c>
      <c r="D39" s="8" t="n">
        <v>0</v>
      </c>
      <c r="E39" s="18" t="n">
        <f aca="false">ROUND(B39*D39,1)</f>
        <v>0</v>
      </c>
      <c r="F39" s="18" t="n">
        <f aca="false">B39-E39</f>
        <v>154.7</v>
      </c>
      <c r="G39" s="5" t="s">
        <v>26</v>
      </c>
      <c r="H39" s="5" t="s">
        <v>148</v>
      </c>
      <c r="I39" s="8" t="n">
        <v>0</v>
      </c>
      <c r="J39" s="5" t="n">
        <v>1</v>
      </c>
      <c r="K39" s="17" t="s">
        <v>129</v>
      </c>
      <c r="L39" s="5" t="s">
        <v>118</v>
      </c>
      <c r="M39" s="17" t="s">
        <v>343</v>
      </c>
    </row>
    <row r="40" customFormat="false" ht="15" hidden="false" customHeight="false" outlineLevel="0" collapsed="false">
      <c r="A40" s="17" t="s">
        <v>325</v>
      </c>
      <c r="B40" s="18" t="n">
        <v>156.7</v>
      </c>
      <c r="C40" s="20" t="s">
        <v>128</v>
      </c>
      <c r="D40" s="8" t="n">
        <v>0</v>
      </c>
      <c r="E40" s="18" t="n">
        <f aca="false">ROUND(B40*D40,1)</f>
        <v>0</v>
      </c>
      <c r="F40" s="18" t="n">
        <f aca="false">B40-E40</f>
        <v>156.7</v>
      </c>
      <c r="G40" s="5" t="s">
        <v>26</v>
      </c>
      <c r="H40" s="5" t="s">
        <v>148</v>
      </c>
      <c r="I40" s="8" t="n">
        <v>0</v>
      </c>
      <c r="J40" s="5" t="n">
        <v>1</v>
      </c>
      <c r="K40" s="17" t="s">
        <v>129</v>
      </c>
      <c r="L40" s="5" t="s">
        <v>118</v>
      </c>
      <c r="M40" s="17" t="s">
        <v>343</v>
      </c>
    </row>
    <row r="41" customFormat="false" ht="15" hidden="false" customHeight="false" outlineLevel="0" collapsed="false">
      <c r="A41" s="17" t="s">
        <v>327</v>
      </c>
      <c r="B41" s="18" t="n">
        <v>156.7</v>
      </c>
      <c r="C41" s="20" t="s">
        <v>128</v>
      </c>
      <c r="D41" s="8" t="n">
        <v>0</v>
      </c>
      <c r="E41" s="18" t="n">
        <f aca="false">ROUND(B41*D41,1)</f>
        <v>0</v>
      </c>
      <c r="F41" s="18" t="n">
        <f aca="false">B41-E41</f>
        <v>156.7</v>
      </c>
      <c r="G41" s="5" t="s">
        <v>26</v>
      </c>
      <c r="H41" s="5" t="s">
        <v>124</v>
      </c>
      <c r="I41" s="8" t="n">
        <v>0.5</v>
      </c>
      <c r="J41" s="5" t="n">
        <v>1</v>
      </c>
      <c r="K41" s="17" t="s">
        <v>129</v>
      </c>
      <c r="L41" s="5" t="s">
        <v>118</v>
      </c>
      <c r="M41" s="17" t="s">
        <v>343</v>
      </c>
    </row>
    <row r="42" customFormat="false" ht="15" hidden="false" customHeight="false" outlineLevel="0" collapsed="false">
      <c r="A42" s="17" t="s">
        <v>318</v>
      </c>
      <c r="B42" s="18" t="n">
        <v>157.5</v>
      </c>
      <c r="C42" s="20" t="s">
        <v>128</v>
      </c>
      <c r="D42" s="8" t="n">
        <v>0</v>
      </c>
      <c r="E42" s="18" t="n">
        <f aca="false">ROUND(B42*D42,1)</f>
        <v>0</v>
      </c>
      <c r="F42" s="18" t="n">
        <f aca="false">B42-E42</f>
        <v>157.5</v>
      </c>
      <c r="G42" s="5" t="s">
        <v>26</v>
      </c>
      <c r="H42" s="5" t="s">
        <v>148</v>
      </c>
      <c r="I42" s="8" t="n">
        <v>0</v>
      </c>
      <c r="J42" s="5" t="n">
        <v>1</v>
      </c>
      <c r="K42" s="17" t="s">
        <v>129</v>
      </c>
      <c r="L42" s="5" t="s">
        <v>118</v>
      </c>
      <c r="M42" s="17" t="s">
        <v>343</v>
      </c>
    </row>
    <row r="43" customFormat="false" ht="15" hidden="false" customHeight="false" outlineLevel="0" collapsed="false">
      <c r="A43" s="17" t="s">
        <v>139</v>
      </c>
      <c r="B43" s="18" t="n">
        <v>722.1</v>
      </c>
      <c r="C43" s="20" t="s">
        <v>128</v>
      </c>
      <c r="D43" s="8" t="n">
        <v>0</v>
      </c>
      <c r="E43" s="18" t="n">
        <f aca="false">ROUND(B43*D43,1)</f>
        <v>0</v>
      </c>
      <c r="F43" s="18" t="n">
        <f aca="false">B43-E43</f>
        <v>722.1</v>
      </c>
      <c r="G43" s="5" t="s">
        <v>26</v>
      </c>
      <c r="H43" s="5" t="s">
        <v>124</v>
      </c>
      <c r="I43" s="8" t="n">
        <v>0.5</v>
      </c>
      <c r="J43" s="5" t="n">
        <v>2</v>
      </c>
      <c r="K43" s="17" t="s">
        <v>264</v>
      </c>
      <c r="L43" s="5" t="s">
        <v>118</v>
      </c>
      <c r="M43" s="17" t="s">
        <v>343</v>
      </c>
    </row>
    <row r="44" customFormat="false" ht="15" hidden="false" customHeight="false" outlineLevel="0" collapsed="false">
      <c r="A44" s="17" t="s">
        <v>257</v>
      </c>
      <c r="B44" s="18" t="n">
        <v>337.4</v>
      </c>
      <c r="C44" s="20" t="s">
        <v>128</v>
      </c>
      <c r="D44" s="8" t="n">
        <v>0</v>
      </c>
      <c r="E44" s="18" t="n">
        <f aca="false">ROUND(B44*D44,1)</f>
        <v>0</v>
      </c>
      <c r="F44" s="18" t="n">
        <f aca="false">B44-E44</f>
        <v>337.4</v>
      </c>
      <c r="G44" s="5" t="s">
        <v>26</v>
      </c>
      <c r="H44" s="5" t="s">
        <v>148</v>
      </c>
      <c r="I44" s="8" t="n">
        <v>0</v>
      </c>
      <c r="J44" s="5" t="n">
        <v>1</v>
      </c>
      <c r="K44" s="17" t="s">
        <v>149</v>
      </c>
      <c r="L44" s="5" t="s">
        <v>118</v>
      </c>
      <c r="M44" s="17" t="s">
        <v>343</v>
      </c>
    </row>
    <row r="45" customFormat="false" ht="15" hidden="false" customHeight="false" outlineLevel="0" collapsed="false">
      <c r="A45" s="17" t="s">
        <v>328</v>
      </c>
      <c r="B45" s="18" t="n">
        <v>156.7</v>
      </c>
      <c r="C45" s="20" t="s">
        <v>128</v>
      </c>
      <c r="D45" s="8" t="n">
        <v>0</v>
      </c>
      <c r="E45" s="18" t="n">
        <f aca="false">ROUND(B45*D45,1)</f>
        <v>0</v>
      </c>
      <c r="F45" s="18" t="n">
        <f aca="false">B45-E45</f>
        <v>156.7</v>
      </c>
      <c r="G45" s="5" t="s">
        <v>26</v>
      </c>
      <c r="H45" s="5" t="s">
        <v>124</v>
      </c>
      <c r="I45" s="8" t="n">
        <v>0.5</v>
      </c>
      <c r="J45" s="5" t="n">
        <v>1</v>
      </c>
      <c r="K45" s="17" t="s">
        <v>149</v>
      </c>
      <c r="L45" s="5" t="s">
        <v>118</v>
      </c>
      <c r="M45" s="17" t="s">
        <v>343</v>
      </c>
    </row>
    <row r="46" customFormat="false" ht="15" hidden="false" customHeight="false" outlineLevel="0" collapsed="false">
      <c r="A46" s="17" t="s">
        <v>276</v>
      </c>
      <c r="B46" s="18" t="n">
        <v>793</v>
      </c>
      <c r="C46" s="20" t="s">
        <v>128</v>
      </c>
      <c r="D46" s="8" t="n">
        <v>0</v>
      </c>
      <c r="E46" s="18" t="n">
        <f aca="false">ROUND(B46*D46,1)</f>
        <v>0</v>
      </c>
      <c r="F46" s="18" t="n">
        <f aca="false">B46-E46</f>
        <v>793</v>
      </c>
      <c r="G46" s="5" t="s">
        <v>26</v>
      </c>
      <c r="H46" s="5" t="s">
        <v>124</v>
      </c>
      <c r="I46" s="8" t="n">
        <v>0.25</v>
      </c>
      <c r="J46" s="5" t="n">
        <v>2</v>
      </c>
      <c r="K46" s="17" t="s">
        <v>258</v>
      </c>
      <c r="L46" s="5" t="s">
        <v>118</v>
      </c>
      <c r="M46" s="17" t="s">
        <v>343</v>
      </c>
    </row>
    <row r="47" customFormat="false" ht="15" hidden="false" customHeight="false" outlineLevel="0" collapsed="false">
      <c r="A47" s="17" t="s">
        <v>137</v>
      </c>
      <c r="B47" s="18" t="n">
        <v>719.9</v>
      </c>
      <c r="C47" s="21" t="s">
        <v>124</v>
      </c>
      <c r="D47" s="8" t="n">
        <v>0.5</v>
      </c>
      <c r="E47" s="18" t="n">
        <f aca="false">ROUND(B47*D47,1)</f>
        <v>360</v>
      </c>
      <c r="F47" s="18" t="n">
        <f aca="false">B47-E47</f>
        <v>359.9</v>
      </c>
      <c r="G47" s="5" t="s">
        <v>26</v>
      </c>
      <c r="H47" s="5" t="s">
        <v>124</v>
      </c>
      <c r="I47" s="8" t="n">
        <v>0.25</v>
      </c>
      <c r="J47" s="5" t="n">
        <v>2</v>
      </c>
      <c r="K47" s="17" t="s">
        <v>353</v>
      </c>
      <c r="L47" s="5" t="s">
        <v>118</v>
      </c>
      <c r="M47" s="17" t="s">
        <v>343</v>
      </c>
    </row>
    <row r="48" customFormat="false" ht="15" hidden="false" customHeight="false" outlineLevel="0" collapsed="false">
      <c r="A48" s="17" t="s">
        <v>333</v>
      </c>
      <c r="B48" s="18" t="n">
        <v>1183.5</v>
      </c>
      <c r="C48" s="20" t="s">
        <v>128</v>
      </c>
      <c r="D48" s="8" t="n">
        <v>0</v>
      </c>
      <c r="E48" s="18" t="n">
        <f aca="false">ROUND(B48*D48,1)</f>
        <v>0</v>
      </c>
      <c r="F48" s="18" t="n">
        <f aca="false">B48-E48</f>
        <v>1183.5</v>
      </c>
      <c r="G48" s="5" t="s">
        <v>26</v>
      </c>
      <c r="H48" s="5" t="s">
        <v>148</v>
      </c>
      <c r="I48" s="8" t="n">
        <v>0</v>
      </c>
      <c r="J48" s="5" t="n">
        <v>2</v>
      </c>
      <c r="K48" s="17" t="s">
        <v>258</v>
      </c>
      <c r="L48" s="5" t="s">
        <v>118</v>
      </c>
      <c r="M48" s="17" t="s">
        <v>343</v>
      </c>
    </row>
    <row r="49" customFormat="false" ht="15" hidden="false" customHeight="false" outlineLevel="0" collapsed="false">
      <c r="A49" s="17" t="s">
        <v>334</v>
      </c>
      <c r="B49" s="18" t="n">
        <v>155.7</v>
      </c>
      <c r="C49" s="20" t="s">
        <v>128</v>
      </c>
      <c r="D49" s="8" t="n">
        <v>0</v>
      </c>
      <c r="E49" s="18" t="n">
        <f aca="false">ROUND(B49*D49,1)</f>
        <v>0</v>
      </c>
      <c r="F49" s="18" t="n">
        <f aca="false">B49-E49</f>
        <v>155.7</v>
      </c>
      <c r="G49" s="5" t="s">
        <v>26</v>
      </c>
      <c r="H49" s="5" t="s">
        <v>148</v>
      </c>
      <c r="I49" s="8" t="n">
        <v>0</v>
      </c>
      <c r="J49" s="5" t="n">
        <v>1</v>
      </c>
      <c r="K49" s="17" t="s">
        <v>149</v>
      </c>
      <c r="L49" s="5" t="s">
        <v>118</v>
      </c>
      <c r="M49" s="17" t="s">
        <v>343</v>
      </c>
    </row>
    <row r="50" customFormat="false" ht="15" hidden="false" customHeight="false" outlineLevel="0" collapsed="false">
      <c r="A50" s="17" t="s">
        <v>354</v>
      </c>
      <c r="B50" s="18" t="n">
        <v>864.4</v>
      </c>
      <c r="C50" s="20" t="s">
        <v>128</v>
      </c>
      <c r="D50" s="8" t="n">
        <v>0</v>
      </c>
      <c r="E50" s="18" t="n">
        <f aca="false">ROUND(B50*D50,1)</f>
        <v>0</v>
      </c>
      <c r="F50" s="18" t="n">
        <f aca="false">B50-E50</f>
        <v>864.4</v>
      </c>
      <c r="G50" s="5" t="s">
        <v>26</v>
      </c>
      <c r="H50" s="5" t="s">
        <v>148</v>
      </c>
      <c r="I50" s="8" t="n">
        <v>0</v>
      </c>
      <c r="J50" s="5" t="n">
        <v>2</v>
      </c>
      <c r="K50" s="17" t="s">
        <v>258</v>
      </c>
      <c r="L50" s="5" t="s">
        <v>118</v>
      </c>
      <c r="M50" s="17" t="s">
        <v>355</v>
      </c>
    </row>
    <row r="51" customFormat="false" ht="15" hidden="false" customHeight="false" outlineLevel="0" collapsed="false">
      <c r="A51" s="17" t="s">
        <v>331</v>
      </c>
      <c r="B51" s="18" t="n">
        <v>44.3</v>
      </c>
      <c r="C51" s="20" t="s">
        <v>128</v>
      </c>
      <c r="D51" s="8" t="n">
        <v>0</v>
      </c>
      <c r="E51" s="18" t="n">
        <f aca="false">ROUND(B51*D51,1)</f>
        <v>0</v>
      </c>
      <c r="F51" s="18" t="n">
        <f aca="false">B51-E51</f>
        <v>44.3</v>
      </c>
      <c r="G51" s="5" t="s">
        <v>26</v>
      </c>
      <c r="H51" s="5" t="s">
        <v>124</v>
      </c>
      <c r="I51" s="8" t="n">
        <v>0.5</v>
      </c>
      <c r="J51" s="5" t="n">
        <v>1</v>
      </c>
      <c r="K51" s="17" t="s">
        <v>129</v>
      </c>
      <c r="L51" s="5" t="s">
        <v>118</v>
      </c>
      <c r="M51" s="17" t="s">
        <v>343</v>
      </c>
    </row>
    <row r="52" customFormat="false" ht="15" hidden="false" customHeight="false" outlineLevel="0" collapsed="false">
      <c r="A52" s="17" t="s">
        <v>288</v>
      </c>
      <c r="B52" s="18" t="n">
        <v>179.4</v>
      </c>
      <c r="C52" s="20" t="s">
        <v>128</v>
      </c>
      <c r="D52" s="8" t="n">
        <v>0</v>
      </c>
      <c r="E52" s="18" t="n">
        <f aca="false">ROUND(B52*D52,1)</f>
        <v>0</v>
      </c>
      <c r="F52" s="18" t="n">
        <f aca="false">B52-E52</f>
        <v>179.4</v>
      </c>
      <c r="G52" s="5" t="s">
        <v>26</v>
      </c>
      <c r="H52" s="5" t="s">
        <v>124</v>
      </c>
      <c r="I52" s="8" t="n">
        <v>0.5</v>
      </c>
      <c r="J52" s="5" t="n">
        <v>1</v>
      </c>
      <c r="K52" s="17" t="s">
        <v>149</v>
      </c>
      <c r="L52" s="5" t="s">
        <v>118</v>
      </c>
      <c r="M52" s="17" t="s">
        <v>343</v>
      </c>
    </row>
    <row r="53" customFormat="false" ht="15" hidden="false" customHeight="false" outlineLevel="0" collapsed="false">
      <c r="A53" s="17" t="s">
        <v>161</v>
      </c>
      <c r="B53" s="18" t="n">
        <v>1074.4</v>
      </c>
      <c r="C53" s="21" t="s">
        <v>124</v>
      </c>
      <c r="D53" s="8" t="n">
        <v>0.5</v>
      </c>
      <c r="E53" s="18" t="n">
        <f aca="false">ROUND(B53*D53,1)</f>
        <v>537.2</v>
      </c>
      <c r="F53" s="18" t="n">
        <f aca="false">B53-E53</f>
        <v>537.2</v>
      </c>
      <c r="G53" s="5" t="s">
        <v>26</v>
      </c>
      <c r="H53" s="5" t="s">
        <v>124</v>
      </c>
      <c r="I53" s="8" t="n">
        <v>0.25</v>
      </c>
      <c r="J53" s="5" t="n">
        <v>2</v>
      </c>
      <c r="K53" s="17" t="s">
        <v>353</v>
      </c>
      <c r="L53" s="5" t="s">
        <v>118</v>
      </c>
      <c r="M53" s="17" t="s">
        <v>343</v>
      </c>
    </row>
    <row r="54" customFormat="false" ht="15" hidden="false" customHeight="false" outlineLevel="0" collapsed="false">
      <c r="A54" s="9" t="s">
        <v>163</v>
      </c>
      <c r="B54" s="10" t="n">
        <f aca="false">SUM(B6:B53)</f>
        <v>21907.8</v>
      </c>
      <c r="C54" s="9"/>
      <c r="D54" s="11" t="n">
        <f aca="false">IF(B54=0,0,E54/B54)</f>
        <v>0.170313769525009</v>
      </c>
      <c r="E54" s="10" t="n">
        <f aca="false">SUM(E6:E53)</f>
        <v>3731.2</v>
      </c>
      <c r="F54" s="10" t="n">
        <f aca="false">SUM(F6:F53)</f>
        <v>18176.6</v>
      </c>
      <c r="G54" s="9"/>
      <c r="H54" s="9"/>
      <c r="I54" s="9"/>
      <c r="J54" s="9"/>
      <c r="K54" s="9"/>
      <c r="L54" s="9"/>
      <c r="M54" s="9"/>
    </row>
    <row r="56" customFormat="false" ht="15" hidden="false" customHeight="false" outlineLevel="0" collapsed="false">
      <c r="A56" s="12" t="s">
        <v>164</v>
      </c>
      <c r="D56" s="22" t="n">
        <f aca="false">F54*8</f>
        <v>145412.8</v>
      </c>
      <c r="E56" s="16" t="s">
        <v>165</v>
      </c>
    </row>
    <row r="57" customFormat="false" ht="15" hidden="false" customHeight="false" outlineLevel="0" collapsed="false">
      <c r="A57" s="12" t="s">
        <v>166</v>
      </c>
      <c r="D57" s="23" t="n">
        <v>0</v>
      </c>
      <c r="E57" s="16" t="s">
        <v>167</v>
      </c>
    </row>
    <row r="58" customFormat="false" ht="15" hidden="false" customHeight="false" outlineLevel="0" collapsed="false">
      <c r="A58" s="12" t="s">
        <v>168</v>
      </c>
      <c r="D58" s="24" t="n">
        <v>0.16</v>
      </c>
      <c r="E58" s="16" t="s">
        <v>356</v>
      </c>
    </row>
    <row r="59" customFormat="false" ht="15" hidden="false" customHeight="false" outlineLevel="0" collapsed="false">
      <c r="A59" s="12" t="s">
        <v>170</v>
      </c>
      <c r="D59" s="22" t="n">
        <f aca="false">(B54-D57)*(1-D58)</f>
        <v>18402.552</v>
      </c>
      <c r="E59" s="16" t="s">
        <v>171</v>
      </c>
    </row>
    <row r="60" customFormat="false" ht="15" hidden="false" customHeight="false" outlineLevel="0" collapsed="false">
      <c r="A60" s="12" t="s">
        <v>172</v>
      </c>
      <c r="D60" s="22" t="n">
        <f aca="false">D59*4</f>
        <v>73610.208</v>
      </c>
      <c r="E60" s="16" t="s">
        <v>173</v>
      </c>
    </row>
    <row r="61" customFormat="false" ht="15" hidden="false" customHeight="false" outlineLevel="0" collapsed="false">
      <c r="A61" s="12" t="s">
        <v>174</v>
      </c>
      <c r="D61" s="23" t="n">
        <v>3731</v>
      </c>
    </row>
    <row r="62" customFormat="false" ht="15" hidden="false" customHeight="false" outlineLevel="0" collapsed="false">
      <c r="A62" s="12" t="s">
        <v>175</v>
      </c>
      <c r="D62" s="23" t="n">
        <v>0</v>
      </c>
      <c r="E62" s="16" t="s">
        <v>176</v>
      </c>
    </row>
    <row r="63" customFormat="false" ht="15" hidden="false" customHeight="false" outlineLevel="0" collapsed="false">
      <c r="A63" s="12" t="s">
        <v>177</v>
      </c>
      <c r="D63" s="23" t="n">
        <v>18177</v>
      </c>
    </row>
    <row r="64" customFormat="false" ht="15" hidden="false" customHeight="false" outlineLevel="0" collapsed="false">
      <c r="A64" s="12" t="s">
        <v>178</v>
      </c>
      <c r="D64" s="23" t="n">
        <v>0</v>
      </c>
      <c r="E64" s="16" t="s">
        <v>179</v>
      </c>
    </row>
    <row r="65" customFormat="false" ht="15" hidden="false" customHeight="true" outlineLevel="0" collapsed="false">
      <c r="A65" s="25" t="s">
        <v>357</v>
      </c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</row>
  </sheetData>
  <mergeCells count="1">
    <mergeCell ref="A65:M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10" min="9" style="0" width="9"/>
    <col collapsed="false" customWidth="true" hidden="false" outlineLevel="0" max="11" min="11" style="0" width="46"/>
    <col collapsed="false" customWidth="true" hidden="false" outlineLevel="0" max="12" min="12" style="0" width="17"/>
    <col collapsed="false" customWidth="true" hidden="false" outlineLevel="0" max="13" min="13" style="0" width="54"/>
  </cols>
  <sheetData>
    <row r="1" customFormat="false" ht="16.15" hidden="false" customHeight="false" outlineLevel="0" collapsed="false">
      <c r="A1" s="14" t="s">
        <v>358</v>
      </c>
    </row>
    <row r="2" customFormat="false" ht="15" hidden="false" customHeight="false" outlineLevel="0" collapsed="false">
      <c r="A2" s="15" t="s">
        <v>359</v>
      </c>
    </row>
    <row r="3" customFormat="false" ht="15" hidden="false" customHeight="false" outlineLevel="0" collapsed="false">
      <c r="A3" s="16" t="s">
        <v>360</v>
      </c>
    </row>
    <row r="5" customFormat="false" ht="22.35" hidden="false" customHeight="false" outlineLevel="0" collapsed="false">
      <c r="A5" s="4" t="s">
        <v>102</v>
      </c>
      <c r="B5" s="4" t="s">
        <v>103</v>
      </c>
      <c r="C5" s="4" t="s">
        <v>104</v>
      </c>
      <c r="D5" s="4" t="s">
        <v>105</v>
      </c>
      <c r="E5" s="4" t="s">
        <v>106</v>
      </c>
      <c r="F5" s="4" t="s">
        <v>107</v>
      </c>
      <c r="G5" s="4" t="s">
        <v>108</v>
      </c>
      <c r="H5" s="4" t="s">
        <v>109</v>
      </c>
      <c r="I5" s="4" t="s">
        <v>110</v>
      </c>
      <c r="J5" s="4" t="s">
        <v>16</v>
      </c>
      <c r="K5" s="4" t="s">
        <v>111</v>
      </c>
      <c r="L5" s="4" t="s">
        <v>112</v>
      </c>
      <c r="M5" s="4" t="s">
        <v>113</v>
      </c>
    </row>
    <row r="6" customFormat="false" ht="15" hidden="false" customHeight="false" outlineLevel="0" collapsed="false">
      <c r="A6" s="17" t="s">
        <v>123</v>
      </c>
      <c r="B6" s="18" t="n">
        <v>145.1</v>
      </c>
      <c r="C6" s="19" t="s">
        <v>115</v>
      </c>
      <c r="D6" s="8" t="n">
        <v>1</v>
      </c>
      <c r="E6" s="18" t="n">
        <f aca="false">ROUND(B6*D6,1)</f>
        <v>145.1</v>
      </c>
      <c r="F6" s="18" t="n">
        <f aca="false">B6-E6</f>
        <v>0</v>
      </c>
      <c r="G6" s="5" t="s">
        <v>26</v>
      </c>
      <c r="H6" s="5" t="s">
        <v>124</v>
      </c>
      <c r="I6" s="8" t="n">
        <v>0.5</v>
      </c>
      <c r="J6" s="5" t="n">
        <v>1</v>
      </c>
      <c r="K6" s="17" t="s">
        <v>125</v>
      </c>
      <c r="L6" s="5" t="s">
        <v>118</v>
      </c>
      <c r="M6" s="17" t="s">
        <v>361</v>
      </c>
    </row>
    <row r="7" customFormat="false" ht="22.35" hidden="false" customHeight="false" outlineLevel="0" collapsed="false">
      <c r="A7" s="17" t="s">
        <v>145</v>
      </c>
      <c r="B7" s="18" t="n">
        <v>595.6</v>
      </c>
      <c r="C7" s="21" t="s">
        <v>124</v>
      </c>
      <c r="D7" s="8" t="n">
        <v>0.62</v>
      </c>
      <c r="E7" s="18" t="n">
        <f aca="false">ROUND(B7*D7,1)</f>
        <v>369.3</v>
      </c>
      <c r="F7" s="18" t="n">
        <f aca="false">B7-E7</f>
        <v>226.3</v>
      </c>
      <c r="G7" s="5" t="s">
        <v>26</v>
      </c>
      <c r="H7" s="5" t="s">
        <v>148</v>
      </c>
      <c r="I7" s="8" t="n">
        <v>0.19</v>
      </c>
      <c r="J7" s="5" t="n">
        <v>2</v>
      </c>
      <c r="K7" s="17" t="s">
        <v>353</v>
      </c>
      <c r="L7" s="5" t="s">
        <v>118</v>
      </c>
      <c r="M7" s="17" t="s">
        <v>362</v>
      </c>
    </row>
    <row r="8" customFormat="false" ht="22.35" hidden="false" customHeight="false" outlineLevel="0" collapsed="false">
      <c r="A8" s="17" t="s">
        <v>363</v>
      </c>
      <c r="B8" s="18" t="n">
        <v>337.8</v>
      </c>
      <c r="C8" s="20" t="s">
        <v>128</v>
      </c>
      <c r="D8" s="8" t="n">
        <v>0</v>
      </c>
      <c r="E8" s="18" t="n">
        <f aca="false">ROUND(B8*D8,1)</f>
        <v>0</v>
      </c>
      <c r="F8" s="18" t="n">
        <f aca="false">B8-E8</f>
        <v>337.8</v>
      </c>
      <c r="G8" s="5" t="s">
        <v>26</v>
      </c>
      <c r="H8" s="5" t="s">
        <v>148</v>
      </c>
      <c r="I8" s="8" t="n">
        <v>0</v>
      </c>
      <c r="J8" s="5" t="n">
        <v>2</v>
      </c>
      <c r="K8" s="17" t="s">
        <v>258</v>
      </c>
      <c r="L8" s="5" t="s">
        <v>118</v>
      </c>
      <c r="M8" s="17" t="s">
        <v>364</v>
      </c>
    </row>
    <row r="9" customFormat="false" ht="15" hidden="false" customHeight="false" outlineLevel="0" collapsed="false">
      <c r="A9" s="17" t="s">
        <v>365</v>
      </c>
      <c r="B9" s="18" t="n">
        <v>320.9</v>
      </c>
      <c r="C9" s="20" t="s">
        <v>128</v>
      </c>
      <c r="D9" s="8" t="n">
        <v>0</v>
      </c>
      <c r="E9" s="18" t="n">
        <f aca="false">ROUND(B9*D9,1)</f>
        <v>0</v>
      </c>
      <c r="F9" s="18" t="n">
        <f aca="false">B9-E9</f>
        <v>320.9</v>
      </c>
      <c r="G9" s="5" t="s">
        <v>26</v>
      </c>
      <c r="H9" s="5" t="s">
        <v>124</v>
      </c>
      <c r="I9" s="8" t="n">
        <v>0.5</v>
      </c>
      <c r="J9" s="5" t="n">
        <v>1</v>
      </c>
      <c r="K9" s="17" t="s">
        <v>149</v>
      </c>
      <c r="L9" s="5" t="s">
        <v>118</v>
      </c>
      <c r="M9" s="17" t="s">
        <v>366</v>
      </c>
    </row>
    <row r="10" customFormat="false" ht="15" hidden="false" customHeight="false" outlineLevel="0" collapsed="false">
      <c r="A10" s="17" t="s">
        <v>268</v>
      </c>
      <c r="B10" s="18" t="n">
        <v>383.9</v>
      </c>
      <c r="C10" s="20" t="s">
        <v>128</v>
      </c>
      <c r="D10" s="8" t="n">
        <v>0</v>
      </c>
      <c r="E10" s="18" t="n">
        <f aca="false">ROUND(B10*D10,1)</f>
        <v>0</v>
      </c>
      <c r="F10" s="18" t="n">
        <f aca="false">B10-E10</f>
        <v>383.9</v>
      </c>
      <c r="G10" s="5" t="s">
        <v>26</v>
      </c>
      <c r="H10" s="5" t="s">
        <v>124</v>
      </c>
      <c r="I10" s="8" t="n">
        <v>0.5</v>
      </c>
      <c r="J10" s="5" t="n">
        <v>1</v>
      </c>
      <c r="K10" s="17" t="s">
        <v>149</v>
      </c>
      <c r="L10" s="5" t="s">
        <v>118</v>
      </c>
      <c r="M10" s="17" t="s">
        <v>367</v>
      </c>
    </row>
    <row r="11" customFormat="false" ht="15" hidden="false" customHeight="false" outlineLevel="0" collapsed="false">
      <c r="A11" s="17" t="s">
        <v>368</v>
      </c>
      <c r="B11" s="18" t="n">
        <v>387.4</v>
      </c>
      <c r="C11" s="20" t="s">
        <v>128</v>
      </c>
      <c r="D11" s="8" t="n">
        <v>0</v>
      </c>
      <c r="E11" s="18" t="n">
        <f aca="false">ROUND(B11*D11,1)</f>
        <v>0</v>
      </c>
      <c r="F11" s="18" t="n">
        <f aca="false">B11-E11</f>
        <v>387.4</v>
      </c>
      <c r="G11" s="5" t="s">
        <v>26</v>
      </c>
      <c r="H11" s="5" t="s">
        <v>124</v>
      </c>
      <c r="I11" s="8" t="n">
        <v>0.5</v>
      </c>
      <c r="J11" s="5" t="n">
        <v>1</v>
      </c>
      <c r="K11" s="17" t="s">
        <v>149</v>
      </c>
      <c r="L11" s="5" t="s">
        <v>118</v>
      </c>
      <c r="M11" s="17" t="s">
        <v>367</v>
      </c>
    </row>
    <row r="12" customFormat="false" ht="15" hidden="false" customHeight="false" outlineLevel="0" collapsed="false">
      <c r="A12" s="17" t="s">
        <v>270</v>
      </c>
      <c r="B12" s="18" t="n">
        <v>387.5</v>
      </c>
      <c r="C12" s="20" t="s">
        <v>128</v>
      </c>
      <c r="D12" s="8" t="n">
        <v>0</v>
      </c>
      <c r="E12" s="18" t="n">
        <f aca="false">ROUND(B12*D12,1)</f>
        <v>0</v>
      </c>
      <c r="F12" s="18" t="n">
        <f aca="false">B12-E12</f>
        <v>387.5</v>
      </c>
      <c r="G12" s="5" t="s">
        <v>26</v>
      </c>
      <c r="H12" s="5" t="s">
        <v>124</v>
      </c>
      <c r="I12" s="8" t="n">
        <v>0.5</v>
      </c>
      <c r="J12" s="5" t="n">
        <v>1</v>
      </c>
      <c r="K12" s="17" t="s">
        <v>129</v>
      </c>
      <c r="L12" s="5" t="s">
        <v>118</v>
      </c>
      <c r="M12" s="17" t="s">
        <v>367</v>
      </c>
    </row>
    <row r="13" customFormat="false" ht="15" hidden="false" customHeight="false" outlineLevel="0" collapsed="false">
      <c r="A13" s="17" t="s">
        <v>160</v>
      </c>
      <c r="B13" s="18" t="n">
        <v>128.3</v>
      </c>
      <c r="C13" s="20" t="s">
        <v>128</v>
      </c>
      <c r="D13" s="8" t="n">
        <v>0</v>
      </c>
      <c r="E13" s="18" t="n">
        <f aca="false">ROUND(B13*D13,1)</f>
        <v>0</v>
      </c>
      <c r="F13" s="18" t="n">
        <f aca="false">B13-E13</f>
        <v>128.3</v>
      </c>
      <c r="G13" s="5" t="s">
        <v>26</v>
      </c>
      <c r="H13" s="5" t="s">
        <v>148</v>
      </c>
      <c r="I13" s="8" t="n">
        <v>0</v>
      </c>
      <c r="J13" s="5" t="n">
        <v>1</v>
      </c>
      <c r="K13" s="17" t="s">
        <v>149</v>
      </c>
      <c r="L13" s="5" t="s">
        <v>118</v>
      </c>
      <c r="M13" s="17" t="s">
        <v>369</v>
      </c>
    </row>
    <row r="14" customFormat="false" ht="22.35" hidden="false" customHeight="false" outlineLevel="0" collapsed="false">
      <c r="A14" s="17" t="s">
        <v>155</v>
      </c>
      <c r="B14" s="18" t="n">
        <v>109</v>
      </c>
      <c r="C14" s="20" t="s">
        <v>128</v>
      </c>
      <c r="D14" s="8" t="n">
        <v>0</v>
      </c>
      <c r="E14" s="18" t="n">
        <f aca="false">ROUND(B14*D14,1)</f>
        <v>0</v>
      </c>
      <c r="F14" s="18" t="n">
        <f aca="false">B14-E14</f>
        <v>109</v>
      </c>
      <c r="G14" s="5" t="s">
        <v>26</v>
      </c>
      <c r="H14" s="5" t="s">
        <v>124</v>
      </c>
      <c r="I14" s="8" t="n">
        <v>0.5</v>
      </c>
      <c r="J14" s="5" t="n">
        <v>1</v>
      </c>
      <c r="K14" s="17" t="s">
        <v>149</v>
      </c>
      <c r="L14" s="5" t="s">
        <v>118</v>
      </c>
      <c r="M14" s="17" t="s">
        <v>370</v>
      </c>
    </row>
    <row r="15" customFormat="false" ht="22.35" hidden="false" customHeight="false" outlineLevel="0" collapsed="false">
      <c r="A15" s="17" t="s">
        <v>153</v>
      </c>
      <c r="B15" s="18" t="n">
        <v>84.8</v>
      </c>
      <c r="C15" s="20" t="s">
        <v>128</v>
      </c>
      <c r="D15" s="8" t="n">
        <v>0</v>
      </c>
      <c r="E15" s="18" t="n">
        <f aca="false">ROUND(B15*D15,1)</f>
        <v>0</v>
      </c>
      <c r="F15" s="18" t="n">
        <f aca="false">B15-E15</f>
        <v>84.8</v>
      </c>
      <c r="G15" s="5" t="s">
        <v>26</v>
      </c>
      <c r="H15" s="5" t="s">
        <v>116</v>
      </c>
      <c r="I15" s="8" t="n">
        <v>1</v>
      </c>
      <c r="J15" s="5" t="n">
        <v>1</v>
      </c>
      <c r="K15" s="17" t="s">
        <v>149</v>
      </c>
      <c r="L15" s="5" t="s">
        <v>118</v>
      </c>
      <c r="M15" s="17" t="s">
        <v>371</v>
      </c>
    </row>
    <row r="16" customFormat="false" ht="22.35" hidden="false" customHeight="false" outlineLevel="0" collapsed="false">
      <c r="A16" s="17" t="s">
        <v>137</v>
      </c>
      <c r="B16" s="18" t="n">
        <v>75.1</v>
      </c>
      <c r="C16" s="20" t="s">
        <v>128</v>
      </c>
      <c r="D16" s="8" t="n">
        <v>0</v>
      </c>
      <c r="E16" s="18" t="n">
        <f aca="false">ROUND(B16*D16,1)</f>
        <v>0</v>
      </c>
      <c r="F16" s="18" t="n">
        <f aca="false">B16-E16</f>
        <v>75.1</v>
      </c>
      <c r="G16" s="5" t="s">
        <v>26</v>
      </c>
      <c r="H16" s="5" t="s">
        <v>148</v>
      </c>
      <c r="I16" s="8" t="n">
        <v>0</v>
      </c>
      <c r="J16" s="5" t="n">
        <v>1</v>
      </c>
      <c r="K16" s="17" t="s">
        <v>149</v>
      </c>
      <c r="L16" s="5" t="s">
        <v>118</v>
      </c>
      <c r="M16" s="17" t="s">
        <v>372</v>
      </c>
    </row>
    <row r="17" customFormat="false" ht="15" hidden="false" customHeight="false" outlineLevel="0" collapsed="false">
      <c r="A17" s="17" t="s">
        <v>131</v>
      </c>
      <c r="B17" s="18" t="n">
        <v>55.4</v>
      </c>
      <c r="C17" s="20" t="s">
        <v>128</v>
      </c>
      <c r="D17" s="8" t="n">
        <v>0</v>
      </c>
      <c r="E17" s="18" t="n">
        <f aca="false">ROUND(B17*D17,1)</f>
        <v>0</v>
      </c>
      <c r="F17" s="18" t="n">
        <f aca="false">B17-E17</f>
        <v>55.4</v>
      </c>
      <c r="G17" s="5" t="s">
        <v>26</v>
      </c>
      <c r="H17" s="5" t="s">
        <v>124</v>
      </c>
      <c r="I17" s="8" t="n">
        <v>0.5</v>
      </c>
      <c r="J17" s="5" t="n">
        <v>1</v>
      </c>
      <c r="K17" s="17" t="s">
        <v>149</v>
      </c>
      <c r="L17" s="5" t="s">
        <v>118</v>
      </c>
      <c r="M17" s="17" t="s">
        <v>373</v>
      </c>
    </row>
    <row r="18" customFormat="false" ht="15" hidden="false" customHeight="false" outlineLevel="0" collapsed="false">
      <c r="A18" s="17" t="s">
        <v>139</v>
      </c>
      <c r="B18" s="18" t="n">
        <v>104</v>
      </c>
      <c r="C18" s="20" t="s">
        <v>128</v>
      </c>
      <c r="D18" s="8" t="n">
        <v>0</v>
      </c>
      <c r="E18" s="18" t="n">
        <f aca="false">ROUND(B18*D18,1)</f>
        <v>0</v>
      </c>
      <c r="F18" s="18" t="n">
        <f aca="false">B18-E18</f>
        <v>104</v>
      </c>
      <c r="G18" s="5" t="s">
        <v>26</v>
      </c>
      <c r="H18" s="5" t="s">
        <v>124</v>
      </c>
      <c r="I18" s="8" t="n">
        <v>0.5</v>
      </c>
      <c r="J18" s="5" t="n">
        <v>1</v>
      </c>
      <c r="K18" s="17" t="s">
        <v>149</v>
      </c>
      <c r="L18" s="5" t="s">
        <v>118</v>
      </c>
      <c r="M18" s="17" t="s">
        <v>374</v>
      </c>
    </row>
    <row r="19" customFormat="false" ht="15" hidden="false" customHeight="false" outlineLevel="0" collapsed="false">
      <c r="A19" s="9" t="s">
        <v>163</v>
      </c>
      <c r="B19" s="10" t="n">
        <f aca="false">SUM(B6:B18)</f>
        <v>3114.8</v>
      </c>
      <c r="C19" s="9"/>
      <c r="D19" s="11" t="n">
        <f aca="false">IF(B19=0,0,E19/B19)</f>
        <v>0.165147039938359</v>
      </c>
      <c r="E19" s="10" t="n">
        <f aca="false">SUM(E6:E18)</f>
        <v>514.4</v>
      </c>
      <c r="F19" s="10" t="n">
        <f aca="false">SUM(F6:F18)</f>
        <v>2600.4</v>
      </c>
      <c r="G19" s="9"/>
      <c r="H19" s="9"/>
      <c r="I19" s="9"/>
      <c r="J19" s="9"/>
      <c r="K19" s="9"/>
      <c r="L19" s="9"/>
      <c r="M19" s="9"/>
    </row>
    <row r="21" customFormat="false" ht="15" hidden="false" customHeight="false" outlineLevel="0" collapsed="false">
      <c r="A21" s="12" t="s">
        <v>164</v>
      </c>
      <c r="D21" s="22" t="n">
        <f aca="false">F19*8</f>
        <v>20803.2</v>
      </c>
      <c r="E21" s="16" t="s">
        <v>165</v>
      </c>
    </row>
    <row r="22" customFormat="false" ht="15" hidden="false" customHeight="false" outlineLevel="0" collapsed="false">
      <c r="A22" s="12" t="s">
        <v>166</v>
      </c>
      <c r="D22" s="23" t="n">
        <v>0</v>
      </c>
      <c r="E22" s="16" t="s">
        <v>167</v>
      </c>
    </row>
    <row r="23" customFormat="false" ht="15" hidden="false" customHeight="false" outlineLevel="0" collapsed="false">
      <c r="A23" s="12" t="s">
        <v>168</v>
      </c>
      <c r="D23" s="24" t="n">
        <v>0.36</v>
      </c>
      <c r="E23" s="16" t="s">
        <v>375</v>
      </c>
    </row>
    <row r="24" customFormat="false" ht="15" hidden="false" customHeight="false" outlineLevel="0" collapsed="false">
      <c r="A24" s="12" t="s">
        <v>170</v>
      </c>
      <c r="D24" s="22" t="n">
        <f aca="false">(B19-D22)*(1-D23)</f>
        <v>1993.472</v>
      </c>
      <c r="E24" s="16" t="s">
        <v>171</v>
      </c>
    </row>
    <row r="25" customFormat="false" ht="15" hidden="false" customHeight="false" outlineLevel="0" collapsed="false">
      <c r="A25" s="12" t="s">
        <v>172</v>
      </c>
      <c r="D25" s="22" t="n">
        <f aca="false">D24*4</f>
        <v>7973.888</v>
      </c>
      <c r="E25" s="16" t="s">
        <v>173</v>
      </c>
    </row>
    <row r="26" customFormat="false" ht="15" hidden="false" customHeight="false" outlineLevel="0" collapsed="false">
      <c r="A26" s="12" t="s">
        <v>174</v>
      </c>
      <c r="D26" s="23" t="n">
        <v>514</v>
      </c>
    </row>
    <row r="27" customFormat="false" ht="15" hidden="false" customHeight="false" outlineLevel="0" collapsed="false">
      <c r="A27" s="12" t="s">
        <v>175</v>
      </c>
      <c r="D27" s="23" t="n">
        <v>0</v>
      </c>
      <c r="E27" s="16" t="s">
        <v>176</v>
      </c>
    </row>
    <row r="28" customFormat="false" ht="15" hidden="false" customHeight="false" outlineLevel="0" collapsed="false">
      <c r="A28" s="12" t="s">
        <v>177</v>
      </c>
      <c r="D28" s="23" t="n">
        <v>2600</v>
      </c>
    </row>
    <row r="29" customFormat="false" ht="15" hidden="false" customHeight="false" outlineLevel="0" collapsed="false">
      <c r="A29" s="12" t="s">
        <v>178</v>
      </c>
      <c r="D29" s="23" t="n">
        <v>0</v>
      </c>
      <c r="E29" s="16" t="s">
        <v>179</v>
      </c>
    </row>
    <row r="30" customFormat="false" ht="15" hidden="false" customHeight="true" outlineLevel="0" collapsed="false">
      <c r="A30" s="25" t="s">
        <v>376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</row>
  </sheetData>
  <mergeCells count="1">
    <mergeCell ref="A30:M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10" min="9" style="0" width="9"/>
    <col collapsed="false" customWidth="true" hidden="false" outlineLevel="0" max="11" min="11" style="0" width="46"/>
    <col collapsed="false" customWidth="true" hidden="false" outlineLevel="0" max="12" min="12" style="0" width="17"/>
    <col collapsed="false" customWidth="true" hidden="false" outlineLevel="0" max="13" min="13" style="0" width="54"/>
  </cols>
  <sheetData>
    <row r="1" customFormat="false" ht="16.15" hidden="false" customHeight="false" outlineLevel="0" collapsed="false">
      <c r="A1" s="14" t="s">
        <v>377</v>
      </c>
    </row>
    <row r="2" customFormat="false" ht="15" hidden="false" customHeight="false" outlineLevel="0" collapsed="false">
      <c r="A2" s="15" t="s">
        <v>378</v>
      </c>
    </row>
    <row r="3" customFormat="false" ht="15" hidden="false" customHeight="false" outlineLevel="0" collapsed="false">
      <c r="A3" s="16" t="s">
        <v>379</v>
      </c>
    </row>
    <row r="5" customFormat="false" ht="22.35" hidden="false" customHeight="false" outlineLevel="0" collapsed="false">
      <c r="A5" s="4" t="s">
        <v>102</v>
      </c>
      <c r="B5" s="4" t="s">
        <v>103</v>
      </c>
      <c r="C5" s="4" t="s">
        <v>104</v>
      </c>
      <c r="D5" s="4" t="s">
        <v>105</v>
      </c>
      <c r="E5" s="4" t="s">
        <v>106</v>
      </c>
      <c r="F5" s="4" t="s">
        <v>107</v>
      </c>
      <c r="G5" s="4" t="s">
        <v>108</v>
      </c>
      <c r="H5" s="4" t="s">
        <v>109</v>
      </c>
      <c r="I5" s="4" t="s">
        <v>110</v>
      </c>
      <c r="J5" s="4" t="s">
        <v>16</v>
      </c>
      <c r="K5" s="4" t="s">
        <v>111</v>
      </c>
      <c r="L5" s="4" t="s">
        <v>112</v>
      </c>
      <c r="M5" s="4" t="s">
        <v>113</v>
      </c>
    </row>
    <row r="6" customFormat="false" ht="22.35" hidden="false" customHeight="false" outlineLevel="0" collapsed="false">
      <c r="A6" s="17" t="s">
        <v>123</v>
      </c>
      <c r="B6" s="18" t="n">
        <v>344.9</v>
      </c>
      <c r="C6" s="19" t="s">
        <v>115</v>
      </c>
      <c r="D6" s="8" t="n">
        <v>1</v>
      </c>
      <c r="E6" s="18" t="n">
        <f aca="false">ROUND(B6*D6,1)</f>
        <v>344.9</v>
      </c>
      <c r="F6" s="18" t="n">
        <f aca="false">B6-E6</f>
        <v>0</v>
      </c>
      <c r="G6" s="5" t="s">
        <v>26</v>
      </c>
      <c r="H6" s="5" t="s">
        <v>116</v>
      </c>
      <c r="I6" s="8" t="n">
        <v>0.75</v>
      </c>
      <c r="J6" s="5" t="n">
        <v>2</v>
      </c>
      <c r="K6" s="17" t="s">
        <v>135</v>
      </c>
      <c r="L6" s="5" t="s">
        <v>118</v>
      </c>
      <c r="M6" s="17" t="s">
        <v>380</v>
      </c>
    </row>
    <row r="7" customFormat="false" ht="15" hidden="false" customHeight="false" outlineLevel="0" collapsed="false">
      <c r="A7" s="17" t="s">
        <v>145</v>
      </c>
      <c r="B7" s="18" t="n">
        <v>85.3</v>
      </c>
      <c r="C7" s="19" t="s">
        <v>115</v>
      </c>
      <c r="D7" s="8" t="n">
        <v>1</v>
      </c>
      <c r="E7" s="18" t="n">
        <f aca="false">ROUND(B7*D7,1)</f>
        <v>85.3</v>
      </c>
      <c r="F7" s="18" t="n">
        <f aca="false">B7-E7</f>
        <v>0</v>
      </c>
      <c r="G7" s="5" t="s">
        <v>26</v>
      </c>
      <c r="H7" s="5" t="s">
        <v>116</v>
      </c>
      <c r="I7" s="8" t="n">
        <v>1</v>
      </c>
      <c r="J7" s="5" t="n">
        <v>1</v>
      </c>
      <c r="K7" s="17" t="s">
        <v>261</v>
      </c>
      <c r="L7" s="5" t="s">
        <v>118</v>
      </c>
      <c r="M7" s="17" t="s">
        <v>381</v>
      </c>
    </row>
    <row r="8" customFormat="false" ht="32.8" hidden="false" customHeight="false" outlineLevel="0" collapsed="false">
      <c r="A8" s="17" t="s">
        <v>134</v>
      </c>
      <c r="B8" s="18" t="n">
        <v>1120.1</v>
      </c>
      <c r="C8" s="20" t="s">
        <v>128</v>
      </c>
      <c r="D8" s="8" t="n">
        <v>0</v>
      </c>
      <c r="E8" s="18" t="n">
        <f aca="false">ROUND(B8*D8,1)</f>
        <v>0</v>
      </c>
      <c r="F8" s="18" t="n">
        <f aca="false">B8-E8</f>
        <v>1120.1</v>
      </c>
      <c r="G8" s="5" t="s">
        <v>26</v>
      </c>
      <c r="H8" s="5" t="s">
        <v>148</v>
      </c>
      <c r="I8" s="8" t="n">
        <v>0.21</v>
      </c>
      <c r="J8" s="5" t="n">
        <v>2</v>
      </c>
      <c r="K8" s="17" t="s">
        <v>264</v>
      </c>
      <c r="L8" s="5" t="s">
        <v>118</v>
      </c>
      <c r="M8" s="17" t="s">
        <v>382</v>
      </c>
    </row>
    <row r="9" customFormat="false" ht="15" hidden="false" customHeight="false" outlineLevel="0" collapsed="false">
      <c r="A9" s="17" t="s">
        <v>159</v>
      </c>
      <c r="B9" s="18" t="n">
        <v>810</v>
      </c>
      <c r="C9" s="20" t="s">
        <v>128</v>
      </c>
      <c r="D9" s="8" t="n">
        <v>0</v>
      </c>
      <c r="E9" s="18" t="n">
        <f aca="false">ROUND(B9*D9,1)</f>
        <v>0</v>
      </c>
      <c r="F9" s="18" t="n">
        <f aca="false">B9-E9</f>
        <v>810</v>
      </c>
      <c r="G9" s="5" t="s">
        <v>26</v>
      </c>
      <c r="H9" s="5" t="s">
        <v>124</v>
      </c>
      <c r="I9" s="8" t="n">
        <v>0.5</v>
      </c>
      <c r="J9" s="5" t="n">
        <v>2</v>
      </c>
      <c r="K9" s="17" t="s">
        <v>315</v>
      </c>
      <c r="L9" s="5" t="s">
        <v>118</v>
      </c>
      <c r="M9" s="17" t="s">
        <v>383</v>
      </c>
    </row>
    <row r="10" customFormat="false" ht="15" hidden="false" customHeight="false" outlineLevel="0" collapsed="false">
      <c r="A10" s="17" t="s">
        <v>147</v>
      </c>
      <c r="B10" s="18" t="n">
        <v>812</v>
      </c>
      <c r="C10" s="20" t="s">
        <v>128</v>
      </c>
      <c r="D10" s="8" t="n">
        <v>0</v>
      </c>
      <c r="E10" s="18" t="n">
        <f aca="false">ROUND(B10*D10,1)</f>
        <v>0</v>
      </c>
      <c r="F10" s="18" t="n">
        <f aca="false">B10-E10</f>
        <v>812</v>
      </c>
      <c r="G10" s="5" t="s">
        <v>26</v>
      </c>
      <c r="H10" s="5" t="s">
        <v>124</v>
      </c>
      <c r="I10" s="8" t="n">
        <v>0.5</v>
      </c>
      <c r="J10" s="5" t="n">
        <v>2</v>
      </c>
      <c r="K10" s="17" t="s">
        <v>315</v>
      </c>
      <c r="L10" s="5" t="s">
        <v>118</v>
      </c>
      <c r="M10" s="17" t="s">
        <v>384</v>
      </c>
    </row>
    <row r="11" customFormat="false" ht="15" hidden="false" customHeight="false" outlineLevel="0" collapsed="false">
      <c r="A11" s="17" t="s">
        <v>127</v>
      </c>
      <c r="B11" s="18" t="n">
        <v>751.2</v>
      </c>
      <c r="C11" s="20" t="s">
        <v>128</v>
      </c>
      <c r="D11" s="8" t="n">
        <v>0</v>
      </c>
      <c r="E11" s="18" t="n">
        <f aca="false">ROUND(B11*D11,1)</f>
        <v>0</v>
      </c>
      <c r="F11" s="18" t="n">
        <f aca="false">B11-E11</f>
        <v>751.2</v>
      </c>
      <c r="G11" s="5" t="s">
        <v>26</v>
      </c>
      <c r="H11" s="5" t="s">
        <v>124</v>
      </c>
      <c r="I11" s="8" t="n">
        <v>0.5</v>
      </c>
      <c r="J11" s="5" t="n">
        <v>2</v>
      </c>
      <c r="K11" s="17" t="s">
        <v>264</v>
      </c>
      <c r="L11" s="5" t="s">
        <v>118</v>
      </c>
      <c r="M11" s="17" t="s">
        <v>384</v>
      </c>
    </row>
    <row r="12" customFormat="false" ht="15" hidden="false" customHeight="false" outlineLevel="0" collapsed="false">
      <c r="A12" s="17" t="s">
        <v>152</v>
      </c>
      <c r="B12" s="18" t="n">
        <v>283.4</v>
      </c>
      <c r="C12" s="20" t="s">
        <v>128</v>
      </c>
      <c r="D12" s="8" t="n">
        <v>0</v>
      </c>
      <c r="E12" s="18" t="n">
        <f aca="false">ROUND(B12*D12,1)</f>
        <v>0</v>
      </c>
      <c r="F12" s="18" t="n">
        <f aca="false">B12-E12</f>
        <v>283.4</v>
      </c>
      <c r="G12" s="5" t="s">
        <v>26</v>
      </c>
      <c r="H12" s="5" t="s">
        <v>124</v>
      </c>
      <c r="I12" s="8" t="n">
        <v>0.5</v>
      </c>
      <c r="J12" s="5" t="n">
        <v>1</v>
      </c>
      <c r="K12" s="17" t="s">
        <v>129</v>
      </c>
      <c r="L12" s="5" t="s">
        <v>118</v>
      </c>
      <c r="M12" s="17" t="s">
        <v>385</v>
      </c>
    </row>
    <row r="13" customFormat="false" ht="15" hidden="false" customHeight="false" outlineLevel="0" collapsed="false">
      <c r="A13" s="17" t="s">
        <v>386</v>
      </c>
      <c r="B13" s="18" t="n">
        <v>249</v>
      </c>
      <c r="C13" s="20" t="s">
        <v>128</v>
      </c>
      <c r="D13" s="8" t="n">
        <v>0</v>
      </c>
      <c r="E13" s="18" t="n">
        <f aca="false">ROUND(B13*D13,1)</f>
        <v>0</v>
      </c>
      <c r="F13" s="18" t="n">
        <f aca="false">B13-E13</f>
        <v>249</v>
      </c>
      <c r="G13" s="5" t="s">
        <v>26</v>
      </c>
      <c r="H13" s="5" t="s">
        <v>124</v>
      </c>
      <c r="I13" s="8" t="n">
        <v>0.5</v>
      </c>
      <c r="J13" s="5" t="n">
        <v>1</v>
      </c>
      <c r="K13" s="17" t="s">
        <v>129</v>
      </c>
      <c r="L13" s="5" t="s">
        <v>118</v>
      </c>
      <c r="M13" s="17" t="s">
        <v>387</v>
      </c>
    </row>
    <row r="14" customFormat="false" ht="15" hidden="false" customHeight="false" outlineLevel="0" collapsed="false">
      <c r="A14" s="17" t="s">
        <v>141</v>
      </c>
      <c r="B14" s="18" t="n">
        <v>284.4</v>
      </c>
      <c r="C14" s="20" t="s">
        <v>128</v>
      </c>
      <c r="D14" s="8" t="n">
        <v>0</v>
      </c>
      <c r="E14" s="18" t="n">
        <f aca="false">ROUND(B14*D14,1)</f>
        <v>0</v>
      </c>
      <c r="F14" s="18" t="n">
        <f aca="false">B14-E14</f>
        <v>284.4</v>
      </c>
      <c r="G14" s="5" t="s">
        <v>26</v>
      </c>
      <c r="H14" s="5" t="s">
        <v>124</v>
      </c>
      <c r="I14" s="8" t="n">
        <v>0.5</v>
      </c>
      <c r="J14" s="5" t="n">
        <v>1</v>
      </c>
      <c r="K14" s="17" t="s">
        <v>129</v>
      </c>
      <c r="L14" s="5" t="s">
        <v>118</v>
      </c>
      <c r="M14" s="17" t="s">
        <v>388</v>
      </c>
    </row>
    <row r="15" customFormat="false" ht="15" hidden="false" customHeight="false" outlineLevel="0" collapsed="false">
      <c r="A15" s="17" t="s">
        <v>389</v>
      </c>
      <c r="B15" s="18" t="n">
        <v>188.9</v>
      </c>
      <c r="C15" s="20" t="s">
        <v>128</v>
      </c>
      <c r="D15" s="8" t="n">
        <v>0</v>
      </c>
      <c r="E15" s="18" t="n">
        <f aca="false">ROUND(B15*D15,1)</f>
        <v>0</v>
      </c>
      <c r="F15" s="18" t="n">
        <f aca="false">B15-E15</f>
        <v>188.9</v>
      </c>
      <c r="G15" s="5" t="s">
        <v>26</v>
      </c>
      <c r="H15" s="5" t="s">
        <v>124</v>
      </c>
      <c r="I15" s="8" t="n">
        <v>0.5</v>
      </c>
      <c r="J15" s="5" t="n">
        <v>1</v>
      </c>
      <c r="K15" s="17" t="s">
        <v>129</v>
      </c>
      <c r="L15" s="5" t="s">
        <v>118</v>
      </c>
      <c r="M15" s="17" t="s">
        <v>390</v>
      </c>
    </row>
    <row r="16" customFormat="false" ht="15" hidden="false" customHeight="false" outlineLevel="0" collapsed="false">
      <c r="A16" s="17" t="s">
        <v>160</v>
      </c>
      <c r="B16" s="18" t="n">
        <v>185.7</v>
      </c>
      <c r="C16" s="20" t="s">
        <v>128</v>
      </c>
      <c r="D16" s="8" t="n">
        <v>0</v>
      </c>
      <c r="E16" s="18" t="n">
        <f aca="false">ROUND(B16*D16,1)</f>
        <v>0</v>
      </c>
      <c r="F16" s="18" t="n">
        <f aca="false">B16-E16</f>
        <v>185.7</v>
      </c>
      <c r="G16" s="5" t="s">
        <v>26</v>
      </c>
      <c r="H16" s="5" t="s">
        <v>116</v>
      </c>
      <c r="I16" s="8" t="n">
        <v>1</v>
      </c>
      <c r="J16" s="5" t="n">
        <v>1</v>
      </c>
      <c r="K16" s="17" t="s">
        <v>129</v>
      </c>
      <c r="L16" s="5" t="s">
        <v>118</v>
      </c>
      <c r="M16" s="17" t="s">
        <v>391</v>
      </c>
    </row>
    <row r="17" customFormat="false" ht="22.35" hidden="false" customHeight="false" outlineLevel="0" collapsed="false">
      <c r="A17" s="17" t="s">
        <v>266</v>
      </c>
      <c r="B17" s="18" t="n">
        <v>439.8</v>
      </c>
      <c r="C17" s="20" t="s">
        <v>128</v>
      </c>
      <c r="D17" s="8" t="n">
        <v>0</v>
      </c>
      <c r="E17" s="18" t="n">
        <f aca="false">ROUND(B17*D17,1)</f>
        <v>0</v>
      </c>
      <c r="F17" s="18" t="n">
        <f aca="false">B17-E17</f>
        <v>439.8</v>
      </c>
      <c r="G17" s="5" t="s">
        <v>26</v>
      </c>
      <c r="H17" s="5" t="s">
        <v>124</v>
      </c>
      <c r="I17" s="8" t="n">
        <v>0.5</v>
      </c>
      <c r="J17" s="5" t="n">
        <v>1</v>
      </c>
      <c r="K17" s="17" t="s">
        <v>129</v>
      </c>
      <c r="L17" s="5" t="s">
        <v>118</v>
      </c>
      <c r="M17" s="17" t="s">
        <v>392</v>
      </c>
    </row>
    <row r="18" customFormat="false" ht="22.35" hidden="false" customHeight="false" outlineLevel="0" collapsed="false">
      <c r="A18" s="17" t="s">
        <v>393</v>
      </c>
      <c r="B18" s="18" t="n">
        <v>634.6</v>
      </c>
      <c r="C18" s="20" t="s">
        <v>128</v>
      </c>
      <c r="D18" s="8" t="n">
        <v>0</v>
      </c>
      <c r="E18" s="18" t="n">
        <f aca="false">ROUND(B18*D18,1)</f>
        <v>0</v>
      </c>
      <c r="F18" s="18" t="n">
        <f aca="false">B18-E18</f>
        <v>634.6</v>
      </c>
      <c r="G18" s="5" t="s">
        <v>26</v>
      </c>
      <c r="H18" s="5" t="s">
        <v>148</v>
      </c>
      <c r="I18" s="8" t="n">
        <v>0</v>
      </c>
      <c r="J18" s="5" t="n">
        <v>2</v>
      </c>
      <c r="K18" s="17" t="s">
        <v>264</v>
      </c>
      <c r="L18" s="5" t="s">
        <v>118</v>
      </c>
      <c r="M18" s="17" t="s">
        <v>392</v>
      </c>
    </row>
    <row r="19" customFormat="false" ht="22.35" hidden="false" customHeight="false" outlineLevel="0" collapsed="false">
      <c r="A19" s="17" t="s">
        <v>289</v>
      </c>
      <c r="B19" s="18" t="n">
        <v>438.6</v>
      </c>
      <c r="C19" s="20" t="s">
        <v>128</v>
      </c>
      <c r="D19" s="8" t="n">
        <v>0</v>
      </c>
      <c r="E19" s="18" t="n">
        <f aca="false">ROUND(B19*D19,1)</f>
        <v>0</v>
      </c>
      <c r="F19" s="18" t="n">
        <f aca="false">B19-E19</f>
        <v>438.6</v>
      </c>
      <c r="G19" s="5" t="s">
        <v>26</v>
      </c>
      <c r="H19" s="5" t="s">
        <v>148</v>
      </c>
      <c r="I19" s="8" t="n">
        <v>0</v>
      </c>
      <c r="J19" s="5" t="n">
        <v>1</v>
      </c>
      <c r="K19" s="17" t="s">
        <v>129</v>
      </c>
      <c r="L19" s="5" t="s">
        <v>118</v>
      </c>
      <c r="M19" s="17" t="s">
        <v>392</v>
      </c>
    </row>
    <row r="20" customFormat="false" ht="22.35" hidden="false" customHeight="false" outlineLevel="0" collapsed="false">
      <c r="A20" s="17" t="s">
        <v>394</v>
      </c>
      <c r="B20" s="18" t="n">
        <v>635.7</v>
      </c>
      <c r="C20" s="20" t="s">
        <v>128</v>
      </c>
      <c r="D20" s="8" t="n">
        <v>0</v>
      </c>
      <c r="E20" s="18" t="n">
        <f aca="false">ROUND(B20*D20,1)</f>
        <v>0</v>
      </c>
      <c r="F20" s="18" t="n">
        <f aca="false">B20-E20</f>
        <v>635.7</v>
      </c>
      <c r="G20" s="5" t="s">
        <v>26</v>
      </c>
      <c r="H20" s="5" t="s">
        <v>124</v>
      </c>
      <c r="I20" s="8" t="n">
        <v>0.25</v>
      </c>
      <c r="J20" s="5" t="n">
        <v>2</v>
      </c>
      <c r="K20" s="17" t="s">
        <v>264</v>
      </c>
      <c r="L20" s="5" t="s">
        <v>118</v>
      </c>
      <c r="M20" s="17" t="s">
        <v>392</v>
      </c>
    </row>
    <row r="21" customFormat="false" ht="22.35" hidden="false" customHeight="false" outlineLevel="0" collapsed="false">
      <c r="A21" s="17" t="s">
        <v>257</v>
      </c>
      <c r="B21" s="18" t="n">
        <v>438.6</v>
      </c>
      <c r="C21" s="20" t="s">
        <v>128</v>
      </c>
      <c r="D21" s="8" t="n">
        <v>0</v>
      </c>
      <c r="E21" s="18" t="n">
        <f aca="false">ROUND(B21*D21,1)</f>
        <v>0</v>
      </c>
      <c r="F21" s="18" t="n">
        <f aca="false">B21-E21</f>
        <v>438.6</v>
      </c>
      <c r="G21" s="5" t="s">
        <v>26</v>
      </c>
      <c r="H21" s="5" t="s">
        <v>116</v>
      </c>
      <c r="I21" s="8" t="n">
        <v>1</v>
      </c>
      <c r="J21" s="5" t="n">
        <v>1</v>
      </c>
      <c r="K21" s="17" t="s">
        <v>129</v>
      </c>
      <c r="L21" s="5" t="s">
        <v>118</v>
      </c>
      <c r="M21" s="17" t="s">
        <v>392</v>
      </c>
    </row>
    <row r="22" customFormat="false" ht="22.35" hidden="false" customHeight="false" outlineLevel="0" collapsed="false">
      <c r="A22" s="17" t="s">
        <v>395</v>
      </c>
      <c r="B22" s="18" t="n">
        <v>635.7</v>
      </c>
      <c r="C22" s="20" t="s">
        <v>128</v>
      </c>
      <c r="D22" s="8" t="n">
        <v>0</v>
      </c>
      <c r="E22" s="18" t="n">
        <f aca="false">ROUND(B22*D22,1)</f>
        <v>0</v>
      </c>
      <c r="F22" s="18" t="n">
        <f aca="false">B22-E22</f>
        <v>635.7</v>
      </c>
      <c r="G22" s="5" t="s">
        <v>30</v>
      </c>
      <c r="H22" s="5" t="s">
        <v>148</v>
      </c>
      <c r="I22" s="8" t="n">
        <v>0</v>
      </c>
      <c r="J22" s="5" t="n">
        <v>1</v>
      </c>
      <c r="K22" s="17" t="s">
        <v>129</v>
      </c>
      <c r="L22" s="5" t="s">
        <v>118</v>
      </c>
      <c r="M22" s="17" t="s">
        <v>392</v>
      </c>
    </row>
    <row r="23" customFormat="false" ht="22.35" hidden="false" customHeight="false" outlineLevel="0" collapsed="false">
      <c r="A23" s="17" t="s">
        <v>265</v>
      </c>
      <c r="B23" s="18" t="n">
        <v>437.5</v>
      </c>
      <c r="C23" s="20" t="s">
        <v>128</v>
      </c>
      <c r="D23" s="8" t="n">
        <v>0</v>
      </c>
      <c r="E23" s="18" t="n">
        <f aca="false">ROUND(B23*D23,1)</f>
        <v>0</v>
      </c>
      <c r="F23" s="18" t="n">
        <f aca="false">B23-E23</f>
        <v>437.5</v>
      </c>
      <c r="G23" s="5" t="s">
        <v>26</v>
      </c>
      <c r="H23" s="5" t="s">
        <v>116</v>
      </c>
      <c r="I23" s="8" t="n">
        <v>1</v>
      </c>
      <c r="J23" s="5" t="n">
        <v>1</v>
      </c>
      <c r="K23" s="17" t="s">
        <v>129</v>
      </c>
      <c r="L23" s="5" t="s">
        <v>118</v>
      </c>
      <c r="M23" s="17" t="s">
        <v>392</v>
      </c>
    </row>
    <row r="24" customFormat="false" ht="22.35" hidden="false" customHeight="false" outlineLevel="0" collapsed="false">
      <c r="A24" s="17" t="s">
        <v>396</v>
      </c>
      <c r="B24" s="18" t="n">
        <v>544.6</v>
      </c>
      <c r="C24" s="20" t="s">
        <v>128</v>
      </c>
      <c r="D24" s="8" t="n">
        <v>0</v>
      </c>
      <c r="E24" s="18" t="n">
        <f aca="false">ROUND(B24*D24,1)</f>
        <v>0</v>
      </c>
      <c r="F24" s="18" t="n">
        <f aca="false">B24-E24</f>
        <v>544.6</v>
      </c>
      <c r="G24" s="5" t="s">
        <v>26</v>
      </c>
      <c r="H24" s="5" t="s">
        <v>124</v>
      </c>
      <c r="I24" s="8" t="n">
        <v>0.5</v>
      </c>
      <c r="J24" s="5" t="n">
        <v>2</v>
      </c>
      <c r="K24" s="17" t="s">
        <v>264</v>
      </c>
      <c r="L24" s="5" t="s">
        <v>118</v>
      </c>
      <c r="M24" s="17" t="s">
        <v>392</v>
      </c>
    </row>
    <row r="25" customFormat="false" ht="22.35" hidden="false" customHeight="false" outlineLevel="0" collapsed="false">
      <c r="A25" s="17" t="s">
        <v>259</v>
      </c>
      <c r="B25" s="18" t="n">
        <v>438.6</v>
      </c>
      <c r="C25" s="20" t="s">
        <v>128</v>
      </c>
      <c r="D25" s="8" t="n">
        <v>0</v>
      </c>
      <c r="E25" s="18" t="n">
        <f aca="false">ROUND(B25*D25,1)</f>
        <v>0</v>
      </c>
      <c r="F25" s="18" t="n">
        <f aca="false">B25-E25</f>
        <v>438.6</v>
      </c>
      <c r="G25" s="5" t="s">
        <v>26</v>
      </c>
      <c r="H25" s="5" t="s">
        <v>148</v>
      </c>
      <c r="I25" s="8" t="n">
        <v>0</v>
      </c>
      <c r="J25" s="5" t="n">
        <v>1</v>
      </c>
      <c r="K25" s="17" t="s">
        <v>129</v>
      </c>
      <c r="L25" s="5" t="s">
        <v>118</v>
      </c>
      <c r="M25" s="17" t="s">
        <v>392</v>
      </c>
    </row>
    <row r="26" customFormat="false" ht="22.35" hidden="false" customHeight="false" outlineLevel="0" collapsed="false">
      <c r="A26" s="17" t="s">
        <v>397</v>
      </c>
      <c r="B26" s="18" t="n">
        <v>224.8</v>
      </c>
      <c r="C26" s="20" t="s">
        <v>128</v>
      </c>
      <c r="D26" s="8" t="n">
        <v>0</v>
      </c>
      <c r="E26" s="18" t="n">
        <f aca="false">ROUND(B26*D26,1)</f>
        <v>0</v>
      </c>
      <c r="F26" s="18" t="n">
        <f aca="false">B26-E26</f>
        <v>224.8</v>
      </c>
      <c r="G26" s="5" t="s">
        <v>26</v>
      </c>
      <c r="H26" s="5" t="s">
        <v>116</v>
      </c>
      <c r="I26" s="8" t="n">
        <v>1</v>
      </c>
      <c r="J26" s="5" t="n">
        <v>1</v>
      </c>
      <c r="K26" s="17" t="s">
        <v>129</v>
      </c>
      <c r="L26" s="5" t="s">
        <v>118</v>
      </c>
      <c r="M26" s="17" t="s">
        <v>392</v>
      </c>
    </row>
    <row r="27" customFormat="false" ht="22.35" hidden="false" customHeight="false" outlineLevel="0" collapsed="false">
      <c r="A27" s="17" t="s">
        <v>263</v>
      </c>
      <c r="B27" s="18" t="n">
        <v>453.4</v>
      </c>
      <c r="C27" s="20" t="s">
        <v>128</v>
      </c>
      <c r="D27" s="8" t="n">
        <v>0</v>
      </c>
      <c r="E27" s="18" t="n">
        <f aca="false">ROUND(B27*D27,1)</f>
        <v>0</v>
      </c>
      <c r="F27" s="18" t="n">
        <f aca="false">B27-E27</f>
        <v>453.4</v>
      </c>
      <c r="G27" s="5" t="s">
        <v>30</v>
      </c>
      <c r="H27" s="5" t="s">
        <v>116</v>
      </c>
      <c r="I27" s="8" t="n">
        <v>1</v>
      </c>
      <c r="J27" s="5" t="n">
        <v>1</v>
      </c>
      <c r="K27" s="17" t="s">
        <v>129</v>
      </c>
      <c r="L27" s="5" t="s">
        <v>118</v>
      </c>
      <c r="M27" s="17" t="s">
        <v>392</v>
      </c>
    </row>
    <row r="28" customFormat="false" ht="22.35" hidden="false" customHeight="false" outlineLevel="0" collapsed="false">
      <c r="A28" s="17" t="s">
        <v>267</v>
      </c>
      <c r="B28" s="18" t="n">
        <v>449.6</v>
      </c>
      <c r="C28" s="20" t="s">
        <v>128</v>
      </c>
      <c r="D28" s="8" t="n">
        <v>0</v>
      </c>
      <c r="E28" s="18" t="n">
        <f aca="false">ROUND(B28*D28,1)</f>
        <v>0</v>
      </c>
      <c r="F28" s="18" t="n">
        <f aca="false">B28-E28</f>
        <v>449.6</v>
      </c>
      <c r="G28" s="5" t="s">
        <v>26</v>
      </c>
      <c r="H28" s="5" t="s">
        <v>148</v>
      </c>
      <c r="I28" s="8" t="n">
        <v>0</v>
      </c>
      <c r="J28" s="5" t="n">
        <v>1</v>
      </c>
      <c r="K28" s="17" t="s">
        <v>129</v>
      </c>
      <c r="L28" s="5" t="s">
        <v>118</v>
      </c>
      <c r="M28" s="17" t="s">
        <v>392</v>
      </c>
    </row>
    <row r="29" customFormat="false" ht="22.35" hidden="false" customHeight="false" outlineLevel="0" collapsed="false">
      <c r="A29" s="17" t="s">
        <v>276</v>
      </c>
      <c r="B29" s="18" t="n">
        <v>444.1</v>
      </c>
      <c r="C29" s="20" t="s">
        <v>128</v>
      </c>
      <c r="D29" s="8" t="n">
        <v>0</v>
      </c>
      <c r="E29" s="18" t="n">
        <f aca="false">ROUND(B29*D29,1)</f>
        <v>0</v>
      </c>
      <c r="F29" s="18" t="n">
        <f aca="false">B29-E29</f>
        <v>444.1</v>
      </c>
      <c r="G29" s="5" t="s">
        <v>26</v>
      </c>
      <c r="H29" s="5" t="s">
        <v>148</v>
      </c>
      <c r="I29" s="8" t="n">
        <v>0</v>
      </c>
      <c r="J29" s="5" t="n">
        <v>1</v>
      </c>
      <c r="K29" s="17" t="s">
        <v>129</v>
      </c>
      <c r="L29" s="5" t="s">
        <v>118</v>
      </c>
      <c r="M29" s="17" t="s">
        <v>392</v>
      </c>
    </row>
    <row r="30" customFormat="false" ht="22.35" hidden="false" customHeight="false" outlineLevel="0" collapsed="false">
      <c r="A30" s="17" t="s">
        <v>286</v>
      </c>
      <c r="B30" s="18" t="n">
        <v>600</v>
      </c>
      <c r="C30" s="20" t="s">
        <v>128</v>
      </c>
      <c r="D30" s="8" t="n">
        <v>0</v>
      </c>
      <c r="E30" s="18" t="n">
        <f aca="false">ROUND(B30*D30,1)</f>
        <v>0</v>
      </c>
      <c r="F30" s="18" t="n">
        <f aca="false">B30-E30</f>
        <v>600</v>
      </c>
      <c r="G30" s="5" t="s">
        <v>26</v>
      </c>
      <c r="H30" s="5" t="s">
        <v>148</v>
      </c>
      <c r="I30" s="8" t="n">
        <v>0</v>
      </c>
      <c r="J30" s="5" t="n">
        <v>2</v>
      </c>
      <c r="K30" s="17" t="s">
        <v>264</v>
      </c>
      <c r="L30" s="5" t="s">
        <v>118</v>
      </c>
      <c r="M30" s="17" t="s">
        <v>392</v>
      </c>
    </row>
    <row r="31" customFormat="false" ht="22.35" hidden="false" customHeight="false" outlineLevel="0" collapsed="false">
      <c r="A31" s="17" t="s">
        <v>270</v>
      </c>
      <c r="B31" s="18" t="n">
        <v>613.3</v>
      </c>
      <c r="C31" s="20" t="s">
        <v>128</v>
      </c>
      <c r="D31" s="8" t="n">
        <v>0</v>
      </c>
      <c r="E31" s="18" t="n">
        <f aca="false">ROUND(B31*D31,1)</f>
        <v>0</v>
      </c>
      <c r="F31" s="18" t="n">
        <f aca="false">B31-E31</f>
        <v>613.3</v>
      </c>
      <c r="G31" s="5" t="s">
        <v>30</v>
      </c>
      <c r="H31" s="5" t="s">
        <v>124</v>
      </c>
      <c r="I31" s="8" t="n">
        <v>0.5</v>
      </c>
      <c r="J31" s="5" t="n">
        <v>1</v>
      </c>
      <c r="K31" s="17" t="s">
        <v>129</v>
      </c>
      <c r="L31" s="5" t="s">
        <v>118</v>
      </c>
      <c r="M31" s="17" t="s">
        <v>392</v>
      </c>
    </row>
    <row r="32" customFormat="false" ht="22.35" hidden="false" customHeight="false" outlineLevel="0" collapsed="false">
      <c r="A32" s="17" t="s">
        <v>285</v>
      </c>
      <c r="B32" s="18" t="n">
        <v>640.2</v>
      </c>
      <c r="C32" s="21" t="s">
        <v>124</v>
      </c>
      <c r="D32" s="8" t="n">
        <v>0.5</v>
      </c>
      <c r="E32" s="18" t="n">
        <f aca="false">ROUND(B32*D32,1)</f>
        <v>320.1</v>
      </c>
      <c r="F32" s="18" t="n">
        <f aca="false">B32-E32</f>
        <v>320.1</v>
      </c>
      <c r="G32" s="5" t="s">
        <v>26</v>
      </c>
      <c r="H32" s="5" t="s">
        <v>124</v>
      </c>
      <c r="I32" s="8" t="n">
        <v>0.5</v>
      </c>
      <c r="J32" s="5" t="n">
        <v>2</v>
      </c>
      <c r="K32" s="17" t="s">
        <v>269</v>
      </c>
      <c r="L32" s="5" t="s">
        <v>118</v>
      </c>
      <c r="M32" s="17" t="s">
        <v>392</v>
      </c>
    </row>
    <row r="33" customFormat="false" ht="22.35" hidden="false" customHeight="false" outlineLevel="0" collapsed="false">
      <c r="A33" s="17" t="s">
        <v>268</v>
      </c>
      <c r="B33" s="18" t="n">
        <v>642.4</v>
      </c>
      <c r="C33" s="20" t="s">
        <v>128</v>
      </c>
      <c r="D33" s="8" t="n">
        <v>0</v>
      </c>
      <c r="E33" s="18" t="n">
        <f aca="false">ROUND(B33*D33,1)</f>
        <v>0</v>
      </c>
      <c r="F33" s="18" t="n">
        <f aca="false">B33-E33</f>
        <v>642.4</v>
      </c>
      <c r="G33" s="5" t="s">
        <v>26</v>
      </c>
      <c r="H33" s="5" t="s">
        <v>124</v>
      </c>
      <c r="I33" s="8" t="n">
        <v>0.5</v>
      </c>
      <c r="J33" s="5" t="n">
        <v>2</v>
      </c>
      <c r="K33" s="17" t="s">
        <v>264</v>
      </c>
      <c r="L33" s="5" t="s">
        <v>118</v>
      </c>
      <c r="M33" s="17" t="s">
        <v>392</v>
      </c>
    </row>
    <row r="34" customFormat="false" ht="15" hidden="false" customHeight="false" outlineLevel="0" collapsed="false">
      <c r="A34" s="17" t="s">
        <v>398</v>
      </c>
      <c r="B34" s="18" t="n">
        <v>12.2</v>
      </c>
      <c r="C34" s="20" t="s">
        <v>128</v>
      </c>
      <c r="D34" s="8" t="n">
        <v>0</v>
      </c>
      <c r="E34" s="18" t="n">
        <f aca="false">ROUND(B34*D34,1)</f>
        <v>0</v>
      </c>
      <c r="F34" s="18" t="n">
        <f aca="false">B34-E34</f>
        <v>12.2</v>
      </c>
      <c r="G34" s="5" t="s">
        <v>26</v>
      </c>
      <c r="H34" s="5" t="s">
        <v>148</v>
      </c>
      <c r="I34" s="8" t="n">
        <v>0</v>
      </c>
      <c r="J34" s="5" t="n">
        <v>1</v>
      </c>
      <c r="K34" s="17" t="s">
        <v>129</v>
      </c>
      <c r="L34" s="5" t="s">
        <v>118</v>
      </c>
      <c r="M34" s="17" t="s">
        <v>399</v>
      </c>
    </row>
    <row r="35" customFormat="false" ht="22.35" hidden="false" customHeight="false" outlineLevel="0" collapsed="false">
      <c r="A35" s="17" t="s">
        <v>400</v>
      </c>
      <c r="B35" s="18" t="n">
        <v>32.7</v>
      </c>
      <c r="C35" s="20" t="s">
        <v>128</v>
      </c>
      <c r="D35" s="8" t="n">
        <v>0</v>
      </c>
      <c r="E35" s="18" t="n">
        <f aca="false">ROUND(B35*D35,1)</f>
        <v>0</v>
      </c>
      <c r="F35" s="18" t="n">
        <f aca="false">B35-E35</f>
        <v>32.7</v>
      </c>
      <c r="G35" s="5" t="s">
        <v>26</v>
      </c>
      <c r="H35" s="5" t="s">
        <v>124</v>
      </c>
      <c r="I35" s="8" t="n">
        <v>0.5</v>
      </c>
      <c r="J35" s="5" t="n">
        <v>1</v>
      </c>
      <c r="K35" s="17" t="s">
        <v>129</v>
      </c>
      <c r="L35" s="5" t="s">
        <v>118</v>
      </c>
      <c r="M35" s="17" t="s">
        <v>401</v>
      </c>
    </row>
    <row r="36" customFormat="false" ht="22.35" hidden="false" customHeight="false" outlineLevel="0" collapsed="false">
      <c r="A36" s="17" t="s">
        <v>142</v>
      </c>
      <c r="B36" s="18" t="n">
        <v>24.2</v>
      </c>
      <c r="C36" s="21" t="s">
        <v>124</v>
      </c>
      <c r="D36" s="8" t="n">
        <v>0.08</v>
      </c>
      <c r="E36" s="18" t="n">
        <f aca="false">ROUND(B36*D36,1)</f>
        <v>1.9</v>
      </c>
      <c r="F36" s="18" t="n">
        <f aca="false">B36-E36</f>
        <v>22.3</v>
      </c>
      <c r="G36" s="5" t="s">
        <v>69</v>
      </c>
      <c r="H36" s="5" t="s">
        <v>188</v>
      </c>
      <c r="I36" s="8" t="s">
        <v>189</v>
      </c>
      <c r="J36" s="5" t="n">
        <v>0</v>
      </c>
      <c r="K36" s="17" t="s">
        <v>190</v>
      </c>
      <c r="L36" s="5" t="s">
        <v>118</v>
      </c>
      <c r="M36" s="17" t="s">
        <v>402</v>
      </c>
    </row>
    <row r="37" customFormat="false" ht="15" hidden="false" customHeight="false" outlineLevel="0" collapsed="false">
      <c r="A37" s="9" t="s">
        <v>163</v>
      </c>
      <c r="B37" s="10" t="n">
        <f aca="false">SUM(B6:B36)</f>
        <v>13895.5</v>
      </c>
      <c r="C37" s="9"/>
      <c r="D37" s="11" t="n">
        <f aca="false">IF(B37=0,0,E37/B37)</f>
        <v>0.0541326328667554</v>
      </c>
      <c r="E37" s="10" t="n">
        <f aca="false">SUM(E6:E36)</f>
        <v>752.2</v>
      </c>
      <c r="F37" s="10" t="n">
        <f aca="false">SUM(F6:F36)</f>
        <v>13143.3</v>
      </c>
      <c r="G37" s="9"/>
      <c r="H37" s="9"/>
      <c r="I37" s="9"/>
      <c r="J37" s="9"/>
      <c r="K37" s="9"/>
      <c r="L37" s="9"/>
      <c r="M37" s="9"/>
    </row>
    <row r="39" customFormat="false" ht="15" hidden="false" customHeight="false" outlineLevel="0" collapsed="false">
      <c r="A39" s="12" t="s">
        <v>164</v>
      </c>
      <c r="D39" s="22" t="n">
        <f aca="false">F37*8</f>
        <v>105146.4</v>
      </c>
      <c r="E39" s="16" t="s">
        <v>165</v>
      </c>
    </row>
    <row r="40" customFormat="false" ht="15" hidden="false" customHeight="false" outlineLevel="0" collapsed="false">
      <c r="A40" s="12" t="s">
        <v>166</v>
      </c>
      <c r="D40" s="23" t="n">
        <v>0</v>
      </c>
      <c r="E40" s="16" t="s">
        <v>167</v>
      </c>
    </row>
    <row r="41" customFormat="false" ht="15" hidden="false" customHeight="false" outlineLevel="0" collapsed="false">
      <c r="A41" s="12" t="s">
        <v>168</v>
      </c>
      <c r="D41" s="24" t="n">
        <v>0.44</v>
      </c>
      <c r="E41" s="16" t="s">
        <v>403</v>
      </c>
    </row>
    <row r="42" customFormat="false" ht="15" hidden="false" customHeight="false" outlineLevel="0" collapsed="false">
      <c r="A42" s="12" t="s">
        <v>170</v>
      </c>
      <c r="D42" s="22" t="n">
        <f aca="false">(B37-D40)*(1-D41)</f>
        <v>7781.48</v>
      </c>
      <c r="E42" s="16" t="s">
        <v>171</v>
      </c>
    </row>
    <row r="43" customFormat="false" ht="15" hidden="false" customHeight="false" outlineLevel="0" collapsed="false">
      <c r="A43" s="12" t="s">
        <v>172</v>
      </c>
      <c r="D43" s="22" t="n">
        <f aca="false">D42*4</f>
        <v>31125.92</v>
      </c>
      <c r="E43" s="16" t="s">
        <v>173</v>
      </c>
    </row>
    <row r="44" customFormat="false" ht="15" hidden="false" customHeight="false" outlineLevel="0" collapsed="false">
      <c r="A44" s="12" t="s">
        <v>174</v>
      </c>
      <c r="D44" s="23" t="n">
        <v>752</v>
      </c>
    </row>
    <row r="45" customFormat="false" ht="15" hidden="false" customHeight="false" outlineLevel="0" collapsed="false">
      <c r="A45" s="12" t="s">
        <v>175</v>
      </c>
      <c r="D45" s="23" t="n">
        <v>0</v>
      </c>
      <c r="E45" s="16" t="s">
        <v>176</v>
      </c>
    </row>
    <row r="46" customFormat="false" ht="15" hidden="false" customHeight="false" outlineLevel="0" collapsed="false">
      <c r="A46" s="12" t="s">
        <v>177</v>
      </c>
      <c r="D46" s="23" t="n">
        <v>13143</v>
      </c>
    </row>
    <row r="47" customFormat="false" ht="15" hidden="false" customHeight="false" outlineLevel="0" collapsed="false">
      <c r="A47" s="12" t="s">
        <v>178</v>
      </c>
      <c r="D47" s="23" t="n">
        <v>0</v>
      </c>
      <c r="E47" s="16" t="s">
        <v>179</v>
      </c>
    </row>
    <row r="48" customFormat="false" ht="15" hidden="false" customHeight="true" outlineLevel="0" collapsed="false">
      <c r="A48" s="25" t="s">
        <v>404</v>
      </c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</row>
  </sheetData>
  <mergeCells count="1">
    <mergeCell ref="A48:M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10" min="9" style="0" width="9"/>
    <col collapsed="false" customWidth="true" hidden="false" outlineLevel="0" max="11" min="11" style="0" width="46"/>
    <col collapsed="false" customWidth="true" hidden="false" outlineLevel="0" max="12" min="12" style="0" width="17"/>
    <col collapsed="false" customWidth="true" hidden="false" outlineLevel="0" max="13" min="13" style="0" width="54"/>
  </cols>
  <sheetData>
    <row r="1" customFormat="false" ht="16.15" hidden="false" customHeight="false" outlineLevel="0" collapsed="false">
      <c r="A1" s="14" t="s">
        <v>405</v>
      </c>
    </row>
    <row r="2" customFormat="false" ht="15" hidden="false" customHeight="false" outlineLevel="0" collapsed="false">
      <c r="A2" s="15" t="s">
        <v>406</v>
      </c>
    </row>
    <row r="3" customFormat="false" ht="15" hidden="false" customHeight="false" outlineLevel="0" collapsed="false">
      <c r="A3" s="16" t="s">
        <v>407</v>
      </c>
    </row>
    <row r="5" customFormat="false" ht="22.35" hidden="false" customHeight="false" outlineLevel="0" collapsed="false">
      <c r="A5" s="4" t="s">
        <v>102</v>
      </c>
      <c r="B5" s="4" t="s">
        <v>103</v>
      </c>
      <c r="C5" s="4" t="s">
        <v>104</v>
      </c>
      <c r="D5" s="4" t="s">
        <v>105</v>
      </c>
      <c r="E5" s="4" t="s">
        <v>106</v>
      </c>
      <c r="F5" s="4" t="s">
        <v>107</v>
      </c>
      <c r="G5" s="4" t="s">
        <v>108</v>
      </c>
      <c r="H5" s="4" t="s">
        <v>109</v>
      </c>
      <c r="I5" s="4" t="s">
        <v>110</v>
      </c>
      <c r="J5" s="4" t="s">
        <v>16</v>
      </c>
      <c r="K5" s="4" t="s">
        <v>111</v>
      </c>
      <c r="L5" s="4" t="s">
        <v>112</v>
      </c>
      <c r="M5" s="4" t="s">
        <v>113</v>
      </c>
    </row>
    <row r="6" customFormat="false" ht="32.8" hidden="false" customHeight="false" outlineLevel="0" collapsed="false">
      <c r="A6" s="17" t="s">
        <v>408</v>
      </c>
      <c r="B6" s="18" t="n">
        <v>1980</v>
      </c>
      <c r="C6" s="20" t="s">
        <v>128</v>
      </c>
      <c r="D6" s="8" t="n">
        <v>0</v>
      </c>
      <c r="E6" s="18" t="n">
        <f aca="false">ROUND(B6*D6,1)</f>
        <v>0</v>
      </c>
      <c r="F6" s="18" t="n">
        <f aca="false">B6-E6</f>
        <v>1980</v>
      </c>
      <c r="G6" s="5" t="s">
        <v>26</v>
      </c>
      <c r="H6" s="5" t="s">
        <v>148</v>
      </c>
      <c r="I6" s="8" t="n">
        <v>0</v>
      </c>
      <c r="J6" s="5" t="n">
        <v>6</v>
      </c>
      <c r="K6" s="17" t="s">
        <v>409</v>
      </c>
      <c r="L6" s="5" t="s">
        <v>118</v>
      </c>
      <c r="M6" s="17" t="s">
        <v>410</v>
      </c>
    </row>
    <row r="7" customFormat="false" ht="32.8" hidden="false" customHeight="false" outlineLevel="0" collapsed="false">
      <c r="A7" s="17" t="s">
        <v>145</v>
      </c>
      <c r="B7" s="18" t="n">
        <v>511.5</v>
      </c>
      <c r="C7" s="19" t="s">
        <v>115</v>
      </c>
      <c r="D7" s="8" t="n">
        <v>1</v>
      </c>
      <c r="E7" s="18" t="n">
        <f aca="false">ROUND(B7*D7,1)</f>
        <v>511.5</v>
      </c>
      <c r="F7" s="18" t="n">
        <f aca="false">B7-E7</f>
        <v>0</v>
      </c>
      <c r="G7" s="5" t="s">
        <v>30</v>
      </c>
      <c r="H7" s="5" t="s">
        <v>124</v>
      </c>
      <c r="I7" s="8" t="n">
        <v>0.5</v>
      </c>
      <c r="J7" s="5" t="n">
        <v>1</v>
      </c>
      <c r="K7" s="17" t="s">
        <v>125</v>
      </c>
      <c r="L7" s="5" t="s">
        <v>118</v>
      </c>
      <c r="M7" s="17" t="s">
        <v>411</v>
      </c>
    </row>
    <row r="8" customFormat="false" ht="22.35" hidden="false" customHeight="false" outlineLevel="0" collapsed="false">
      <c r="A8" s="17" t="s">
        <v>114</v>
      </c>
      <c r="B8" s="18" t="n">
        <v>239.5</v>
      </c>
      <c r="C8" s="20" t="s">
        <v>128</v>
      </c>
      <c r="D8" s="8" t="n">
        <v>0</v>
      </c>
      <c r="E8" s="18" t="n">
        <f aca="false">ROUND(B8*D8,1)</f>
        <v>0</v>
      </c>
      <c r="F8" s="18" t="n">
        <f aca="false">B8-E8</f>
        <v>239.5</v>
      </c>
      <c r="G8" s="5" t="s">
        <v>26</v>
      </c>
      <c r="H8" s="5" t="s">
        <v>148</v>
      </c>
      <c r="I8" s="8" t="n">
        <v>0</v>
      </c>
      <c r="J8" s="5" t="n">
        <v>1</v>
      </c>
      <c r="K8" s="17" t="s">
        <v>129</v>
      </c>
      <c r="L8" s="5" t="s">
        <v>118</v>
      </c>
      <c r="M8" s="17" t="s">
        <v>412</v>
      </c>
    </row>
    <row r="9" customFormat="false" ht="32.8" hidden="false" customHeight="false" outlineLevel="0" collapsed="false">
      <c r="A9" s="17" t="s">
        <v>413</v>
      </c>
      <c r="B9" s="18" t="n">
        <v>126</v>
      </c>
      <c r="C9" s="20" t="s">
        <v>128</v>
      </c>
      <c r="D9" s="8" t="n">
        <v>0</v>
      </c>
      <c r="E9" s="18" t="n">
        <f aca="false">ROUND(B9*D9,1)</f>
        <v>0</v>
      </c>
      <c r="F9" s="18" t="n">
        <f aca="false">B9-E9</f>
        <v>126</v>
      </c>
      <c r="G9" s="5" t="s">
        <v>69</v>
      </c>
      <c r="H9" s="5" t="s">
        <v>188</v>
      </c>
      <c r="I9" s="8" t="s">
        <v>189</v>
      </c>
      <c r="J9" s="5" t="n">
        <v>0</v>
      </c>
      <c r="K9" s="17" t="s">
        <v>190</v>
      </c>
      <c r="L9" s="5" t="s">
        <v>191</v>
      </c>
      <c r="M9" s="17" t="s">
        <v>414</v>
      </c>
    </row>
    <row r="10" customFormat="false" ht="32.8" hidden="false" customHeight="false" outlineLevel="0" collapsed="false">
      <c r="A10" s="17" t="s">
        <v>415</v>
      </c>
      <c r="B10" s="18" t="n">
        <v>126</v>
      </c>
      <c r="C10" s="20" t="s">
        <v>128</v>
      </c>
      <c r="D10" s="8" t="n">
        <v>0</v>
      </c>
      <c r="E10" s="18" t="n">
        <f aca="false">ROUND(B10*D10,1)</f>
        <v>0</v>
      </c>
      <c r="F10" s="18" t="n">
        <f aca="false">B10-E10</f>
        <v>126</v>
      </c>
      <c r="G10" s="5" t="s">
        <v>69</v>
      </c>
      <c r="H10" s="5" t="s">
        <v>188</v>
      </c>
      <c r="I10" s="8" t="s">
        <v>189</v>
      </c>
      <c r="J10" s="5" t="n">
        <v>0</v>
      </c>
      <c r="K10" s="17" t="s">
        <v>190</v>
      </c>
      <c r="L10" s="5" t="s">
        <v>191</v>
      </c>
      <c r="M10" s="17" t="s">
        <v>414</v>
      </c>
    </row>
    <row r="11" customFormat="false" ht="32.8" hidden="false" customHeight="false" outlineLevel="0" collapsed="false">
      <c r="A11" s="17" t="s">
        <v>416</v>
      </c>
      <c r="B11" s="18" t="n">
        <v>126</v>
      </c>
      <c r="C11" s="20" t="s">
        <v>128</v>
      </c>
      <c r="D11" s="8" t="n">
        <v>0</v>
      </c>
      <c r="E11" s="18" t="n">
        <f aca="false">ROUND(B11*D11,1)</f>
        <v>0</v>
      </c>
      <c r="F11" s="18" t="n">
        <f aca="false">B11-E11</f>
        <v>126</v>
      </c>
      <c r="G11" s="5" t="s">
        <v>69</v>
      </c>
      <c r="H11" s="5" t="s">
        <v>188</v>
      </c>
      <c r="I11" s="8" t="s">
        <v>189</v>
      </c>
      <c r="J11" s="5" t="n">
        <v>0</v>
      </c>
      <c r="K11" s="17" t="s">
        <v>190</v>
      </c>
      <c r="L11" s="5" t="s">
        <v>191</v>
      </c>
      <c r="M11" s="17" t="s">
        <v>414</v>
      </c>
    </row>
    <row r="12" customFormat="false" ht="32.8" hidden="false" customHeight="false" outlineLevel="0" collapsed="false">
      <c r="A12" s="17" t="s">
        <v>417</v>
      </c>
      <c r="B12" s="18" t="n">
        <v>126</v>
      </c>
      <c r="C12" s="20" t="s">
        <v>128</v>
      </c>
      <c r="D12" s="8" t="n">
        <v>0</v>
      </c>
      <c r="E12" s="18" t="n">
        <f aca="false">ROUND(B12*D12,1)</f>
        <v>0</v>
      </c>
      <c r="F12" s="18" t="n">
        <f aca="false">B12-E12</f>
        <v>126</v>
      </c>
      <c r="G12" s="5" t="s">
        <v>69</v>
      </c>
      <c r="H12" s="5" t="s">
        <v>188</v>
      </c>
      <c r="I12" s="8" t="s">
        <v>189</v>
      </c>
      <c r="J12" s="5" t="n">
        <v>0</v>
      </c>
      <c r="K12" s="17" t="s">
        <v>190</v>
      </c>
      <c r="L12" s="5" t="s">
        <v>191</v>
      </c>
      <c r="M12" s="17" t="s">
        <v>414</v>
      </c>
    </row>
    <row r="13" customFormat="false" ht="32.8" hidden="false" customHeight="false" outlineLevel="0" collapsed="false">
      <c r="A13" s="17" t="s">
        <v>418</v>
      </c>
      <c r="B13" s="18" t="n">
        <v>126</v>
      </c>
      <c r="C13" s="20" t="s">
        <v>128</v>
      </c>
      <c r="D13" s="8" t="n">
        <v>0</v>
      </c>
      <c r="E13" s="18" t="n">
        <f aca="false">ROUND(B13*D13,1)</f>
        <v>0</v>
      </c>
      <c r="F13" s="18" t="n">
        <f aca="false">B13-E13</f>
        <v>126</v>
      </c>
      <c r="G13" s="5" t="s">
        <v>69</v>
      </c>
      <c r="H13" s="5" t="s">
        <v>188</v>
      </c>
      <c r="I13" s="8" t="s">
        <v>189</v>
      </c>
      <c r="J13" s="5" t="n">
        <v>0</v>
      </c>
      <c r="K13" s="17" t="s">
        <v>190</v>
      </c>
      <c r="L13" s="5" t="s">
        <v>191</v>
      </c>
      <c r="M13" s="17" t="s">
        <v>414</v>
      </c>
    </row>
    <row r="14" customFormat="false" ht="32.8" hidden="false" customHeight="false" outlineLevel="0" collapsed="false">
      <c r="A14" s="17" t="s">
        <v>419</v>
      </c>
      <c r="B14" s="18" t="n">
        <v>126</v>
      </c>
      <c r="C14" s="20" t="s">
        <v>128</v>
      </c>
      <c r="D14" s="8" t="n">
        <v>0</v>
      </c>
      <c r="E14" s="18" t="n">
        <f aca="false">ROUND(B14*D14,1)</f>
        <v>0</v>
      </c>
      <c r="F14" s="18" t="n">
        <f aca="false">B14-E14</f>
        <v>126</v>
      </c>
      <c r="G14" s="5" t="s">
        <v>69</v>
      </c>
      <c r="H14" s="5" t="s">
        <v>188</v>
      </c>
      <c r="I14" s="8" t="s">
        <v>189</v>
      </c>
      <c r="J14" s="5" t="n">
        <v>0</v>
      </c>
      <c r="K14" s="17" t="s">
        <v>190</v>
      </c>
      <c r="L14" s="5" t="s">
        <v>191</v>
      </c>
      <c r="M14" s="17" t="s">
        <v>414</v>
      </c>
    </row>
    <row r="15" customFormat="false" ht="32.8" hidden="false" customHeight="false" outlineLevel="0" collapsed="false">
      <c r="A15" s="17" t="s">
        <v>420</v>
      </c>
      <c r="B15" s="18" t="n">
        <v>126</v>
      </c>
      <c r="C15" s="20" t="s">
        <v>128</v>
      </c>
      <c r="D15" s="8" t="n">
        <v>0</v>
      </c>
      <c r="E15" s="18" t="n">
        <f aca="false">ROUND(B15*D15,1)</f>
        <v>0</v>
      </c>
      <c r="F15" s="18" t="n">
        <f aca="false">B15-E15</f>
        <v>126</v>
      </c>
      <c r="G15" s="5" t="s">
        <v>69</v>
      </c>
      <c r="H15" s="5" t="s">
        <v>188</v>
      </c>
      <c r="I15" s="8" t="s">
        <v>189</v>
      </c>
      <c r="J15" s="5" t="n">
        <v>0</v>
      </c>
      <c r="K15" s="17" t="s">
        <v>190</v>
      </c>
      <c r="L15" s="5" t="s">
        <v>191</v>
      </c>
      <c r="M15" s="17" t="s">
        <v>414</v>
      </c>
    </row>
    <row r="16" customFormat="false" ht="32.8" hidden="false" customHeight="false" outlineLevel="0" collapsed="false">
      <c r="A16" s="17" t="s">
        <v>421</v>
      </c>
      <c r="B16" s="18" t="n">
        <v>126</v>
      </c>
      <c r="C16" s="20" t="s">
        <v>128</v>
      </c>
      <c r="D16" s="8" t="n">
        <v>0</v>
      </c>
      <c r="E16" s="18" t="n">
        <f aca="false">ROUND(B16*D16,1)</f>
        <v>0</v>
      </c>
      <c r="F16" s="18" t="n">
        <f aca="false">B16-E16</f>
        <v>126</v>
      </c>
      <c r="G16" s="5" t="s">
        <v>69</v>
      </c>
      <c r="H16" s="5" t="s">
        <v>188</v>
      </c>
      <c r="I16" s="8" t="s">
        <v>189</v>
      </c>
      <c r="J16" s="5" t="n">
        <v>0</v>
      </c>
      <c r="K16" s="17" t="s">
        <v>190</v>
      </c>
      <c r="L16" s="5" t="s">
        <v>191</v>
      </c>
      <c r="M16" s="17" t="s">
        <v>414</v>
      </c>
    </row>
    <row r="17" customFormat="false" ht="32.8" hidden="false" customHeight="false" outlineLevel="0" collapsed="false">
      <c r="A17" s="17" t="s">
        <v>422</v>
      </c>
      <c r="B17" s="18" t="n">
        <v>126</v>
      </c>
      <c r="C17" s="20" t="s">
        <v>128</v>
      </c>
      <c r="D17" s="8" t="n">
        <v>0</v>
      </c>
      <c r="E17" s="18" t="n">
        <f aca="false">ROUND(B17*D17,1)</f>
        <v>0</v>
      </c>
      <c r="F17" s="18" t="n">
        <f aca="false">B17-E17</f>
        <v>126</v>
      </c>
      <c r="G17" s="5" t="s">
        <v>69</v>
      </c>
      <c r="H17" s="5" t="s">
        <v>188</v>
      </c>
      <c r="I17" s="8" t="s">
        <v>189</v>
      </c>
      <c r="J17" s="5" t="n">
        <v>0</v>
      </c>
      <c r="K17" s="17" t="s">
        <v>190</v>
      </c>
      <c r="L17" s="5" t="s">
        <v>191</v>
      </c>
      <c r="M17" s="17" t="s">
        <v>414</v>
      </c>
    </row>
    <row r="18" customFormat="false" ht="32.8" hidden="false" customHeight="false" outlineLevel="0" collapsed="false">
      <c r="A18" s="17" t="s">
        <v>423</v>
      </c>
      <c r="B18" s="18" t="n">
        <v>126</v>
      </c>
      <c r="C18" s="20" t="s">
        <v>128</v>
      </c>
      <c r="D18" s="8" t="n">
        <v>0</v>
      </c>
      <c r="E18" s="18" t="n">
        <f aca="false">ROUND(B18*D18,1)</f>
        <v>0</v>
      </c>
      <c r="F18" s="18" t="n">
        <f aca="false">B18-E18</f>
        <v>126</v>
      </c>
      <c r="G18" s="5" t="s">
        <v>69</v>
      </c>
      <c r="H18" s="5" t="s">
        <v>188</v>
      </c>
      <c r="I18" s="8" t="s">
        <v>189</v>
      </c>
      <c r="J18" s="5" t="n">
        <v>0</v>
      </c>
      <c r="K18" s="17" t="s">
        <v>190</v>
      </c>
      <c r="L18" s="5" t="s">
        <v>191</v>
      </c>
      <c r="M18" s="17" t="s">
        <v>414</v>
      </c>
    </row>
    <row r="19" customFormat="false" ht="22.35" hidden="false" customHeight="false" outlineLevel="0" collapsed="false">
      <c r="A19" s="17" t="s">
        <v>424</v>
      </c>
      <c r="B19" s="18" t="n">
        <v>126</v>
      </c>
      <c r="C19" s="20" t="s">
        <v>128</v>
      </c>
      <c r="D19" s="8" t="n">
        <v>0</v>
      </c>
      <c r="E19" s="18" t="n">
        <f aca="false">ROUND(B19*D19,1)</f>
        <v>0</v>
      </c>
      <c r="F19" s="18" t="n">
        <f aca="false">B19-E19</f>
        <v>126</v>
      </c>
      <c r="G19" s="5" t="s">
        <v>69</v>
      </c>
      <c r="H19" s="5" t="s">
        <v>188</v>
      </c>
      <c r="I19" s="8" t="s">
        <v>189</v>
      </c>
      <c r="J19" s="5" t="n">
        <v>0</v>
      </c>
      <c r="K19" s="17" t="s">
        <v>190</v>
      </c>
      <c r="L19" s="5" t="s">
        <v>191</v>
      </c>
      <c r="M19" s="17" t="s">
        <v>425</v>
      </c>
    </row>
    <row r="20" customFormat="false" ht="22.35" hidden="false" customHeight="false" outlineLevel="0" collapsed="false">
      <c r="A20" s="17" t="s">
        <v>426</v>
      </c>
      <c r="B20" s="18" t="n">
        <v>126</v>
      </c>
      <c r="C20" s="20" t="s">
        <v>128</v>
      </c>
      <c r="D20" s="8" t="n">
        <v>0</v>
      </c>
      <c r="E20" s="18" t="n">
        <f aca="false">ROUND(B20*D20,1)</f>
        <v>0</v>
      </c>
      <c r="F20" s="18" t="n">
        <f aca="false">B20-E20</f>
        <v>126</v>
      </c>
      <c r="G20" s="5" t="s">
        <v>69</v>
      </c>
      <c r="H20" s="5" t="s">
        <v>188</v>
      </c>
      <c r="I20" s="8" t="s">
        <v>189</v>
      </c>
      <c r="J20" s="5" t="n">
        <v>0</v>
      </c>
      <c r="K20" s="17" t="s">
        <v>190</v>
      </c>
      <c r="L20" s="5" t="s">
        <v>191</v>
      </c>
      <c r="M20" s="17" t="s">
        <v>425</v>
      </c>
    </row>
    <row r="21" customFormat="false" ht="22.35" hidden="false" customHeight="false" outlineLevel="0" collapsed="false">
      <c r="A21" s="17" t="s">
        <v>427</v>
      </c>
      <c r="B21" s="18" t="n">
        <v>126</v>
      </c>
      <c r="C21" s="20" t="s">
        <v>128</v>
      </c>
      <c r="D21" s="8" t="n">
        <v>0</v>
      </c>
      <c r="E21" s="18" t="n">
        <f aca="false">ROUND(B21*D21,1)</f>
        <v>0</v>
      </c>
      <c r="F21" s="18" t="n">
        <f aca="false">B21-E21</f>
        <v>126</v>
      </c>
      <c r="G21" s="5" t="s">
        <v>69</v>
      </c>
      <c r="H21" s="5" t="s">
        <v>188</v>
      </c>
      <c r="I21" s="8" t="s">
        <v>189</v>
      </c>
      <c r="J21" s="5" t="n">
        <v>0</v>
      </c>
      <c r="K21" s="17" t="s">
        <v>190</v>
      </c>
      <c r="L21" s="5" t="s">
        <v>191</v>
      </c>
      <c r="M21" s="17" t="s">
        <v>425</v>
      </c>
    </row>
    <row r="22" customFormat="false" ht="32.8" hidden="false" customHeight="false" outlineLevel="0" collapsed="false">
      <c r="A22" s="17" t="s">
        <v>428</v>
      </c>
      <c r="B22" s="18" t="n">
        <v>126</v>
      </c>
      <c r="C22" s="20" t="s">
        <v>128</v>
      </c>
      <c r="D22" s="8" t="n">
        <v>0</v>
      </c>
      <c r="E22" s="18" t="n">
        <f aca="false">ROUND(B22*D22,1)</f>
        <v>0</v>
      </c>
      <c r="F22" s="18" t="n">
        <f aca="false">B22-E22</f>
        <v>126</v>
      </c>
      <c r="G22" s="5" t="s">
        <v>69</v>
      </c>
      <c r="H22" s="5" t="s">
        <v>188</v>
      </c>
      <c r="I22" s="8" t="s">
        <v>189</v>
      </c>
      <c r="J22" s="5" t="n">
        <v>0</v>
      </c>
      <c r="K22" s="17" t="s">
        <v>190</v>
      </c>
      <c r="L22" s="5" t="s">
        <v>191</v>
      </c>
      <c r="M22" s="17" t="s">
        <v>429</v>
      </c>
    </row>
    <row r="23" customFormat="false" ht="32.8" hidden="false" customHeight="false" outlineLevel="0" collapsed="false">
      <c r="A23" s="17" t="s">
        <v>430</v>
      </c>
      <c r="B23" s="18" t="n">
        <v>126</v>
      </c>
      <c r="C23" s="20" t="s">
        <v>128</v>
      </c>
      <c r="D23" s="8" t="n">
        <v>0</v>
      </c>
      <c r="E23" s="18" t="n">
        <f aca="false">ROUND(B23*D23,1)</f>
        <v>0</v>
      </c>
      <c r="F23" s="18" t="n">
        <f aca="false">B23-E23</f>
        <v>126</v>
      </c>
      <c r="G23" s="5" t="s">
        <v>69</v>
      </c>
      <c r="H23" s="5" t="s">
        <v>188</v>
      </c>
      <c r="I23" s="8" t="s">
        <v>189</v>
      </c>
      <c r="J23" s="5" t="n">
        <v>0</v>
      </c>
      <c r="K23" s="17" t="s">
        <v>190</v>
      </c>
      <c r="L23" s="5" t="s">
        <v>191</v>
      </c>
      <c r="M23" s="17" t="s">
        <v>429</v>
      </c>
    </row>
    <row r="24" customFormat="false" ht="32.8" hidden="false" customHeight="false" outlineLevel="0" collapsed="false">
      <c r="A24" s="17" t="s">
        <v>431</v>
      </c>
      <c r="B24" s="18" t="n">
        <v>126</v>
      </c>
      <c r="C24" s="20" t="s">
        <v>128</v>
      </c>
      <c r="D24" s="8" t="n">
        <v>0</v>
      </c>
      <c r="E24" s="18" t="n">
        <f aca="false">ROUND(B24*D24,1)</f>
        <v>0</v>
      </c>
      <c r="F24" s="18" t="n">
        <f aca="false">B24-E24</f>
        <v>126</v>
      </c>
      <c r="G24" s="5" t="s">
        <v>69</v>
      </c>
      <c r="H24" s="5" t="s">
        <v>188</v>
      </c>
      <c r="I24" s="8" t="s">
        <v>189</v>
      </c>
      <c r="J24" s="5" t="n">
        <v>0</v>
      </c>
      <c r="K24" s="17" t="s">
        <v>190</v>
      </c>
      <c r="L24" s="5" t="s">
        <v>191</v>
      </c>
      <c r="M24" s="17" t="s">
        <v>429</v>
      </c>
    </row>
    <row r="25" customFormat="false" ht="32.8" hidden="false" customHeight="false" outlineLevel="0" collapsed="false">
      <c r="A25" s="17" t="s">
        <v>432</v>
      </c>
      <c r="B25" s="18" t="n">
        <v>126</v>
      </c>
      <c r="C25" s="20" t="s">
        <v>128</v>
      </c>
      <c r="D25" s="8" t="n">
        <v>0</v>
      </c>
      <c r="E25" s="18" t="n">
        <f aca="false">ROUND(B25*D25,1)</f>
        <v>0</v>
      </c>
      <c r="F25" s="18" t="n">
        <f aca="false">B25-E25</f>
        <v>126</v>
      </c>
      <c r="G25" s="5" t="s">
        <v>69</v>
      </c>
      <c r="H25" s="5" t="s">
        <v>188</v>
      </c>
      <c r="I25" s="8" t="s">
        <v>189</v>
      </c>
      <c r="J25" s="5" t="n">
        <v>0</v>
      </c>
      <c r="K25" s="17" t="s">
        <v>190</v>
      </c>
      <c r="L25" s="5" t="s">
        <v>191</v>
      </c>
      <c r="M25" s="17" t="s">
        <v>429</v>
      </c>
    </row>
    <row r="26" customFormat="false" ht="32.8" hidden="false" customHeight="false" outlineLevel="0" collapsed="false">
      <c r="A26" s="17" t="s">
        <v>433</v>
      </c>
      <c r="B26" s="18" t="n">
        <v>126</v>
      </c>
      <c r="C26" s="20" t="s">
        <v>128</v>
      </c>
      <c r="D26" s="8" t="n">
        <v>0</v>
      </c>
      <c r="E26" s="18" t="n">
        <f aca="false">ROUND(B26*D26,1)</f>
        <v>0</v>
      </c>
      <c r="F26" s="18" t="n">
        <f aca="false">B26-E26</f>
        <v>126</v>
      </c>
      <c r="G26" s="5" t="s">
        <v>69</v>
      </c>
      <c r="H26" s="5" t="s">
        <v>188</v>
      </c>
      <c r="I26" s="8" t="s">
        <v>189</v>
      </c>
      <c r="J26" s="5" t="n">
        <v>0</v>
      </c>
      <c r="K26" s="17" t="s">
        <v>190</v>
      </c>
      <c r="L26" s="5" t="s">
        <v>191</v>
      </c>
      <c r="M26" s="17" t="s">
        <v>434</v>
      </c>
    </row>
    <row r="27" customFormat="false" ht="32.8" hidden="false" customHeight="false" outlineLevel="0" collapsed="false">
      <c r="A27" s="17" t="s">
        <v>435</v>
      </c>
      <c r="B27" s="18" t="n">
        <v>126</v>
      </c>
      <c r="C27" s="20" t="s">
        <v>128</v>
      </c>
      <c r="D27" s="8" t="n">
        <v>0</v>
      </c>
      <c r="E27" s="18" t="n">
        <f aca="false">ROUND(B27*D27,1)</f>
        <v>0</v>
      </c>
      <c r="F27" s="18" t="n">
        <f aca="false">B27-E27</f>
        <v>126</v>
      </c>
      <c r="G27" s="5" t="s">
        <v>30</v>
      </c>
      <c r="H27" s="5" t="s">
        <v>188</v>
      </c>
      <c r="I27" s="8" t="s">
        <v>189</v>
      </c>
      <c r="J27" s="5" t="n">
        <v>0</v>
      </c>
      <c r="K27" s="17" t="s">
        <v>436</v>
      </c>
      <c r="L27" s="5" t="s">
        <v>191</v>
      </c>
      <c r="M27" s="17" t="s">
        <v>434</v>
      </c>
    </row>
    <row r="28" customFormat="false" ht="32.8" hidden="false" customHeight="false" outlineLevel="0" collapsed="false">
      <c r="A28" s="17" t="s">
        <v>437</v>
      </c>
      <c r="B28" s="18" t="n">
        <v>126</v>
      </c>
      <c r="C28" s="20" t="s">
        <v>128</v>
      </c>
      <c r="D28" s="8" t="n">
        <v>0</v>
      </c>
      <c r="E28" s="18" t="n">
        <f aca="false">ROUND(B28*D28,1)</f>
        <v>0</v>
      </c>
      <c r="F28" s="18" t="n">
        <f aca="false">B28-E28</f>
        <v>126</v>
      </c>
      <c r="G28" s="5" t="s">
        <v>69</v>
      </c>
      <c r="H28" s="5" t="s">
        <v>188</v>
      </c>
      <c r="I28" s="8" t="s">
        <v>189</v>
      </c>
      <c r="J28" s="5" t="n">
        <v>0</v>
      </c>
      <c r="K28" s="17" t="s">
        <v>190</v>
      </c>
      <c r="L28" s="5" t="s">
        <v>191</v>
      </c>
      <c r="M28" s="17" t="s">
        <v>434</v>
      </c>
    </row>
    <row r="29" customFormat="false" ht="32.8" hidden="false" customHeight="false" outlineLevel="0" collapsed="false">
      <c r="A29" s="17" t="s">
        <v>438</v>
      </c>
      <c r="B29" s="18" t="n">
        <v>126</v>
      </c>
      <c r="C29" s="20" t="s">
        <v>128</v>
      </c>
      <c r="D29" s="8" t="n">
        <v>0</v>
      </c>
      <c r="E29" s="18" t="n">
        <f aca="false">ROUND(B29*D29,1)</f>
        <v>0</v>
      </c>
      <c r="F29" s="18" t="n">
        <f aca="false">B29-E29</f>
        <v>126</v>
      </c>
      <c r="G29" s="5" t="s">
        <v>30</v>
      </c>
      <c r="H29" s="5" t="s">
        <v>188</v>
      </c>
      <c r="I29" s="8" t="s">
        <v>189</v>
      </c>
      <c r="J29" s="5" t="n">
        <v>0</v>
      </c>
      <c r="K29" s="17" t="s">
        <v>436</v>
      </c>
      <c r="L29" s="5" t="s">
        <v>191</v>
      </c>
      <c r="M29" s="17" t="s">
        <v>434</v>
      </c>
    </row>
    <row r="30" customFormat="false" ht="32.8" hidden="false" customHeight="false" outlineLevel="0" collapsed="false">
      <c r="A30" s="17" t="s">
        <v>439</v>
      </c>
      <c r="B30" s="18" t="n">
        <v>126</v>
      </c>
      <c r="C30" s="20" t="s">
        <v>128</v>
      </c>
      <c r="D30" s="8" t="n">
        <v>0</v>
      </c>
      <c r="E30" s="18" t="n">
        <f aca="false">ROUND(B30*D30,1)</f>
        <v>0</v>
      </c>
      <c r="F30" s="18" t="n">
        <f aca="false">B30-E30</f>
        <v>126</v>
      </c>
      <c r="G30" s="5" t="s">
        <v>69</v>
      </c>
      <c r="H30" s="5" t="s">
        <v>188</v>
      </c>
      <c r="I30" s="8" t="s">
        <v>189</v>
      </c>
      <c r="J30" s="5" t="n">
        <v>0</v>
      </c>
      <c r="K30" s="17" t="s">
        <v>190</v>
      </c>
      <c r="L30" s="5" t="s">
        <v>191</v>
      </c>
      <c r="M30" s="17" t="s">
        <v>434</v>
      </c>
    </row>
    <row r="31" customFormat="false" ht="32.8" hidden="false" customHeight="false" outlineLevel="0" collapsed="false">
      <c r="A31" s="17" t="s">
        <v>440</v>
      </c>
      <c r="B31" s="18" t="n">
        <v>126</v>
      </c>
      <c r="C31" s="20" t="s">
        <v>128</v>
      </c>
      <c r="D31" s="8" t="n">
        <v>0</v>
      </c>
      <c r="E31" s="18" t="n">
        <f aca="false">ROUND(B31*D31,1)</f>
        <v>0</v>
      </c>
      <c r="F31" s="18" t="n">
        <f aca="false">B31-E31</f>
        <v>126</v>
      </c>
      <c r="G31" s="5" t="s">
        <v>69</v>
      </c>
      <c r="H31" s="5" t="s">
        <v>188</v>
      </c>
      <c r="I31" s="8" t="s">
        <v>189</v>
      </c>
      <c r="J31" s="5" t="n">
        <v>0</v>
      </c>
      <c r="K31" s="17" t="s">
        <v>190</v>
      </c>
      <c r="L31" s="5" t="s">
        <v>191</v>
      </c>
      <c r="M31" s="17" t="s">
        <v>434</v>
      </c>
    </row>
    <row r="32" customFormat="false" ht="32.8" hidden="false" customHeight="false" outlineLevel="0" collapsed="false">
      <c r="A32" s="17" t="s">
        <v>441</v>
      </c>
      <c r="B32" s="18" t="n">
        <v>126</v>
      </c>
      <c r="C32" s="20" t="s">
        <v>128</v>
      </c>
      <c r="D32" s="8" t="n">
        <v>0</v>
      </c>
      <c r="E32" s="18" t="n">
        <f aca="false">ROUND(B32*D32,1)</f>
        <v>0</v>
      </c>
      <c r="F32" s="18" t="n">
        <f aca="false">B32-E32</f>
        <v>126</v>
      </c>
      <c r="G32" s="5" t="s">
        <v>30</v>
      </c>
      <c r="H32" s="5" t="s">
        <v>188</v>
      </c>
      <c r="I32" s="8" t="s">
        <v>189</v>
      </c>
      <c r="J32" s="5" t="n">
        <v>0</v>
      </c>
      <c r="K32" s="17" t="s">
        <v>436</v>
      </c>
      <c r="L32" s="5" t="s">
        <v>191</v>
      </c>
      <c r="M32" s="17" t="s">
        <v>434</v>
      </c>
    </row>
    <row r="33" customFormat="false" ht="32.8" hidden="false" customHeight="false" outlineLevel="0" collapsed="false">
      <c r="A33" s="17" t="s">
        <v>442</v>
      </c>
      <c r="B33" s="18" t="n">
        <v>126</v>
      </c>
      <c r="C33" s="20" t="s">
        <v>128</v>
      </c>
      <c r="D33" s="8" t="n">
        <v>0</v>
      </c>
      <c r="E33" s="18" t="n">
        <f aca="false">ROUND(B33*D33,1)</f>
        <v>0</v>
      </c>
      <c r="F33" s="18" t="n">
        <f aca="false">B33-E33</f>
        <v>126</v>
      </c>
      <c r="G33" s="5" t="s">
        <v>30</v>
      </c>
      <c r="H33" s="5" t="s">
        <v>188</v>
      </c>
      <c r="I33" s="8" t="s">
        <v>189</v>
      </c>
      <c r="J33" s="5" t="n">
        <v>0</v>
      </c>
      <c r="K33" s="17" t="s">
        <v>443</v>
      </c>
      <c r="L33" s="5" t="s">
        <v>191</v>
      </c>
      <c r="M33" s="17" t="s">
        <v>434</v>
      </c>
    </row>
    <row r="34" customFormat="false" ht="32.8" hidden="false" customHeight="false" outlineLevel="0" collapsed="false">
      <c r="A34" s="17" t="s">
        <v>444</v>
      </c>
      <c r="B34" s="18" t="n">
        <v>126</v>
      </c>
      <c r="C34" s="20" t="s">
        <v>128</v>
      </c>
      <c r="D34" s="8" t="n">
        <v>0</v>
      </c>
      <c r="E34" s="18" t="n">
        <f aca="false">ROUND(B34*D34,1)</f>
        <v>0</v>
      </c>
      <c r="F34" s="18" t="n">
        <f aca="false">B34-E34</f>
        <v>126</v>
      </c>
      <c r="G34" s="5" t="s">
        <v>69</v>
      </c>
      <c r="H34" s="5" t="s">
        <v>188</v>
      </c>
      <c r="I34" s="8" t="s">
        <v>189</v>
      </c>
      <c r="J34" s="5" t="n">
        <v>0</v>
      </c>
      <c r="K34" s="17" t="s">
        <v>190</v>
      </c>
      <c r="L34" s="5" t="s">
        <v>191</v>
      </c>
      <c r="M34" s="17" t="s">
        <v>434</v>
      </c>
    </row>
    <row r="35" customFormat="false" ht="32.8" hidden="false" customHeight="false" outlineLevel="0" collapsed="false">
      <c r="A35" s="17" t="s">
        <v>445</v>
      </c>
      <c r="B35" s="18" t="n">
        <v>126</v>
      </c>
      <c r="C35" s="20" t="s">
        <v>128</v>
      </c>
      <c r="D35" s="8" t="n">
        <v>0</v>
      </c>
      <c r="E35" s="18" t="n">
        <f aca="false">ROUND(B35*D35,1)</f>
        <v>0</v>
      </c>
      <c r="F35" s="18" t="n">
        <f aca="false">B35-E35</f>
        <v>126</v>
      </c>
      <c r="G35" s="5" t="s">
        <v>30</v>
      </c>
      <c r="H35" s="5" t="s">
        <v>188</v>
      </c>
      <c r="I35" s="8" t="s">
        <v>189</v>
      </c>
      <c r="J35" s="5" t="n">
        <v>0</v>
      </c>
      <c r="K35" s="17" t="s">
        <v>446</v>
      </c>
      <c r="L35" s="5" t="s">
        <v>191</v>
      </c>
      <c r="M35" s="17" t="s">
        <v>434</v>
      </c>
    </row>
    <row r="36" customFormat="false" ht="32.8" hidden="false" customHeight="false" outlineLevel="0" collapsed="false">
      <c r="A36" s="17" t="s">
        <v>447</v>
      </c>
      <c r="B36" s="18" t="n">
        <v>126</v>
      </c>
      <c r="C36" s="20" t="s">
        <v>128</v>
      </c>
      <c r="D36" s="8" t="n">
        <v>0</v>
      </c>
      <c r="E36" s="18" t="n">
        <f aca="false">ROUND(B36*D36,1)</f>
        <v>0</v>
      </c>
      <c r="F36" s="18" t="n">
        <f aca="false">B36-E36</f>
        <v>126</v>
      </c>
      <c r="G36" s="5" t="s">
        <v>30</v>
      </c>
      <c r="H36" s="5" t="s">
        <v>188</v>
      </c>
      <c r="I36" s="8" t="s">
        <v>189</v>
      </c>
      <c r="J36" s="5" t="n">
        <v>0</v>
      </c>
      <c r="K36" s="17" t="s">
        <v>448</v>
      </c>
      <c r="L36" s="5" t="s">
        <v>191</v>
      </c>
      <c r="M36" s="17" t="s">
        <v>449</v>
      </c>
    </row>
    <row r="37" customFormat="false" ht="32.8" hidden="false" customHeight="false" outlineLevel="0" collapsed="false">
      <c r="A37" s="17" t="s">
        <v>450</v>
      </c>
      <c r="B37" s="18" t="n">
        <v>126</v>
      </c>
      <c r="C37" s="20" t="s">
        <v>128</v>
      </c>
      <c r="D37" s="8" t="n">
        <v>0</v>
      </c>
      <c r="E37" s="18" t="n">
        <f aca="false">ROUND(B37*D37,1)</f>
        <v>0</v>
      </c>
      <c r="F37" s="18" t="n">
        <f aca="false">B37-E37</f>
        <v>126</v>
      </c>
      <c r="G37" s="5" t="s">
        <v>30</v>
      </c>
      <c r="H37" s="5" t="s">
        <v>188</v>
      </c>
      <c r="I37" s="8" t="s">
        <v>189</v>
      </c>
      <c r="J37" s="5" t="n">
        <v>0</v>
      </c>
      <c r="K37" s="17" t="s">
        <v>448</v>
      </c>
      <c r="L37" s="5" t="s">
        <v>191</v>
      </c>
      <c r="M37" s="17" t="s">
        <v>449</v>
      </c>
    </row>
    <row r="38" customFormat="false" ht="32.8" hidden="false" customHeight="false" outlineLevel="0" collapsed="false">
      <c r="A38" s="17" t="s">
        <v>451</v>
      </c>
      <c r="B38" s="18" t="n">
        <v>126</v>
      </c>
      <c r="C38" s="20" t="s">
        <v>128</v>
      </c>
      <c r="D38" s="8" t="n">
        <v>0</v>
      </c>
      <c r="E38" s="18" t="n">
        <f aca="false">ROUND(B38*D38,1)</f>
        <v>0</v>
      </c>
      <c r="F38" s="18" t="n">
        <f aca="false">B38-E38</f>
        <v>126</v>
      </c>
      <c r="G38" s="5" t="s">
        <v>30</v>
      </c>
      <c r="H38" s="5" t="s">
        <v>188</v>
      </c>
      <c r="I38" s="8" t="s">
        <v>189</v>
      </c>
      <c r="J38" s="5" t="n">
        <v>0</v>
      </c>
      <c r="K38" s="17" t="s">
        <v>448</v>
      </c>
      <c r="L38" s="5" t="s">
        <v>191</v>
      </c>
      <c r="M38" s="17" t="s">
        <v>449</v>
      </c>
    </row>
    <row r="39" customFormat="false" ht="32.8" hidden="false" customHeight="false" outlineLevel="0" collapsed="false">
      <c r="A39" s="17" t="s">
        <v>452</v>
      </c>
      <c r="B39" s="18" t="n">
        <v>126</v>
      </c>
      <c r="C39" s="21" t="s">
        <v>124</v>
      </c>
      <c r="D39" s="8" t="n">
        <v>0.91</v>
      </c>
      <c r="E39" s="18" t="n">
        <f aca="false">ROUND(B39*D39,1)</f>
        <v>114.7</v>
      </c>
      <c r="F39" s="18" t="n">
        <f aca="false">B39-E39</f>
        <v>11.3</v>
      </c>
      <c r="G39" s="5" t="s">
        <v>69</v>
      </c>
      <c r="H39" s="5" t="s">
        <v>188</v>
      </c>
      <c r="I39" s="8" t="s">
        <v>189</v>
      </c>
      <c r="J39" s="5" t="n">
        <v>0</v>
      </c>
      <c r="K39" s="17" t="s">
        <v>453</v>
      </c>
      <c r="L39" s="5" t="s">
        <v>191</v>
      </c>
      <c r="M39" s="17" t="s">
        <v>449</v>
      </c>
    </row>
    <row r="40" customFormat="false" ht="32.8" hidden="false" customHeight="false" outlineLevel="0" collapsed="false">
      <c r="A40" s="17" t="s">
        <v>454</v>
      </c>
      <c r="B40" s="18" t="n">
        <v>202</v>
      </c>
      <c r="C40" s="20" t="s">
        <v>128</v>
      </c>
      <c r="D40" s="8" t="n">
        <v>0</v>
      </c>
      <c r="E40" s="18" t="n">
        <f aca="false">ROUND(B40*D40,1)</f>
        <v>0</v>
      </c>
      <c r="F40" s="18" t="n">
        <f aca="false">B40-E40</f>
        <v>202</v>
      </c>
      <c r="G40" s="5" t="s">
        <v>69</v>
      </c>
      <c r="H40" s="5" t="s">
        <v>188</v>
      </c>
      <c r="I40" s="8" t="s">
        <v>189</v>
      </c>
      <c r="J40" s="5" t="n">
        <v>0</v>
      </c>
      <c r="K40" s="17" t="s">
        <v>190</v>
      </c>
      <c r="L40" s="5" t="s">
        <v>191</v>
      </c>
      <c r="M40" s="17" t="s">
        <v>455</v>
      </c>
    </row>
    <row r="41" customFormat="false" ht="15" hidden="false" customHeight="false" outlineLevel="0" collapsed="false">
      <c r="A41" s="9" t="s">
        <v>163</v>
      </c>
      <c r="B41" s="10" t="n">
        <f aca="false">SUM(B6:B40)</f>
        <v>6839</v>
      </c>
      <c r="C41" s="9"/>
      <c r="D41" s="11" t="n">
        <f aca="false">IF(B41=0,0,E41/B41)</f>
        <v>0.0915630940195935</v>
      </c>
      <c r="E41" s="10" t="n">
        <f aca="false">SUM(E6:E40)</f>
        <v>626.2</v>
      </c>
      <c r="F41" s="10" t="n">
        <f aca="false">SUM(F6:F40)</f>
        <v>6212.8</v>
      </c>
      <c r="G41" s="9"/>
      <c r="H41" s="9"/>
      <c r="I41" s="9"/>
      <c r="J41" s="9"/>
      <c r="K41" s="9"/>
      <c r="L41" s="9"/>
      <c r="M41" s="9"/>
    </row>
    <row r="43" customFormat="false" ht="15" hidden="false" customHeight="false" outlineLevel="0" collapsed="false">
      <c r="A43" s="12" t="s">
        <v>164</v>
      </c>
      <c r="D43" s="22" t="n">
        <f aca="false">F41*8</f>
        <v>49702.4</v>
      </c>
      <c r="E43" s="16" t="s">
        <v>165</v>
      </c>
    </row>
    <row r="44" customFormat="false" ht="15" hidden="false" customHeight="false" outlineLevel="0" collapsed="false">
      <c r="A44" s="12" t="s">
        <v>166</v>
      </c>
      <c r="D44" s="23" t="n">
        <v>0</v>
      </c>
      <c r="E44" s="16" t="s">
        <v>167</v>
      </c>
    </row>
    <row r="45" customFormat="false" ht="15" hidden="false" customHeight="false" outlineLevel="0" collapsed="false">
      <c r="A45" s="12" t="s">
        <v>168</v>
      </c>
      <c r="D45" s="24" t="n">
        <v>0.02</v>
      </c>
      <c r="E45" s="16" t="s">
        <v>456</v>
      </c>
    </row>
    <row r="46" customFormat="false" ht="15" hidden="false" customHeight="false" outlineLevel="0" collapsed="false">
      <c r="A46" s="12" t="s">
        <v>170</v>
      </c>
      <c r="D46" s="22" t="n">
        <f aca="false">(B41-D44)*(1-D45)</f>
        <v>6702.22</v>
      </c>
      <c r="E46" s="16" t="s">
        <v>171</v>
      </c>
    </row>
    <row r="47" customFormat="false" ht="15" hidden="false" customHeight="false" outlineLevel="0" collapsed="false">
      <c r="A47" s="12" t="s">
        <v>172</v>
      </c>
      <c r="D47" s="22" t="n">
        <f aca="false">D46*4</f>
        <v>26808.88</v>
      </c>
      <c r="E47" s="16" t="s">
        <v>173</v>
      </c>
    </row>
    <row r="48" customFormat="false" ht="15" hidden="false" customHeight="false" outlineLevel="0" collapsed="false">
      <c r="A48" s="12" t="s">
        <v>174</v>
      </c>
      <c r="D48" s="23" t="n">
        <v>512</v>
      </c>
    </row>
    <row r="49" customFormat="false" ht="15" hidden="false" customHeight="false" outlineLevel="0" collapsed="false">
      <c r="A49" s="12" t="s">
        <v>175</v>
      </c>
      <c r="D49" s="23" t="n">
        <v>115</v>
      </c>
      <c r="E49" s="16" t="s">
        <v>176</v>
      </c>
    </row>
    <row r="50" customFormat="false" ht="15" hidden="false" customHeight="false" outlineLevel="0" collapsed="false">
      <c r="A50" s="12" t="s">
        <v>177</v>
      </c>
      <c r="D50" s="23" t="n">
        <v>2220</v>
      </c>
    </row>
    <row r="51" customFormat="false" ht="15" hidden="false" customHeight="false" outlineLevel="0" collapsed="false">
      <c r="A51" s="12" t="s">
        <v>178</v>
      </c>
      <c r="D51" s="23" t="n">
        <v>3993</v>
      </c>
      <c r="E51" s="16" t="s">
        <v>179</v>
      </c>
    </row>
    <row r="52" customFormat="false" ht="15" hidden="false" customHeight="true" outlineLevel="0" collapsed="false">
      <c r="A52" s="25" t="s">
        <v>457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</row>
  </sheetData>
  <mergeCells count="1">
    <mergeCell ref="A52:M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10" min="9" style="0" width="9"/>
    <col collapsed="false" customWidth="true" hidden="false" outlineLevel="0" max="11" min="11" style="0" width="46"/>
    <col collapsed="false" customWidth="true" hidden="false" outlineLevel="0" max="12" min="12" style="0" width="17"/>
    <col collapsed="false" customWidth="true" hidden="false" outlineLevel="0" max="13" min="13" style="0" width="54"/>
  </cols>
  <sheetData>
    <row r="1" customFormat="false" ht="16.15" hidden="false" customHeight="false" outlineLevel="0" collapsed="false">
      <c r="A1" s="14" t="s">
        <v>458</v>
      </c>
    </row>
    <row r="2" customFormat="false" ht="15" hidden="false" customHeight="false" outlineLevel="0" collapsed="false">
      <c r="A2" s="15" t="s">
        <v>459</v>
      </c>
    </row>
    <row r="3" customFormat="false" ht="15" hidden="false" customHeight="false" outlineLevel="0" collapsed="false">
      <c r="A3" s="16" t="s">
        <v>460</v>
      </c>
    </row>
    <row r="5" customFormat="false" ht="22.35" hidden="false" customHeight="false" outlineLevel="0" collapsed="false">
      <c r="A5" s="4" t="s">
        <v>102</v>
      </c>
      <c r="B5" s="4" t="s">
        <v>103</v>
      </c>
      <c r="C5" s="4" t="s">
        <v>104</v>
      </c>
      <c r="D5" s="4" t="s">
        <v>105</v>
      </c>
      <c r="E5" s="4" t="s">
        <v>106</v>
      </c>
      <c r="F5" s="4" t="s">
        <v>107</v>
      </c>
      <c r="G5" s="4" t="s">
        <v>108</v>
      </c>
      <c r="H5" s="4" t="s">
        <v>109</v>
      </c>
      <c r="I5" s="4" t="s">
        <v>110</v>
      </c>
      <c r="J5" s="4" t="s">
        <v>16</v>
      </c>
      <c r="K5" s="4" t="s">
        <v>111</v>
      </c>
      <c r="L5" s="4" t="s">
        <v>112</v>
      </c>
      <c r="M5" s="4" t="s">
        <v>113</v>
      </c>
    </row>
    <row r="6" customFormat="false" ht="15" hidden="false" customHeight="false" outlineLevel="0" collapsed="false">
      <c r="A6" s="17" t="s">
        <v>123</v>
      </c>
      <c r="B6" s="18" t="n">
        <v>92.4</v>
      </c>
      <c r="C6" s="19" t="s">
        <v>115</v>
      </c>
      <c r="D6" s="8" t="n">
        <v>1</v>
      </c>
      <c r="E6" s="18" t="n">
        <f aca="false">ROUND(B6*D6,1)</f>
        <v>92.4</v>
      </c>
      <c r="F6" s="18" t="n">
        <f aca="false">B6-E6</f>
        <v>0</v>
      </c>
      <c r="G6" s="5" t="s">
        <v>26</v>
      </c>
      <c r="H6" s="5" t="s">
        <v>124</v>
      </c>
      <c r="I6" s="8" t="n">
        <v>0.5</v>
      </c>
      <c r="J6" s="5" t="n">
        <v>1</v>
      </c>
      <c r="K6" s="17" t="s">
        <v>125</v>
      </c>
      <c r="L6" s="5" t="s">
        <v>118</v>
      </c>
      <c r="M6" s="17" t="s">
        <v>461</v>
      </c>
    </row>
    <row r="7" customFormat="false" ht="15" hidden="false" customHeight="false" outlineLevel="0" collapsed="false">
      <c r="A7" s="17" t="s">
        <v>263</v>
      </c>
      <c r="B7" s="18" t="n">
        <v>151.2</v>
      </c>
      <c r="C7" s="20" t="s">
        <v>128</v>
      </c>
      <c r="D7" s="8" t="n">
        <v>0</v>
      </c>
      <c r="E7" s="18" t="n">
        <f aca="false">ROUND(B7*D7,1)</f>
        <v>0</v>
      </c>
      <c r="F7" s="18" t="n">
        <f aca="false">B7-E7</f>
        <v>151.2</v>
      </c>
      <c r="G7" s="5" t="s">
        <v>26</v>
      </c>
      <c r="H7" s="5" t="s">
        <v>124</v>
      </c>
      <c r="I7" s="8" t="n">
        <v>0.5</v>
      </c>
      <c r="J7" s="5" t="n">
        <v>1</v>
      </c>
      <c r="K7" s="17" t="s">
        <v>149</v>
      </c>
      <c r="L7" s="5" t="s">
        <v>118</v>
      </c>
      <c r="M7" s="17" t="s">
        <v>462</v>
      </c>
    </row>
    <row r="8" customFormat="false" ht="15" hidden="false" customHeight="false" outlineLevel="0" collapsed="false">
      <c r="A8" s="17" t="s">
        <v>267</v>
      </c>
      <c r="B8" s="18" t="n">
        <v>155.1</v>
      </c>
      <c r="C8" s="20" t="s">
        <v>128</v>
      </c>
      <c r="D8" s="8" t="n">
        <v>0</v>
      </c>
      <c r="E8" s="18" t="n">
        <f aca="false">ROUND(B8*D8,1)</f>
        <v>0</v>
      </c>
      <c r="F8" s="18" t="n">
        <f aca="false">B8-E8</f>
        <v>155.1</v>
      </c>
      <c r="G8" s="5" t="s">
        <v>26</v>
      </c>
      <c r="H8" s="5" t="s">
        <v>148</v>
      </c>
      <c r="I8" s="8" t="n">
        <v>0</v>
      </c>
      <c r="J8" s="5" t="n">
        <v>1</v>
      </c>
      <c r="K8" s="17" t="s">
        <v>149</v>
      </c>
      <c r="L8" s="5" t="s">
        <v>118</v>
      </c>
      <c r="M8" s="17" t="s">
        <v>462</v>
      </c>
    </row>
    <row r="9" customFormat="false" ht="15" hidden="false" customHeight="false" outlineLevel="0" collapsed="false">
      <c r="A9" s="17" t="s">
        <v>276</v>
      </c>
      <c r="B9" s="18" t="n">
        <v>160.6</v>
      </c>
      <c r="C9" s="20" t="s">
        <v>128</v>
      </c>
      <c r="D9" s="8" t="n">
        <v>0</v>
      </c>
      <c r="E9" s="18" t="n">
        <f aca="false">ROUND(B9*D9,1)</f>
        <v>0</v>
      </c>
      <c r="F9" s="18" t="n">
        <f aca="false">B9-E9</f>
        <v>160.6</v>
      </c>
      <c r="G9" s="5" t="s">
        <v>26</v>
      </c>
      <c r="H9" s="5" t="s">
        <v>124</v>
      </c>
      <c r="I9" s="8" t="n">
        <v>0.5</v>
      </c>
      <c r="J9" s="5" t="n">
        <v>1</v>
      </c>
      <c r="K9" s="17" t="s">
        <v>149</v>
      </c>
      <c r="L9" s="5" t="s">
        <v>118</v>
      </c>
      <c r="M9" s="17" t="s">
        <v>462</v>
      </c>
    </row>
    <row r="10" customFormat="false" ht="15" hidden="false" customHeight="false" outlineLevel="0" collapsed="false">
      <c r="A10" s="17" t="s">
        <v>398</v>
      </c>
      <c r="B10" s="18" t="n">
        <v>159.4</v>
      </c>
      <c r="C10" s="20" t="s">
        <v>128</v>
      </c>
      <c r="D10" s="8" t="n">
        <v>0</v>
      </c>
      <c r="E10" s="18" t="n">
        <f aca="false">ROUND(B10*D10,1)</f>
        <v>0</v>
      </c>
      <c r="F10" s="18" t="n">
        <f aca="false">B10-E10</f>
        <v>159.4</v>
      </c>
      <c r="G10" s="5" t="s">
        <v>26</v>
      </c>
      <c r="H10" s="5" t="s">
        <v>116</v>
      </c>
      <c r="I10" s="8" t="n">
        <v>1</v>
      </c>
      <c r="J10" s="5" t="n">
        <v>1</v>
      </c>
      <c r="K10" s="17" t="s">
        <v>149</v>
      </c>
      <c r="L10" s="5" t="s">
        <v>118</v>
      </c>
      <c r="M10" s="17" t="s">
        <v>462</v>
      </c>
    </row>
    <row r="11" customFormat="false" ht="15" hidden="false" customHeight="false" outlineLevel="0" collapsed="false">
      <c r="A11" s="17" t="s">
        <v>270</v>
      </c>
      <c r="B11" s="18" t="n">
        <v>158.3</v>
      </c>
      <c r="C11" s="20" t="s">
        <v>128</v>
      </c>
      <c r="D11" s="8" t="n">
        <v>0</v>
      </c>
      <c r="E11" s="18" t="n">
        <f aca="false">ROUND(B11*D11,1)</f>
        <v>0</v>
      </c>
      <c r="F11" s="18" t="n">
        <f aca="false">B11-E11</f>
        <v>158.3</v>
      </c>
      <c r="G11" s="5" t="s">
        <v>26</v>
      </c>
      <c r="H11" s="5" t="s">
        <v>124</v>
      </c>
      <c r="I11" s="8" t="n">
        <v>0.5</v>
      </c>
      <c r="J11" s="5" t="n">
        <v>1</v>
      </c>
      <c r="K11" s="17" t="s">
        <v>149</v>
      </c>
      <c r="L11" s="5" t="s">
        <v>118</v>
      </c>
      <c r="M11" s="17" t="s">
        <v>462</v>
      </c>
    </row>
    <row r="12" customFormat="false" ht="22.35" hidden="false" customHeight="false" outlineLevel="0" collapsed="false">
      <c r="A12" s="17" t="s">
        <v>368</v>
      </c>
      <c r="B12" s="18" t="n">
        <v>157.2</v>
      </c>
      <c r="C12" s="20" t="s">
        <v>128</v>
      </c>
      <c r="D12" s="8" t="n">
        <v>0</v>
      </c>
      <c r="E12" s="18" t="n">
        <f aca="false">ROUND(B12*D12,1)</f>
        <v>0</v>
      </c>
      <c r="F12" s="18" t="n">
        <f aca="false">B12-E12</f>
        <v>157.2</v>
      </c>
      <c r="G12" s="5" t="s">
        <v>26</v>
      </c>
      <c r="H12" s="5" t="s">
        <v>148</v>
      </c>
      <c r="I12" s="8" t="n">
        <v>0</v>
      </c>
      <c r="J12" s="5" t="n">
        <v>1</v>
      </c>
      <c r="K12" s="17" t="s">
        <v>149</v>
      </c>
      <c r="L12" s="5" t="s">
        <v>118</v>
      </c>
      <c r="M12" s="17" t="s">
        <v>463</v>
      </c>
    </row>
    <row r="13" customFormat="false" ht="15" hidden="false" customHeight="false" outlineLevel="0" collapsed="false">
      <c r="A13" s="17" t="s">
        <v>268</v>
      </c>
      <c r="B13" s="18" t="n">
        <v>157.3</v>
      </c>
      <c r="C13" s="20" t="s">
        <v>128</v>
      </c>
      <c r="D13" s="8" t="n">
        <v>0</v>
      </c>
      <c r="E13" s="18" t="n">
        <f aca="false">ROUND(B13*D13,1)</f>
        <v>0</v>
      </c>
      <c r="F13" s="18" t="n">
        <f aca="false">B13-E13</f>
        <v>157.3</v>
      </c>
      <c r="G13" s="5" t="s">
        <v>26</v>
      </c>
      <c r="H13" s="5" t="s">
        <v>148</v>
      </c>
      <c r="I13" s="8" t="n">
        <v>0</v>
      </c>
      <c r="J13" s="5" t="n">
        <v>1</v>
      </c>
      <c r="K13" s="17" t="s">
        <v>149</v>
      </c>
      <c r="L13" s="5" t="s">
        <v>118</v>
      </c>
      <c r="M13" s="17" t="s">
        <v>462</v>
      </c>
    </row>
    <row r="14" customFormat="false" ht="15" hidden="false" customHeight="false" outlineLevel="0" collapsed="false">
      <c r="A14" s="17" t="s">
        <v>397</v>
      </c>
      <c r="B14" s="18" t="n">
        <v>82.5</v>
      </c>
      <c r="C14" s="20" t="s">
        <v>128</v>
      </c>
      <c r="D14" s="8" t="n">
        <v>0</v>
      </c>
      <c r="E14" s="18" t="n">
        <f aca="false">ROUND(B14*D14,1)</f>
        <v>0</v>
      </c>
      <c r="F14" s="18" t="n">
        <f aca="false">B14-E14</f>
        <v>82.5</v>
      </c>
      <c r="G14" s="5" t="s">
        <v>26</v>
      </c>
      <c r="H14" s="5" t="s">
        <v>124</v>
      </c>
      <c r="I14" s="8" t="n">
        <v>0.5</v>
      </c>
      <c r="J14" s="5" t="n">
        <v>1</v>
      </c>
      <c r="K14" s="17" t="s">
        <v>149</v>
      </c>
      <c r="L14" s="5" t="s">
        <v>118</v>
      </c>
      <c r="M14" s="17" t="s">
        <v>462</v>
      </c>
    </row>
    <row r="15" customFormat="false" ht="15" hidden="false" customHeight="false" outlineLevel="0" collapsed="false">
      <c r="A15" s="17" t="s">
        <v>152</v>
      </c>
      <c r="B15" s="18" t="n">
        <v>246.9</v>
      </c>
      <c r="C15" s="19" t="s">
        <v>115</v>
      </c>
      <c r="D15" s="8" t="n">
        <v>1</v>
      </c>
      <c r="E15" s="18" t="n">
        <f aca="false">ROUND(B15*D15,1)</f>
        <v>246.9</v>
      </c>
      <c r="F15" s="18" t="n">
        <f aca="false">B15-E15</f>
        <v>0</v>
      </c>
      <c r="G15" s="5" t="s">
        <v>26</v>
      </c>
      <c r="H15" s="5" t="s">
        <v>148</v>
      </c>
      <c r="I15" s="8" t="n">
        <v>0</v>
      </c>
      <c r="J15" s="5" t="n">
        <v>1</v>
      </c>
      <c r="K15" s="17" t="s">
        <v>125</v>
      </c>
      <c r="L15" s="5" t="s">
        <v>118</v>
      </c>
      <c r="M15" s="17" t="s">
        <v>464</v>
      </c>
    </row>
    <row r="16" customFormat="false" ht="15" hidden="false" customHeight="false" outlineLevel="0" collapsed="false">
      <c r="A16" s="9" t="s">
        <v>163</v>
      </c>
      <c r="B16" s="10" t="n">
        <f aca="false">SUM(B6:B15)</f>
        <v>1520.9</v>
      </c>
      <c r="C16" s="9"/>
      <c r="D16" s="11" t="n">
        <f aca="false">IF(B16=0,0,E16/B16)</f>
        <v>0.223091590505622</v>
      </c>
      <c r="E16" s="10" t="n">
        <f aca="false">SUM(E6:E15)</f>
        <v>339.3</v>
      </c>
      <c r="F16" s="10" t="n">
        <f aca="false">SUM(F6:F15)</f>
        <v>1181.6</v>
      </c>
      <c r="G16" s="9"/>
      <c r="H16" s="9"/>
      <c r="I16" s="9"/>
      <c r="J16" s="9"/>
      <c r="K16" s="9"/>
      <c r="L16" s="9"/>
      <c r="M16" s="9"/>
    </row>
    <row r="18" customFormat="false" ht="15" hidden="false" customHeight="false" outlineLevel="0" collapsed="false">
      <c r="A18" s="12" t="s">
        <v>164</v>
      </c>
      <c r="D18" s="22" t="n">
        <f aca="false">F16*8</f>
        <v>9452.8</v>
      </c>
      <c r="E18" s="16" t="s">
        <v>165</v>
      </c>
    </row>
    <row r="19" customFormat="false" ht="15" hidden="false" customHeight="false" outlineLevel="0" collapsed="false">
      <c r="A19" s="12" t="s">
        <v>166</v>
      </c>
      <c r="D19" s="23" t="n">
        <v>0</v>
      </c>
      <c r="E19" s="16" t="s">
        <v>167</v>
      </c>
    </row>
    <row r="20" customFormat="false" ht="15" hidden="false" customHeight="false" outlineLevel="0" collapsed="false">
      <c r="A20" s="12" t="s">
        <v>168</v>
      </c>
      <c r="D20" s="24" t="n">
        <v>0.29</v>
      </c>
      <c r="E20" s="16" t="s">
        <v>465</v>
      </c>
    </row>
    <row r="21" customFormat="false" ht="15" hidden="false" customHeight="false" outlineLevel="0" collapsed="false">
      <c r="A21" s="12" t="s">
        <v>170</v>
      </c>
      <c r="D21" s="22" t="n">
        <f aca="false">(B16-D19)*(1-D20)</f>
        <v>1079.839</v>
      </c>
      <c r="E21" s="16" t="s">
        <v>171</v>
      </c>
    </row>
    <row r="22" customFormat="false" ht="15" hidden="false" customHeight="false" outlineLevel="0" collapsed="false">
      <c r="A22" s="12" t="s">
        <v>172</v>
      </c>
      <c r="D22" s="22" t="n">
        <f aca="false">D21*4</f>
        <v>4319.356</v>
      </c>
      <c r="E22" s="16" t="s">
        <v>173</v>
      </c>
    </row>
    <row r="23" customFormat="false" ht="15" hidden="false" customHeight="false" outlineLevel="0" collapsed="false">
      <c r="A23" s="12" t="s">
        <v>174</v>
      </c>
      <c r="D23" s="23" t="n">
        <v>339</v>
      </c>
    </row>
    <row r="24" customFormat="false" ht="15" hidden="false" customHeight="false" outlineLevel="0" collapsed="false">
      <c r="A24" s="12" t="s">
        <v>175</v>
      </c>
      <c r="D24" s="23" t="n">
        <v>0</v>
      </c>
      <c r="E24" s="16" t="s">
        <v>176</v>
      </c>
    </row>
    <row r="25" customFormat="false" ht="15" hidden="false" customHeight="false" outlineLevel="0" collapsed="false">
      <c r="A25" s="12" t="s">
        <v>177</v>
      </c>
      <c r="D25" s="23" t="n">
        <v>1182</v>
      </c>
    </row>
    <row r="26" customFormat="false" ht="15" hidden="false" customHeight="false" outlineLevel="0" collapsed="false">
      <c r="A26" s="12" t="s">
        <v>178</v>
      </c>
      <c r="D26" s="23" t="n">
        <v>0</v>
      </c>
      <c r="E26" s="16" t="s">
        <v>179</v>
      </c>
    </row>
    <row r="27" customFormat="false" ht="15" hidden="false" customHeight="true" outlineLevel="0" collapsed="false">
      <c r="A27" s="25" t="s">
        <v>466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</row>
  </sheetData>
  <mergeCells count="1">
    <mergeCell ref="A27:M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10" min="9" style="0" width="9"/>
    <col collapsed="false" customWidth="true" hidden="false" outlineLevel="0" max="11" min="11" style="0" width="46"/>
    <col collapsed="false" customWidth="true" hidden="false" outlineLevel="0" max="12" min="12" style="0" width="17"/>
    <col collapsed="false" customWidth="true" hidden="false" outlineLevel="0" max="13" min="13" style="0" width="54"/>
  </cols>
  <sheetData>
    <row r="1" customFormat="false" ht="16.15" hidden="false" customHeight="false" outlineLevel="0" collapsed="false">
      <c r="A1" s="14" t="s">
        <v>467</v>
      </c>
    </row>
    <row r="2" customFormat="false" ht="15" hidden="false" customHeight="false" outlineLevel="0" collapsed="false">
      <c r="A2" s="15" t="s">
        <v>468</v>
      </c>
    </row>
    <row r="3" customFormat="false" ht="15" hidden="false" customHeight="false" outlineLevel="0" collapsed="false">
      <c r="A3" s="16" t="s">
        <v>469</v>
      </c>
    </row>
    <row r="5" customFormat="false" ht="22.35" hidden="false" customHeight="false" outlineLevel="0" collapsed="false">
      <c r="A5" s="4" t="s">
        <v>102</v>
      </c>
      <c r="B5" s="4" t="s">
        <v>103</v>
      </c>
      <c r="C5" s="4" t="s">
        <v>104</v>
      </c>
      <c r="D5" s="4" t="s">
        <v>105</v>
      </c>
      <c r="E5" s="4" t="s">
        <v>106</v>
      </c>
      <c r="F5" s="4" t="s">
        <v>107</v>
      </c>
      <c r="G5" s="4" t="s">
        <v>108</v>
      </c>
      <c r="H5" s="4" t="s">
        <v>109</v>
      </c>
      <c r="I5" s="4" t="s">
        <v>110</v>
      </c>
      <c r="J5" s="4" t="s">
        <v>16</v>
      </c>
      <c r="K5" s="4" t="s">
        <v>111</v>
      </c>
      <c r="L5" s="4" t="s">
        <v>112</v>
      </c>
      <c r="M5" s="4" t="s">
        <v>113</v>
      </c>
    </row>
    <row r="6" customFormat="false" ht="22.35" hidden="false" customHeight="false" outlineLevel="0" collapsed="false">
      <c r="A6" s="17" t="s">
        <v>184</v>
      </c>
      <c r="B6" s="18" t="n">
        <v>51.9</v>
      </c>
      <c r="C6" s="20" t="s">
        <v>128</v>
      </c>
      <c r="D6" s="8" t="n">
        <v>0</v>
      </c>
      <c r="E6" s="18" t="n">
        <f aca="false">ROUND(B6*D6,1)</f>
        <v>0</v>
      </c>
      <c r="F6" s="18" t="n">
        <f aca="false">B6-E6</f>
        <v>51.9</v>
      </c>
      <c r="G6" s="5" t="s">
        <v>26</v>
      </c>
      <c r="H6" s="5" t="s">
        <v>148</v>
      </c>
      <c r="I6" s="8" t="n">
        <v>0</v>
      </c>
      <c r="J6" s="5" t="n">
        <v>1</v>
      </c>
      <c r="K6" s="17" t="s">
        <v>129</v>
      </c>
      <c r="L6" s="5" t="s">
        <v>118</v>
      </c>
      <c r="M6" s="17" t="s">
        <v>470</v>
      </c>
    </row>
    <row r="7" customFormat="false" ht="32.8" hidden="false" customHeight="false" outlineLevel="0" collapsed="false">
      <c r="A7" s="17" t="s">
        <v>471</v>
      </c>
      <c r="B7" s="18" t="n">
        <v>2162.6</v>
      </c>
      <c r="C7" s="20" t="s">
        <v>128</v>
      </c>
      <c r="D7" s="8" t="n">
        <v>0</v>
      </c>
      <c r="E7" s="18" t="n">
        <f aca="false">ROUND(B7*D7,1)</f>
        <v>0</v>
      </c>
      <c r="F7" s="18" t="n">
        <f aca="false">B7-E7</f>
        <v>2162.6</v>
      </c>
      <c r="G7" s="5" t="s">
        <v>26</v>
      </c>
      <c r="H7" s="5" t="s">
        <v>148</v>
      </c>
      <c r="I7" s="8" t="n">
        <v>0</v>
      </c>
      <c r="J7" s="5" t="n">
        <v>6</v>
      </c>
      <c r="K7" s="17" t="s">
        <v>472</v>
      </c>
      <c r="L7" s="5" t="s">
        <v>118</v>
      </c>
      <c r="M7" s="17" t="s">
        <v>473</v>
      </c>
    </row>
    <row r="8" customFormat="false" ht="22.35" hidden="false" customHeight="false" outlineLevel="0" collapsed="false">
      <c r="A8" s="17" t="s">
        <v>145</v>
      </c>
      <c r="B8" s="18" t="n">
        <v>425.3</v>
      </c>
      <c r="C8" s="19" t="s">
        <v>115</v>
      </c>
      <c r="D8" s="8" t="n">
        <v>1</v>
      </c>
      <c r="E8" s="18" t="n">
        <f aca="false">ROUND(B8*D8,1)</f>
        <v>425.3</v>
      </c>
      <c r="F8" s="18" t="n">
        <f aca="false">B8-E8</f>
        <v>0</v>
      </c>
      <c r="G8" s="5" t="s">
        <v>26</v>
      </c>
      <c r="H8" s="5" t="s">
        <v>124</v>
      </c>
      <c r="I8" s="8" t="n">
        <v>0.5</v>
      </c>
      <c r="J8" s="5" t="n">
        <v>1</v>
      </c>
      <c r="K8" s="17" t="s">
        <v>125</v>
      </c>
      <c r="L8" s="5" t="s">
        <v>118</v>
      </c>
      <c r="M8" s="17" t="s">
        <v>474</v>
      </c>
    </row>
    <row r="9" customFormat="false" ht="32.8" hidden="false" customHeight="false" outlineLevel="0" collapsed="false">
      <c r="A9" s="17" t="s">
        <v>114</v>
      </c>
      <c r="B9" s="18" t="n">
        <v>132.3</v>
      </c>
      <c r="C9" s="20" t="s">
        <v>128</v>
      </c>
      <c r="D9" s="8" t="n">
        <v>0</v>
      </c>
      <c r="E9" s="18" t="n">
        <f aca="false">ROUND(B9*D9,1)</f>
        <v>0</v>
      </c>
      <c r="F9" s="18" t="n">
        <f aca="false">B9-E9</f>
        <v>132.3</v>
      </c>
      <c r="G9" s="5" t="s">
        <v>30</v>
      </c>
      <c r="H9" s="5" t="s">
        <v>188</v>
      </c>
      <c r="I9" s="8" t="s">
        <v>189</v>
      </c>
      <c r="J9" s="5" t="n">
        <v>1</v>
      </c>
      <c r="K9" s="17" t="s">
        <v>475</v>
      </c>
      <c r="L9" s="5" t="s">
        <v>118</v>
      </c>
      <c r="M9" s="17" t="s">
        <v>476</v>
      </c>
    </row>
    <row r="10" customFormat="false" ht="22.35" hidden="false" customHeight="false" outlineLevel="0" collapsed="false">
      <c r="A10" s="17" t="s">
        <v>477</v>
      </c>
      <c r="B10" s="18" t="n">
        <v>2160</v>
      </c>
      <c r="C10" s="20" t="s">
        <v>128</v>
      </c>
      <c r="D10" s="8" t="n">
        <v>0</v>
      </c>
      <c r="E10" s="18" t="n">
        <f aca="false">ROUND(B10*D10,1)</f>
        <v>0</v>
      </c>
      <c r="F10" s="18" t="n">
        <f aca="false">B10-E10</f>
        <v>2160</v>
      </c>
      <c r="G10" s="5" t="s">
        <v>69</v>
      </c>
      <c r="H10" s="5" t="s">
        <v>188</v>
      </c>
      <c r="I10" s="8" t="s">
        <v>189</v>
      </c>
      <c r="J10" s="5" t="n">
        <v>0</v>
      </c>
      <c r="K10" s="17" t="s">
        <v>190</v>
      </c>
      <c r="L10" s="5" t="s">
        <v>191</v>
      </c>
      <c r="M10" s="17" t="s">
        <v>478</v>
      </c>
    </row>
    <row r="11" customFormat="false" ht="32.8" hidden="false" customHeight="false" outlineLevel="0" collapsed="false">
      <c r="A11" s="17" t="s">
        <v>450</v>
      </c>
      <c r="B11" s="18" t="n">
        <v>154</v>
      </c>
      <c r="C11" s="20" t="s">
        <v>128</v>
      </c>
      <c r="D11" s="8" t="n">
        <v>0</v>
      </c>
      <c r="E11" s="18" t="n">
        <f aca="false">ROUND(B11*D11,1)</f>
        <v>0</v>
      </c>
      <c r="F11" s="18" t="n">
        <f aca="false">B11-E11</f>
        <v>154</v>
      </c>
      <c r="G11" s="5" t="s">
        <v>69</v>
      </c>
      <c r="H11" s="5" t="s">
        <v>188</v>
      </c>
      <c r="I11" s="8" t="s">
        <v>189</v>
      </c>
      <c r="J11" s="5" t="n">
        <v>0</v>
      </c>
      <c r="K11" s="17" t="s">
        <v>190</v>
      </c>
      <c r="L11" s="5" t="s">
        <v>191</v>
      </c>
      <c r="M11" s="17" t="s">
        <v>479</v>
      </c>
    </row>
    <row r="12" customFormat="false" ht="32.8" hidden="false" customHeight="false" outlineLevel="0" collapsed="false">
      <c r="A12" s="17" t="s">
        <v>447</v>
      </c>
      <c r="B12" s="18" t="n">
        <v>154</v>
      </c>
      <c r="C12" s="20" t="s">
        <v>128</v>
      </c>
      <c r="D12" s="8" t="n">
        <v>0</v>
      </c>
      <c r="E12" s="18" t="n">
        <f aca="false">ROUND(B12*D12,1)</f>
        <v>0</v>
      </c>
      <c r="F12" s="18" t="n">
        <f aca="false">B12-E12</f>
        <v>154</v>
      </c>
      <c r="G12" s="5" t="s">
        <v>69</v>
      </c>
      <c r="H12" s="5" t="s">
        <v>188</v>
      </c>
      <c r="I12" s="8" t="s">
        <v>189</v>
      </c>
      <c r="J12" s="5" t="n">
        <v>0</v>
      </c>
      <c r="K12" s="17" t="s">
        <v>190</v>
      </c>
      <c r="L12" s="5" t="s">
        <v>191</v>
      </c>
      <c r="M12" s="17" t="s">
        <v>479</v>
      </c>
    </row>
    <row r="13" customFormat="false" ht="32.8" hidden="false" customHeight="false" outlineLevel="0" collapsed="false">
      <c r="A13" s="17" t="s">
        <v>445</v>
      </c>
      <c r="B13" s="18" t="n">
        <v>154</v>
      </c>
      <c r="C13" s="20" t="s">
        <v>128</v>
      </c>
      <c r="D13" s="8" t="n">
        <v>0</v>
      </c>
      <c r="E13" s="18" t="n">
        <f aca="false">ROUND(B13*D13,1)</f>
        <v>0</v>
      </c>
      <c r="F13" s="18" t="n">
        <f aca="false">B13-E13</f>
        <v>154</v>
      </c>
      <c r="G13" s="5" t="s">
        <v>69</v>
      </c>
      <c r="H13" s="5" t="s">
        <v>188</v>
      </c>
      <c r="I13" s="8" t="s">
        <v>189</v>
      </c>
      <c r="J13" s="5" t="n">
        <v>0</v>
      </c>
      <c r="K13" s="17" t="s">
        <v>190</v>
      </c>
      <c r="L13" s="5" t="s">
        <v>191</v>
      </c>
      <c r="M13" s="17" t="s">
        <v>480</v>
      </c>
    </row>
    <row r="14" customFormat="false" ht="32.8" hidden="false" customHeight="false" outlineLevel="0" collapsed="false">
      <c r="A14" s="17" t="s">
        <v>481</v>
      </c>
      <c r="B14" s="18" t="n">
        <v>154</v>
      </c>
      <c r="C14" s="20" t="s">
        <v>128</v>
      </c>
      <c r="D14" s="8" t="n">
        <v>0</v>
      </c>
      <c r="E14" s="18" t="n">
        <f aca="false">ROUND(B14*D14,1)</f>
        <v>0</v>
      </c>
      <c r="F14" s="18" t="n">
        <f aca="false">B14-E14</f>
        <v>154</v>
      </c>
      <c r="G14" s="5" t="s">
        <v>69</v>
      </c>
      <c r="H14" s="5" t="s">
        <v>188</v>
      </c>
      <c r="I14" s="8" t="s">
        <v>189</v>
      </c>
      <c r="J14" s="5" t="n">
        <v>0</v>
      </c>
      <c r="K14" s="17" t="s">
        <v>190</v>
      </c>
      <c r="L14" s="5" t="s">
        <v>191</v>
      </c>
      <c r="M14" s="17" t="s">
        <v>480</v>
      </c>
    </row>
    <row r="15" customFormat="false" ht="32.8" hidden="false" customHeight="false" outlineLevel="0" collapsed="false">
      <c r="A15" s="17" t="s">
        <v>442</v>
      </c>
      <c r="B15" s="18" t="n">
        <v>154</v>
      </c>
      <c r="C15" s="20" t="s">
        <v>128</v>
      </c>
      <c r="D15" s="8" t="n">
        <v>0</v>
      </c>
      <c r="E15" s="18" t="n">
        <f aca="false">ROUND(B15*D15,1)</f>
        <v>0</v>
      </c>
      <c r="F15" s="18" t="n">
        <f aca="false">B15-E15</f>
        <v>154</v>
      </c>
      <c r="G15" s="5" t="s">
        <v>69</v>
      </c>
      <c r="H15" s="5" t="s">
        <v>188</v>
      </c>
      <c r="I15" s="8" t="s">
        <v>189</v>
      </c>
      <c r="J15" s="5" t="n">
        <v>0</v>
      </c>
      <c r="K15" s="17" t="s">
        <v>190</v>
      </c>
      <c r="L15" s="5" t="s">
        <v>191</v>
      </c>
      <c r="M15" s="17" t="s">
        <v>480</v>
      </c>
    </row>
    <row r="16" customFormat="false" ht="32.8" hidden="false" customHeight="false" outlineLevel="0" collapsed="false">
      <c r="A16" s="17" t="s">
        <v>482</v>
      </c>
      <c r="B16" s="18" t="n">
        <v>154</v>
      </c>
      <c r="C16" s="20" t="s">
        <v>128</v>
      </c>
      <c r="D16" s="8" t="n">
        <v>0</v>
      </c>
      <c r="E16" s="18" t="n">
        <f aca="false">ROUND(B16*D16,1)</f>
        <v>0</v>
      </c>
      <c r="F16" s="18" t="n">
        <f aca="false">B16-E16</f>
        <v>154</v>
      </c>
      <c r="G16" s="5" t="s">
        <v>69</v>
      </c>
      <c r="H16" s="5" t="s">
        <v>188</v>
      </c>
      <c r="I16" s="8" t="s">
        <v>189</v>
      </c>
      <c r="J16" s="5" t="n">
        <v>0</v>
      </c>
      <c r="K16" s="17" t="s">
        <v>190</v>
      </c>
      <c r="L16" s="5" t="s">
        <v>191</v>
      </c>
      <c r="M16" s="17" t="s">
        <v>480</v>
      </c>
    </row>
    <row r="17" customFormat="false" ht="32.8" hidden="false" customHeight="false" outlineLevel="0" collapsed="false">
      <c r="A17" s="17" t="s">
        <v>440</v>
      </c>
      <c r="B17" s="18" t="n">
        <v>154</v>
      </c>
      <c r="C17" s="20" t="s">
        <v>128</v>
      </c>
      <c r="D17" s="8" t="n">
        <v>0</v>
      </c>
      <c r="E17" s="18" t="n">
        <f aca="false">ROUND(B17*D17,1)</f>
        <v>0</v>
      </c>
      <c r="F17" s="18" t="n">
        <f aca="false">B17-E17</f>
        <v>154</v>
      </c>
      <c r="G17" s="5" t="s">
        <v>69</v>
      </c>
      <c r="H17" s="5" t="s">
        <v>188</v>
      </c>
      <c r="I17" s="8" t="s">
        <v>189</v>
      </c>
      <c r="J17" s="5" t="n">
        <v>0</v>
      </c>
      <c r="K17" s="17" t="s">
        <v>190</v>
      </c>
      <c r="L17" s="5" t="s">
        <v>191</v>
      </c>
      <c r="M17" s="17" t="s">
        <v>480</v>
      </c>
    </row>
    <row r="18" customFormat="false" ht="32.8" hidden="false" customHeight="false" outlineLevel="0" collapsed="false">
      <c r="A18" s="17" t="s">
        <v>483</v>
      </c>
      <c r="B18" s="18" t="n">
        <v>154</v>
      </c>
      <c r="C18" s="20" t="s">
        <v>128</v>
      </c>
      <c r="D18" s="8" t="n">
        <v>0</v>
      </c>
      <c r="E18" s="18" t="n">
        <f aca="false">ROUND(B18*D18,1)</f>
        <v>0</v>
      </c>
      <c r="F18" s="18" t="n">
        <f aca="false">B18-E18</f>
        <v>154</v>
      </c>
      <c r="G18" s="5" t="s">
        <v>69</v>
      </c>
      <c r="H18" s="5" t="s">
        <v>188</v>
      </c>
      <c r="I18" s="8" t="s">
        <v>189</v>
      </c>
      <c r="J18" s="5" t="n">
        <v>0</v>
      </c>
      <c r="K18" s="17" t="s">
        <v>190</v>
      </c>
      <c r="L18" s="5" t="s">
        <v>191</v>
      </c>
      <c r="M18" s="17" t="s">
        <v>480</v>
      </c>
    </row>
    <row r="19" customFormat="false" ht="32.8" hidden="false" customHeight="false" outlineLevel="0" collapsed="false">
      <c r="A19" s="17" t="s">
        <v>484</v>
      </c>
      <c r="B19" s="18" t="n">
        <v>154</v>
      </c>
      <c r="C19" s="20" t="s">
        <v>128</v>
      </c>
      <c r="D19" s="8" t="n">
        <v>0</v>
      </c>
      <c r="E19" s="18" t="n">
        <f aca="false">ROUND(B19*D19,1)</f>
        <v>0</v>
      </c>
      <c r="F19" s="18" t="n">
        <f aca="false">B19-E19</f>
        <v>154</v>
      </c>
      <c r="G19" s="5" t="s">
        <v>69</v>
      </c>
      <c r="H19" s="5" t="s">
        <v>188</v>
      </c>
      <c r="I19" s="8" t="s">
        <v>189</v>
      </c>
      <c r="J19" s="5" t="n">
        <v>0</v>
      </c>
      <c r="K19" s="17" t="s">
        <v>190</v>
      </c>
      <c r="L19" s="5" t="s">
        <v>191</v>
      </c>
      <c r="M19" s="17" t="s">
        <v>480</v>
      </c>
    </row>
    <row r="20" customFormat="false" ht="32.8" hidden="false" customHeight="false" outlineLevel="0" collapsed="false">
      <c r="A20" s="17" t="s">
        <v>485</v>
      </c>
      <c r="B20" s="18" t="n">
        <v>154</v>
      </c>
      <c r="C20" s="20" t="s">
        <v>128</v>
      </c>
      <c r="D20" s="8" t="n">
        <v>0</v>
      </c>
      <c r="E20" s="18" t="n">
        <f aca="false">ROUND(B20*D20,1)</f>
        <v>0</v>
      </c>
      <c r="F20" s="18" t="n">
        <f aca="false">B20-E20</f>
        <v>154</v>
      </c>
      <c r="G20" s="5" t="s">
        <v>69</v>
      </c>
      <c r="H20" s="5" t="s">
        <v>188</v>
      </c>
      <c r="I20" s="8" t="s">
        <v>189</v>
      </c>
      <c r="J20" s="5" t="n">
        <v>0</v>
      </c>
      <c r="K20" s="17" t="s">
        <v>190</v>
      </c>
      <c r="L20" s="5" t="s">
        <v>191</v>
      </c>
      <c r="M20" s="17" t="s">
        <v>480</v>
      </c>
    </row>
    <row r="21" customFormat="false" ht="32.8" hidden="false" customHeight="false" outlineLevel="0" collapsed="false">
      <c r="A21" s="17" t="s">
        <v>486</v>
      </c>
      <c r="B21" s="18" t="n">
        <v>154</v>
      </c>
      <c r="C21" s="20" t="s">
        <v>128</v>
      </c>
      <c r="D21" s="8" t="n">
        <v>0</v>
      </c>
      <c r="E21" s="18" t="n">
        <f aca="false">ROUND(B21*D21,1)</f>
        <v>0</v>
      </c>
      <c r="F21" s="18" t="n">
        <f aca="false">B21-E21</f>
        <v>154</v>
      </c>
      <c r="G21" s="5" t="s">
        <v>69</v>
      </c>
      <c r="H21" s="5" t="s">
        <v>188</v>
      </c>
      <c r="I21" s="8" t="s">
        <v>189</v>
      </c>
      <c r="J21" s="5" t="n">
        <v>0</v>
      </c>
      <c r="K21" s="17" t="s">
        <v>190</v>
      </c>
      <c r="L21" s="5" t="s">
        <v>191</v>
      </c>
      <c r="M21" s="17" t="s">
        <v>480</v>
      </c>
    </row>
    <row r="22" customFormat="false" ht="32.8" hidden="false" customHeight="false" outlineLevel="0" collapsed="false">
      <c r="A22" s="17" t="s">
        <v>487</v>
      </c>
      <c r="B22" s="18" t="n">
        <v>154</v>
      </c>
      <c r="C22" s="20" t="s">
        <v>128</v>
      </c>
      <c r="D22" s="8" t="n">
        <v>0</v>
      </c>
      <c r="E22" s="18" t="n">
        <f aca="false">ROUND(B22*D22,1)</f>
        <v>0</v>
      </c>
      <c r="F22" s="18" t="n">
        <f aca="false">B22-E22</f>
        <v>154</v>
      </c>
      <c r="G22" s="5" t="s">
        <v>69</v>
      </c>
      <c r="H22" s="5" t="s">
        <v>188</v>
      </c>
      <c r="I22" s="8" t="s">
        <v>189</v>
      </c>
      <c r="J22" s="5" t="n">
        <v>0</v>
      </c>
      <c r="K22" s="17" t="s">
        <v>190</v>
      </c>
      <c r="L22" s="5" t="s">
        <v>191</v>
      </c>
      <c r="M22" s="17" t="s">
        <v>480</v>
      </c>
    </row>
    <row r="23" customFormat="false" ht="32.8" hidden="false" customHeight="false" outlineLevel="0" collapsed="false">
      <c r="A23" s="17" t="s">
        <v>488</v>
      </c>
      <c r="B23" s="18" t="n">
        <v>154</v>
      </c>
      <c r="C23" s="20" t="s">
        <v>128</v>
      </c>
      <c r="D23" s="8" t="n">
        <v>0</v>
      </c>
      <c r="E23" s="18" t="n">
        <f aca="false">ROUND(B23*D23,1)</f>
        <v>0</v>
      </c>
      <c r="F23" s="18" t="n">
        <f aca="false">B23-E23</f>
        <v>154</v>
      </c>
      <c r="G23" s="5" t="s">
        <v>69</v>
      </c>
      <c r="H23" s="5" t="s">
        <v>188</v>
      </c>
      <c r="I23" s="8" t="s">
        <v>189</v>
      </c>
      <c r="J23" s="5" t="n">
        <v>0</v>
      </c>
      <c r="K23" s="17" t="s">
        <v>190</v>
      </c>
      <c r="L23" s="5" t="s">
        <v>191</v>
      </c>
      <c r="M23" s="17" t="s">
        <v>480</v>
      </c>
    </row>
    <row r="24" customFormat="false" ht="32.8" hidden="false" customHeight="false" outlineLevel="0" collapsed="false">
      <c r="A24" s="17" t="s">
        <v>489</v>
      </c>
      <c r="B24" s="18" t="n">
        <v>154</v>
      </c>
      <c r="C24" s="20" t="s">
        <v>128</v>
      </c>
      <c r="D24" s="8" t="n">
        <v>0</v>
      </c>
      <c r="E24" s="18" t="n">
        <f aca="false">ROUND(B24*D24,1)</f>
        <v>0</v>
      </c>
      <c r="F24" s="18" t="n">
        <f aca="false">B24-E24</f>
        <v>154</v>
      </c>
      <c r="G24" s="5" t="s">
        <v>69</v>
      </c>
      <c r="H24" s="5" t="s">
        <v>188</v>
      </c>
      <c r="I24" s="8" t="s">
        <v>189</v>
      </c>
      <c r="J24" s="5" t="n">
        <v>0</v>
      </c>
      <c r="K24" s="17" t="s">
        <v>190</v>
      </c>
      <c r="L24" s="5" t="s">
        <v>191</v>
      </c>
      <c r="M24" s="17" t="s">
        <v>480</v>
      </c>
    </row>
    <row r="25" customFormat="false" ht="22.35" hidden="false" customHeight="false" outlineLevel="0" collapsed="false">
      <c r="A25" s="17" t="s">
        <v>490</v>
      </c>
      <c r="B25" s="18" t="n">
        <v>154</v>
      </c>
      <c r="C25" s="20" t="s">
        <v>128</v>
      </c>
      <c r="D25" s="8" t="n">
        <v>0</v>
      </c>
      <c r="E25" s="18" t="n">
        <f aca="false">ROUND(B25*D25,1)</f>
        <v>0</v>
      </c>
      <c r="F25" s="18" t="n">
        <f aca="false">B25-E25</f>
        <v>154</v>
      </c>
      <c r="G25" s="5" t="s">
        <v>69</v>
      </c>
      <c r="H25" s="5" t="s">
        <v>188</v>
      </c>
      <c r="I25" s="8" t="s">
        <v>189</v>
      </c>
      <c r="J25" s="5" t="n">
        <v>0</v>
      </c>
      <c r="K25" s="17" t="s">
        <v>190</v>
      </c>
      <c r="L25" s="5" t="s">
        <v>191</v>
      </c>
      <c r="M25" s="17" t="s">
        <v>491</v>
      </c>
    </row>
    <row r="26" customFormat="false" ht="15" hidden="false" customHeight="false" outlineLevel="0" collapsed="false">
      <c r="A26" s="17" t="s">
        <v>428</v>
      </c>
      <c r="B26" s="18" t="n">
        <v>240</v>
      </c>
      <c r="C26" s="26" t="s">
        <v>230</v>
      </c>
      <c r="D26" s="8" t="n">
        <v>0</v>
      </c>
      <c r="E26" s="18" t="n">
        <f aca="false">ROUND(B26*D26,1)</f>
        <v>0</v>
      </c>
      <c r="F26" s="18" t="n">
        <f aca="false">B26-E26</f>
        <v>240</v>
      </c>
      <c r="G26" s="5" t="s">
        <v>69</v>
      </c>
      <c r="H26" s="5" t="s">
        <v>189</v>
      </c>
      <c r="I26" s="8" t="s">
        <v>189</v>
      </c>
      <c r="J26" s="5" t="n">
        <v>0</v>
      </c>
      <c r="K26" s="17" t="s">
        <v>231</v>
      </c>
      <c r="L26" s="5" t="s">
        <v>191</v>
      </c>
      <c r="M26" s="17" t="s">
        <v>492</v>
      </c>
    </row>
    <row r="27" customFormat="false" ht="15" hidden="false" customHeight="false" outlineLevel="0" collapsed="false">
      <c r="A27" s="17" t="s">
        <v>493</v>
      </c>
      <c r="B27" s="18" t="n">
        <v>240</v>
      </c>
      <c r="C27" s="26" t="s">
        <v>230</v>
      </c>
      <c r="D27" s="8" t="n">
        <v>0</v>
      </c>
      <c r="E27" s="18" t="n">
        <f aca="false">ROUND(B27*D27,1)</f>
        <v>0</v>
      </c>
      <c r="F27" s="18" t="n">
        <f aca="false">B27-E27</f>
        <v>240</v>
      </c>
      <c r="G27" s="5" t="s">
        <v>69</v>
      </c>
      <c r="H27" s="5" t="s">
        <v>189</v>
      </c>
      <c r="I27" s="8" t="s">
        <v>189</v>
      </c>
      <c r="J27" s="5" t="n">
        <v>0</v>
      </c>
      <c r="K27" s="17" t="s">
        <v>231</v>
      </c>
      <c r="L27" s="5" t="s">
        <v>191</v>
      </c>
      <c r="M27" s="17" t="s">
        <v>492</v>
      </c>
    </row>
    <row r="28" customFormat="false" ht="15" hidden="false" customHeight="false" outlineLevel="0" collapsed="false">
      <c r="A28" s="17" t="s">
        <v>494</v>
      </c>
      <c r="B28" s="18" t="n">
        <v>240</v>
      </c>
      <c r="C28" s="26" t="s">
        <v>230</v>
      </c>
      <c r="D28" s="8" t="n">
        <v>0</v>
      </c>
      <c r="E28" s="18" t="n">
        <f aca="false">ROUND(B28*D28,1)</f>
        <v>0</v>
      </c>
      <c r="F28" s="18" t="n">
        <f aca="false">B28-E28</f>
        <v>240</v>
      </c>
      <c r="G28" s="5" t="s">
        <v>69</v>
      </c>
      <c r="H28" s="5" t="s">
        <v>189</v>
      </c>
      <c r="I28" s="8" t="s">
        <v>189</v>
      </c>
      <c r="J28" s="5" t="n">
        <v>0</v>
      </c>
      <c r="K28" s="17" t="s">
        <v>231</v>
      </c>
      <c r="L28" s="5" t="s">
        <v>191</v>
      </c>
      <c r="M28" s="17" t="s">
        <v>492</v>
      </c>
    </row>
    <row r="29" customFormat="false" ht="22.35" hidden="false" customHeight="false" outlineLevel="0" collapsed="false">
      <c r="A29" s="17" t="s">
        <v>495</v>
      </c>
      <c r="B29" s="18" t="n">
        <v>240</v>
      </c>
      <c r="C29" s="26" t="s">
        <v>230</v>
      </c>
      <c r="D29" s="8" t="n">
        <v>0</v>
      </c>
      <c r="E29" s="18" t="n">
        <f aca="false">ROUND(B29*D29,1)</f>
        <v>0</v>
      </c>
      <c r="F29" s="18" t="n">
        <f aca="false">B29-E29</f>
        <v>240</v>
      </c>
      <c r="G29" s="5" t="s">
        <v>30</v>
      </c>
      <c r="H29" s="5" t="s">
        <v>189</v>
      </c>
      <c r="I29" s="8" t="s">
        <v>189</v>
      </c>
      <c r="J29" s="5" t="n">
        <v>0</v>
      </c>
      <c r="K29" s="17" t="s">
        <v>231</v>
      </c>
      <c r="L29" s="5" t="s">
        <v>191</v>
      </c>
      <c r="M29" s="17" t="s">
        <v>496</v>
      </c>
    </row>
    <row r="30" customFormat="false" ht="22.35" hidden="false" customHeight="false" outlineLevel="0" collapsed="false">
      <c r="A30" s="17" t="s">
        <v>497</v>
      </c>
      <c r="B30" s="18" t="n">
        <v>240</v>
      </c>
      <c r="C30" s="26" t="s">
        <v>230</v>
      </c>
      <c r="D30" s="8" t="n">
        <v>0</v>
      </c>
      <c r="E30" s="18" t="n">
        <f aca="false">ROUND(B30*D30,1)</f>
        <v>0</v>
      </c>
      <c r="F30" s="18" t="n">
        <f aca="false">B30-E30</f>
        <v>240</v>
      </c>
      <c r="G30" s="5" t="s">
        <v>30</v>
      </c>
      <c r="H30" s="5" t="s">
        <v>189</v>
      </c>
      <c r="I30" s="8" t="s">
        <v>189</v>
      </c>
      <c r="J30" s="5" t="n">
        <v>0</v>
      </c>
      <c r="K30" s="17" t="s">
        <v>231</v>
      </c>
      <c r="L30" s="5" t="s">
        <v>191</v>
      </c>
      <c r="M30" s="17" t="s">
        <v>496</v>
      </c>
    </row>
    <row r="31" customFormat="false" ht="22.35" hidden="false" customHeight="false" outlineLevel="0" collapsed="false">
      <c r="A31" s="17" t="s">
        <v>498</v>
      </c>
      <c r="B31" s="18" t="n">
        <v>240</v>
      </c>
      <c r="C31" s="26" t="s">
        <v>230</v>
      </c>
      <c r="D31" s="8" t="n">
        <v>0</v>
      </c>
      <c r="E31" s="18" t="n">
        <f aca="false">ROUND(B31*D31,1)</f>
        <v>0</v>
      </c>
      <c r="F31" s="18" t="n">
        <f aca="false">B31-E31</f>
        <v>240</v>
      </c>
      <c r="G31" s="5" t="s">
        <v>30</v>
      </c>
      <c r="H31" s="5" t="s">
        <v>189</v>
      </c>
      <c r="I31" s="8" t="s">
        <v>189</v>
      </c>
      <c r="J31" s="5" t="n">
        <v>0</v>
      </c>
      <c r="K31" s="17" t="s">
        <v>231</v>
      </c>
      <c r="L31" s="5" t="s">
        <v>191</v>
      </c>
      <c r="M31" s="17" t="s">
        <v>496</v>
      </c>
    </row>
    <row r="32" customFormat="false" ht="22.35" hidden="false" customHeight="false" outlineLevel="0" collapsed="false">
      <c r="A32" s="17" t="s">
        <v>499</v>
      </c>
      <c r="B32" s="18" t="n">
        <v>240</v>
      </c>
      <c r="C32" s="26" t="s">
        <v>230</v>
      </c>
      <c r="D32" s="8" t="n">
        <v>0</v>
      </c>
      <c r="E32" s="18" t="n">
        <f aca="false">ROUND(B32*D32,1)</f>
        <v>0</v>
      </c>
      <c r="F32" s="18" t="n">
        <f aca="false">B32-E32</f>
        <v>240</v>
      </c>
      <c r="G32" s="5" t="s">
        <v>30</v>
      </c>
      <c r="H32" s="5" t="s">
        <v>189</v>
      </c>
      <c r="I32" s="8" t="s">
        <v>189</v>
      </c>
      <c r="J32" s="5" t="n">
        <v>0</v>
      </c>
      <c r="K32" s="17" t="s">
        <v>231</v>
      </c>
      <c r="L32" s="5" t="s">
        <v>191</v>
      </c>
      <c r="M32" s="17" t="s">
        <v>496</v>
      </c>
    </row>
    <row r="33" customFormat="false" ht="22.35" hidden="false" customHeight="false" outlineLevel="0" collapsed="false">
      <c r="A33" s="17" t="s">
        <v>500</v>
      </c>
      <c r="B33" s="18" t="n">
        <v>240</v>
      </c>
      <c r="C33" s="26" t="s">
        <v>230</v>
      </c>
      <c r="D33" s="8" t="n">
        <v>0</v>
      </c>
      <c r="E33" s="18" t="n">
        <f aca="false">ROUND(B33*D33,1)</f>
        <v>0</v>
      </c>
      <c r="F33" s="18" t="n">
        <f aca="false">B33-E33</f>
        <v>240</v>
      </c>
      <c r="G33" s="5" t="s">
        <v>30</v>
      </c>
      <c r="H33" s="5" t="s">
        <v>189</v>
      </c>
      <c r="I33" s="8" t="s">
        <v>189</v>
      </c>
      <c r="J33" s="5" t="n">
        <v>0</v>
      </c>
      <c r="K33" s="17" t="s">
        <v>231</v>
      </c>
      <c r="L33" s="5" t="s">
        <v>191</v>
      </c>
      <c r="M33" s="17" t="s">
        <v>496</v>
      </c>
    </row>
    <row r="34" customFormat="false" ht="22.35" hidden="false" customHeight="false" outlineLevel="0" collapsed="false">
      <c r="A34" s="17" t="s">
        <v>501</v>
      </c>
      <c r="B34" s="18" t="n">
        <v>240</v>
      </c>
      <c r="C34" s="26" t="s">
        <v>230</v>
      </c>
      <c r="D34" s="8" t="n">
        <v>0</v>
      </c>
      <c r="E34" s="18" t="n">
        <f aca="false">ROUND(B34*D34,1)</f>
        <v>0</v>
      </c>
      <c r="F34" s="18" t="n">
        <f aca="false">B34-E34</f>
        <v>240</v>
      </c>
      <c r="G34" s="5" t="s">
        <v>30</v>
      </c>
      <c r="H34" s="5" t="s">
        <v>189</v>
      </c>
      <c r="I34" s="8" t="s">
        <v>189</v>
      </c>
      <c r="J34" s="5" t="n">
        <v>0</v>
      </c>
      <c r="K34" s="17" t="s">
        <v>231</v>
      </c>
      <c r="L34" s="5" t="s">
        <v>191</v>
      </c>
      <c r="M34" s="17" t="s">
        <v>496</v>
      </c>
    </row>
    <row r="35" customFormat="false" ht="22.35" hidden="false" customHeight="false" outlineLevel="0" collapsed="false">
      <c r="A35" s="17" t="s">
        <v>502</v>
      </c>
      <c r="B35" s="18" t="n">
        <v>240</v>
      </c>
      <c r="C35" s="26" t="s">
        <v>230</v>
      </c>
      <c r="D35" s="8" t="n">
        <v>0</v>
      </c>
      <c r="E35" s="18" t="n">
        <f aca="false">ROUND(B35*D35,1)</f>
        <v>0</v>
      </c>
      <c r="F35" s="18" t="n">
        <f aca="false">B35-E35</f>
        <v>240</v>
      </c>
      <c r="G35" s="5" t="s">
        <v>30</v>
      </c>
      <c r="H35" s="5" t="s">
        <v>189</v>
      </c>
      <c r="I35" s="8" t="s">
        <v>189</v>
      </c>
      <c r="J35" s="5" t="n">
        <v>0</v>
      </c>
      <c r="K35" s="17" t="s">
        <v>231</v>
      </c>
      <c r="L35" s="5" t="s">
        <v>191</v>
      </c>
      <c r="M35" s="17" t="s">
        <v>496</v>
      </c>
    </row>
    <row r="36" customFormat="false" ht="22.35" hidden="false" customHeight="false" outlineLevel="0" collapsed="false">
      <c r="A36" s="17" t="s">
        <v>503</v>
      </c>
      <c r="B36" s="18" t="n">
        <v>240</v>
      </c>
      <c r="C36" s="26" t="s">
        <v>230</v>
      </c>
      <c r="D36" s="8" t="n">
        <v>0</v>
      </c>
      <c r="E36" s="18" t="n">
        <f aca="false">ROUND(B36*D36,1)</f>
        <v>0</v>
      </c>
      <c r="F36" s="18" t="n">
        <f aca="false">B36-E36</f>
        <v>240</v>
      </c>
      <c r="G36" s="5" t="s">
        <v>30</v>
      </c>
      <c r="H36" s="5" t="s">
        <v>189</v>
      </c>
      <c r="I36" s="8" t="s">
        <v>189</v>
      </c>
      <c r="J36" s="5" t="n">
        <v>0</v>
      </c>
      <c r="K36" s="17" t="s">
        <v>231</v>
      </c>
      <c r="L36" s="5" t="s">
        <v>191</v>
      </c>
      <c r="M36" s="17" t="s">
        <v>496</v>
      </c>
    </row>
    <row r="37" customFormat="false" ht="22.35" hidden="false" customHeight="false" outlineLevel="0" collapsed="false">
      <c r="A37" s="17" t="s">
        <v>504</v>
      </c>
      <c r="B37" s="18" t="n">
        <v>240</v>
      </c>
      <c r="C37" s="26" t="s">
        <v>230</v>
      </c>
      <c r="D37" s="8" t="n">
        <v>0</v>
      </c>
      <c r="E37" s="18" t="n">
        <f aca="false">ROUND(B37*D37,1)</f>
        <v>0</v>
      </c>
      <c r="F37" s="18" t="n">
        <f aca="false">B37-E37</f>
        <v>240</v>
      </c>
      <c r="G37" s="5" t="s">
        <v>30</v>
      </c>
      <c r="H37" s="5" t="s">
        <v>189</v>
      </c>
      <c r="I37" s="8" t="s">
        <v>189</v>
      </c>
      <c r="J37" s="5" t="n">
        <v>0</v>
      </c>
      <c r="K37" s="17" t="s">
        <v>231</v>
      </c>
      <c r="L37" s="5" t="s">
        <v>191</v>
      </c>
      <c r="M37" s="17" t="s">
        <v>496</v>
      </c>
    </row>
    <row r="38" customFormat="false" ht="22.35" hidden="false" customHeight="false" outlineLevel="0" collapsed="false">
      <c r="A38" s="17" t="s">
        <v>505</v>
      </c>
      <c r="B38" s="18" t="n">
        <v>240</v>
      </c>
      <c r="C38" s="26" t="s">
        <v>230</v>
      </c>
      <c r="D38" s="8" t="n">
        <v>0</v>
      </c>
      <c r="E38" s="18" t="n">
        <f aca="false">ROUND(B38*D38,1)</f>
        <v>0</v>
      </c>
      <c r="F38" s="18" t="n">
        <f aca="false">B38-E38</f>
        <v>240</v>
      </c>
      <c r="G38" s="5" t="s">
        <v>30</v>
      </c>
      <c r="H38" s="5" t="s">
        <v>189</v>
      </c>
      <c r="I38" s="8" t="s">
        <v>189</v>
      </c>
      <c r="J38" s="5" t="n">
        <v>0</v>
      </c>
      <c r="K38" s="17" t="s">
        <v>231</v>
      </c>
      <c r="L38" s="5" t="s">
        <v>191</v>
      </c>
      <c r="M38" s="17" t="s">
        <v>496</v>
      </c>
    </row>
    <row r="39" customFormat="false" ht="22.35" hidden="false" customHeight="false" outlineLevel="0" collapsed="false">
      <c r="A39" s="17" t="s">
        <v>506</v>
      </c>
      <c r="B39" s="18" t="n">
        <v>240</v>
      </c>
      <c r="C39" s="26" t="s">
        <v>230</v>
      </c>
      <c r="D39" s="8" t="n">
        <v>0</v>
      </c>
      <c r="E39" s="18" t="n">
        <f aca="false">ROUND(B39*D39,1)</f>
        <v>0</v>
      </c>
      <c r="F39" s="18" t="n">
        <f aca="false">B39-E39</f>
        <v>240</v>
      </c>
      <c r="G39" s="5" t="s">
        <v>30</v>
      </c>
      <c r="H39" s="5" t="s">
        <v>189</v>
      </c>
      <c r="I39" s="8" t="s">
        <v>189</v>
      </c>
      <c r="J39" s="5" t="n">
        <v>0</v>
      </c>
      <c r="K39" s="17" t="s">
        <v>231</v>
      </c>
      <c r="L39" s="5" t="s">
        <v>191</v>
      </c>
      <c r="M39" s="17" t="s">
        <v>496</v>
      </c>
    </row>
    <row r="40" customFormat="false" ht="15" hidden="false" customHeight="false" outlineLevel="0" collapsed="false">
      <c r="A40" s="9" t="s">
        <v>163</v>
      </c>
      <c r="B40" s="10" t="n">
        <f aca="false">SUM(B6:B39)</f>
        <v>10602.1</v>
      </c>
      <c r="C40" s="9"/>
      <c r="D40" s="11" t="n">
        <f aca="false">IF(B40=0,0,E40/B40)</f>
        <v>0.0401146942586846</v>
      </c>
      <c r="E40" s="10" t="n">
        <f aca="false">SUM(E6:E39)</f>
        <v>425.3</v>
      </c>
      <c r="F40" s="10" t="n">
        <f aca="false">SUM(F6:F39)</f>
        <v>10176.8</v>
      </c>
      <c r="G40" s="9"/>
      <c r="H40" s="9"/>
      <c r="I40" s="9"/>
      <c r="J40" s="9"/>
      <c r="K40" s="9"/>
      <c r="L40" s="9"/>
      <c r="M40" s="9"/>
    </row>
    <row r="42" customFormat="false" ht="15" hidden="false" customHeight="false" outlineLevel="0" collapsed="false">
      <c r="A42" s="12" t="s">
        <v>164</v>
      </c>
      <c r="D42" s="22" t="n">
        <f aca="false">F40*8</f>
        <v>81414.4</v>
      </c>
      <c r="E42" s="16" t="s">
        <v>165</v>
      </c>
    </row>
    <row r="43" customFormat="false" ht="15" hidden="false" customHeight="false" outlineLevel="0" collapsed="false">
      <c r="A43" s="12" t="s">
        <v>166</v>
      </c>
      <c r="D43" s="23" t="n">
        <v>3360</v>
      </c>
      <c r="E43" s="16" t="s">
        <v>167</v>
      </c>
    </row>
    <row r="44" customFormat="false" ht="15" hidden="false" customHeight="false" outlineLevel="0" collapsed="false">
      <c r="A44" s="12" t="s">
        <v>168</v>
      </c>
      <c r="D44" s="24" t="n">
        <v>0.06</v>
      </c>
      <c r="E44" s="16" t="s">
        <v>507</v>
      </c>
    </row>
    <row r="45" customFormat="false" ht="15" hidden="false" customHeight="false" outlineLevel="0" collapsed="false">
      <c r="A45" s="12" t="s">
        <v>170</v>
      </c>
      <c r="D45" s="22" t="n">
        <f aca="false">(B40-D43)*(1-D44)</f>
        <v>6807.574</v>
      </c>
      <c r="E45" s="16" t="s">
        <v>171</v>
      </c>
    </row>
    <row r="46" customFormat="false" ht="15" hidden="false" customHeight="false" outlineLevel="0" collapsed="false">
      <c r="A46" s="12" t="s">
        <v>172</v>
      </c>
      <c r="D46" s="22" t="n">
        <f aca="false">D45*4</f>
        <v>27230.296</v>
      </c>
      <c r="E46" s="16" t="s">
        <v>173</v>
      </c>
    </row>
    <row r="47" customFormat="false" ht="15" hidden="false" customHeight="false" outlineLevel="0" collapsed="false">
      <c r="A47" s="12" t="s">
        <v>174</v>
      </c>
      <c r="D47" s="23" t="n">
        <v>425</v>
      </c>
    </row>
    <row r="48" customFormat="false" ht="15" hidden="false" customHeight="false" outlineLevel="0" collapsed="false">
      <c r="A48" s="12" t="s">
        <v>175</v>
      </c>
      <c r="D48" s="23" t="n">
        <v>0</v>
      </c>
      <c r="E48" s="16" t="s">
        <v>176</v>
      </c>
    </row>
    <row r="49" customFormat="false" ht="15" hidden="false" customHeight="false" outlineLevel="0" collapsed="false">
      <c r="A49" s="12" t="s">
        <v>177</v>
      </c>
      <c r="D49" s="23" t="n">
        <v>2347</v>
      </c>
    </row>
    <row r="50" customFormat="false" ht="15" hidden="false" customHeight="false" outlineLevel="0" collapsed="false">
      <c r="A50" s="12" t="s">
        <v>178</v>
      </c>
      <c r="D50" s="23" t="n">
        <v>7830</v>
      </c>
      <c r="E50" s="16" t="s">
        <v>179</v>
      </c>
    </row>
    <row r="51" customFormat="false" ht="15" hidden="false" customHeight="true" outlineLevel="0" collapsed="false">
      <c r="A51" s="25" t="s">
        <v>508</v>
      </c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</row>
  </sheetData>
  <mergeCells count="1">
    <mergeCell ref="A51:M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10" min="9" style="0" width="9"/>
    <col collapsed="false" customWidth="true" hidden="false" outlineLevel="0" max="11" min="11" style="0" width="46"/>
    <col collapsed="false" customWidth="true" hidden="false" outlineLevel="0" max="12" min="12" style="0" width="17"/>
    <col collapsed="false" customWidth="true" hidden="false" outlineLevel="0" max="13" min="13" style="0" width="54"/>
  </cols>
  <sheetData>
    <row r="1" customFormat="false" ht="16.15" hidden="false" customHeight="false" outlineLevel="0" collapsed="false">
      <c r="A1" s="14" t="s">
        <v>509</v>
      </c>
    </row>
    <row r="2" customFormat="false" ht="15" hidden="false" customHeight="false" outlineLevel="0" collapsed="false">
      <c r="A2" s="15" t="s">
        <v>510</v>
      </c>
    </row>
    <row r="3" customFormat="false" ht="15" hidden="false" customHeight="false" outlineLevel="0" collapsed="false">
      <c r="A3" s="16" t="s">
        <v>511</v>
      </c>
    </row>
    <row r="5" customFormat="false" ht="22.35" hidden="false" customHeight="false" outlineLevel="0" collapsed="false">
      <c r="A5" s="4" t="s">
        <v>102</v>
      </c>
      <c r="B5" s="4" t="s">
        <v>103</v>
      </c>
      <c r="C5" s="4" t="s">
        <v>104</v>
      </c>
      <c r="D5" s="4" t="s">
        <v>105</v>
      </c>
      <c r="E5" s="4" t="s">
        <v>106</v>
      </c>
      <c r="F5" s="4" t="s">
        <v>107</v>
      </c>
      <c r="G5" s="4" t="s">
        <v>108</v>
      </c>
      <c r="H5" s="4" t="s">
        <v>109</v>
      </c>
      <c r="I5" s="4" t="s">
        <v>110</v>
      </c>
      <c r="J5" s="4" t="s">
        <v>16</v>
      </c>
      <c r="K5" s="4" t="s">
        <v>111</v>
      </c>
      <c r="L5" s="4" t="s">
        <v>112</v>
      </c>
      <c r="M5" s="4" t="s">
        <v>113</v>
      </c>
    </row>
    <row r="6" customFormat="false" ht="22.35" hidden="false" customHeight="false" outlineLevel="0" collapsed="false">
      <c r="A6" s="17" t="s">
        <v>184</v>
      </c>
      <c r="B6" s="18" t="n">
        <v>205.4</v>
      </c>
      <c r="C6" s="20" t="s">
        <v>128</v>
      </c>
      <c r="D6" s="8" t="n">
        <v>0</v>
      </c>
      <c r="E6" s="18" t="n">
        <f aca="false">ROUND(B6*D6,1)</f>
        <v>0</v>
      </c>
      <c r="F6" s="18" t="n">
        <f aca="false">B6-E6</f>
        <v>205.4</v>
      </c>
      <c r="G6" s="5" t="s">
        <v>26</v>
      </c>
      <c r="H6" s="5" t="s">
        <v>148</v>
      </c>
      <c r="I6" s="8" t="n">
        <v>0</v>
      </c>
      <c r="J6" s="5" t="n">
        <v>1</v>
      </c>
      <c r="K6" s="17" t="s">
        <v>129</v>
      </c>
      <c r="L6" s="5" t="s">
        <v>118</v>
      </c>
      <c r="M6" s="17" t="s">
        <v>512</v>
      </c>
    </row>
    <row r="7" customFormat="false" ht="15" hidden="false" customHeight="false" outlineLevel="0" collapsed="false">
      <c r="A7" s="17" t="s">
        <v>513</v>
      </c>
      <c r="B7" s="18" t="n">
        <v>56.5</v>
      </c>
      <c r="C7" s="20" t="s">
        <v>128</v>
      </c>
      <c r="D7" s="8" t="n">
        <v>0</v>
      </c>
      <c r="E7" s="18" t="n">
        <f aca="false">ROUND(B7*D7,1)</f>
        <v>0</v>
      </c>
      <c r="F7" s="18" t="n">
        <f aca="false">B7-E7</f>
        <v>56.5</v>
      </c>
      <c r="G7" s="5" t="s">
        <v>26</v>
      </c>
      <c r="H7" s="5" t="s">
        <v>116</v>
      </c>
      <c r="I7" s="8" t="n">
        <v>1</v>
      </c>
      <c r="J7" s="5" t="n">
        <v>1</v>
      </c>
      <c r="K7" s="17" t="s">
        <v>129</v>
      </c>
      <c r="L7" s="5" t="s">
        <v>118</v>
      </c>
      <c r="M7" s="17" t="s">
        <v>514</v>
      </c>
    </row>
    <row r="8" customFormat="false" ht="15" hidden="false" customHeight="false" outlineLevel="0" collapsed="false">
      <c r="A8" s="17" t="s">
        <v>515</v>
      </c>
      <c r="B8" s="18" t="n">
        <v>154.7</v>
      </c>
      <c r="C8" s="20" t="s">
        <v>128</v>
      </c>
      <c r="D8" s="8" t="n">
        <v>0</v>
      </c>
      <c r="E8" s="18" t="n">
        <f aca="false">ROUND(B8*D8,1)</f>
        <v>0</v>
      </c>
      <c r="F8" s="18" t="n">
        <f aca="false">B8-E8</f>
        <v>154.7</v>
      </c>
      <c r="G8" s="5" t="s">
        <v>26</v>
      </c>
      <c r="H8" s="5" t="s">
        <v>124</v>
      </c>
      <c r="I8" s="8" t="n">
        <v>0.5</v>
      </c>
      <c r="J8" s="5" t="n">
        <v>1</v>
      </c>
      <c r="K8" s="17" t="s">
        <v>129</v>
      </c>
      <c r="L8" s="5" t="s">
        <v>118</v>
      </c>
      <c r="M8" s="17" t="s">
        <v>514</v>
      </c>
    </row>
    <row r="9" customFormat="false" ht="15" hidden="false" customHeight="false" outlineLevel="0" collapsed="false">
      <c r="A9" s="17" t="s">
        <v>306</v>
      </c>
      <c r="B9" s="18" t="n">
        <v>198.5</v>
      </c>
      <c r="C9" s="20" t="s">
        <v>128</v>
      </c>
      <c r="D9" s="8" t="n">
        <v>0</v>
      </c>
      <c r="E9" s="18" t="n">
        <f aca="false">ROUND(B9*D9,1)</f>
        <v>0</v>
      </c>
      <c r="F9" s="18" t="n">
        <f aca="false">B9-E9</f>
        <v>198.5</v>
      </c>
      <c r="G9" s="5" t="s">
        <v>26</v>
      </c>
      <c r="H9" s="5" t="s">
        <v>188</v>
      </c>
      <c r="I9" s="8" t="s">
        <v>189</v>
      </c>
      <c r="J9" s="5" t="n">
        <v>1</v>
      </c>
      <c r="K9" s="17" t="s">
        <v>129</v>
      </c>
      <c r="L9" s="5" t="s">
        <v>118</v>
      </c>
      <c r="M9" s="17" t="s">
        <v>514</v>
      </c>
    </row>
    <row r="10" customFormat="false" ht="15" hidden="false" customHeight="false" outlineLevel="0" collapsed="false">
      <c r="A10" s="17" t="s">
        <v>516</v>
      </c>
      <c r="B10" s="18" t="n">
        <v>350.9</v>
      </c>
      <c r="C10" s="20" t="s">
        <v>128</v>
      </c>
      <c r="D10" s="8" t="n">
        <v>0</v>
      </c>
      <c r="E10" s="18" t="n">
        <f aca="false">ROUND(B10*D10,1)</f>
        <v>0</v>
      </c>
      <c r="F10" s="18" t="n">
        <f aca="false">B10-E10</f>
        <v>350.9</v>
      </c>
      <c r="G10" s="5" t="s">
        <v>26</v>
      </c>
      <c r="H10" s="5" t="s">
        <v>148</v>
      </c>
      <c r="I10" s="8" t="n">
        <v>0</v>
      </c>
      <c r="J10" s="5" t="n">
        <v>1</v>
      </c>
      <c r="K10" s="17" t="s">
        <v>129</v>
      </c>
      <c r="L10" s="5" t="s">
        <v>118</v>
      </c>
      <c r="M10" s="17" t="s">
        <v>517</v>
      </c>
    </row>
    <row r="11" customFormat="false" ht="22.35" hidden="false" customHeight="false" outlineLevel="0" collapsed="false">
      <c r="A11" s="17" t="s">
        <v>518</v>
      </c>
      <c r="B11" s="18" t="n">
        <v>287.2</v>
      </c>
      <c r="C11" s="20" t="s">
        <v>128</v>
      </c>
      <c r="D11" s="8" t="n">
        <v>0</v>
      </c>
      <c r="E11" s="18" t="n">
        <f aca="false">ROUND(B11*D11,1)</f>
        <v>0</v>
      </c>
      <c r="F11" s="18" t="n">
        <f aca="false">B11-E11</f>
        <v>287.2</v>
      </c>
      <c r="G11" s="5" t="s">
        <v>26</v>
      </c>
      <c r="H11" s="5" t="s">
        <v>148</v>
      </c>
      <c r="I11" s="8" t="n">
        <v>0</v>
      </c>
      <c r="J11" s="5" t="n">
        <v>1</v>
      </c>
      <c r="K11" s="17" t="s">
        <v>129</v>
      </c>
      <c r="L11" s="5" t="s">
        <v>118</v>
      </c>
      <c r="M11" s="17" t="s">
        <v>519</v>
      </c>
    </row>
    <row r="12" customFormat="false" ht="15" hidden="false" customHeight="false" outlineLevel="0" collapsed="false">
      <c r="A12" s="17" t="s">
        <v>520</v>
      </c>
      <c r="B12" s="18" t="n">
        <v>530.2</v>
      </c>
      <c r="C12" s="20" t="s">
        <v>128</v>
      </c>
      <c r="D12" s="8" t="n">
        <v>0</v>
      </c>
      <c r="E12" s="18" t="n">
        <f aca="false">ROUND(B12*D12,1)</f>
        <v>0</v>
      </c>
      <c r="F12" s="18" t="n">
        <f aca="false">B12-E12</f>
        <v>530.2</v>
      </c>
      <c r="G12" s="5" t="s">
        <v>30</v>
      </c>
      <c r="H12" s="5" t="s">
        <v>124</v>
      </c>
      <c r="I12" s="8" t="n">
        <v>0.5</v>
      </c>
      <c r="J12" s="5" t="n">
        <v>1</v>
      </c>
      <c r="K12" s="17" t="s">
        <v>149</v>
      </c>
      <c r="L12" s="5" t="s">
        <v>118</v>
      </c>
      <c r="M12" s="17" t="s">
        <v>521</v>
      </c>
    </row>
    <row r="13" customFormat="false" ht="15" hidden="false" customHeight="false" outlineLevel="0" collapsed="false">
      <c r="A13" s="17" t="s">
        <v>142</v>
      </c>
      <c r="B13" s="18" t="n">
        <v>108.3</v>
      </c>
      <c r="C13" s="20" t="s">
        <v>128</v>
      </c>
      <c r="D13" s="8" t="n">
        <v>0</v>
      </c>
      <c r="E13" s="18" t="n">
        <f aca="false">ROUND(B13*D13,1)</f>
        <v>0</v>
      </c>
      <c r="F13" s="18" t="n">
        <f aca="false">B13-E13</f>
        <v>108.3</v>
      </c>
      <c r="G13" s="5" t="s">
        <v>26</v>
      </c>
      <c r="H13" s="5" t="s">
        <v>148</v>
      </c>
      <c r="I13" s="8" t="n">
        <v>0</v>
      </c>
      <c r="J13" s="5" t="n">
        <v>1</v>
      </c>
      <c r="K13" s="17" t="s">
        <v>149</v>
      </c>
      <c r="L13" s="5" t="s">
        <v>118</v>
      </c>
      <c r="M13" s="17" t="s">
        <v>514</v>
      </c>
    </row>
    <row r="14" customFormat="false" ht="15" hidden="false" customHeight="false" outlineLevel="0" collapsed="false">
      <c r="A14" s="17" t="s">
        <v>522</v>
      </c>
      <c r="B14" s="18" t="n">
        <v>103.5</v>
      </c>
      <c r="C14" s="20" t="s">
        <v>128</v>
      </c>
      <c r="D14" s="8" t="n">
        <v>0</v>
      </c>
      <c r="E14" s="18" t="n">
        <f aca="false">ROUND(B14*D14,1)</f>
        <v>0</v>
      </c>
      <c r="F14" s="18" t="n">
        <f aca="false">B14-E14</f>
        <v>103.5</v>
      </c>
      <c r="G14" s="5" t="s">
        <v>26</v>
      </c>
      <c r="H14" s="5" t="s">
        <v>148</v>
      </c>
      <c r="I14" s="8" t="n">
        <v>0</v>
      </c>
      <c r="J14" s="5" t="n">
        <v>1</v>
      </c>
      <c r="K14" s="17" t="s">
        <v>149</v>
      </c>
      <c r="L14" s="5" t="s">
        <v>118</v>
      </c>
      <c r="M14" s="17" t="s">
        <v>514</v>
      </c>
    </row>
    <row r="15" customFormat="false" ht="15" hidden="false" customHeight="false" outlineLevel="0" collapsed="false">
      <c r="A15" s="9" t="s">
        <v>163</v>
      </c>
      <c r="B15" s="10" t="n">
        <f aca="false">SUM(B6:B14)</f>
        <v>1995.2</v>
      </c>
      <c r="C15" s="9"/>
      <c r="D15" s="11" t="n">
        <f aca="false">IF(B15=0,0,E15/B15)</f>
        <v>0</v>
      </c>
      <c r="E15" s="10" t="n">
        <f aca="false">SUM(E6:E14)</f>
        <v>0</v>
      </c>
      <c r="F15" s="10" t="n">
        <f aca="false">SUM(F6:F14)</f>
        <v>1995.2</v>
      </c>
      <c r="G15" s="9"/>
      <c r="H15" s="9"/>
      <c r="I15" s="9"/>
      <c r="J15" s="9"/>
      <c r="K15" s="9"/>
      <c r="L15" s="9"/>
      <c r="M15" s="9"/>
    </row>
    <row r="17" customFormat="false" ht="15" hidden="false" customHeight="false" outlineLevel="0" collapsed="false">
      <c r="A17" s="12" t="s">
        <v>164</v>
      </c>
      <c r="D17" s="22" t="n">
        <f aca="false">F15*8</f>
        <v>15961.6</v>
      </c>
      <c r="E17" s="16" t="s">
        <v>165</v>
      </c>
    </row>
    <row r="18" customFormat="false" ht="15" hidden="false" customHeight="false" outlineLevel="0" collapsed="false">
      <c r="A18" s="12" t="s">
        <v>166</v>
      </c>
      <c r="D18" s="23" t="n">
        <v>0</v>
      </c>
      <c r="E18" s="16" t="s">
        <v>167</v>
      </c>
    </row>
    <row r="19" customFormat="false" ht="15" hidden="false" customHeight="false" outlineLevel="0" collapsed="false">
      <c r="A19" s="12" t="s">
        <v>168</v>
      </c>
      <c r="D19" s="24" t="n">
        <v>0.22</v>
      </c>
      <c r="E19" s="16" t="s">
        <v>523</v>
      </c>
    </row>
    <row r="20" customFormat="false" ht="15" hidden="false" customHeight="false" outlineLevel="0" collapsed="false">
      <c r="A20" s="12" t="s">
        <v>170</v>
      </c>
      <c r="D20" s="22" t="n">
        <f aca="false">(B15-D18)*(1-D19)</f>
        <v>1556.256</v>
      </c>
      <c r="E20" s="16" t="s">
        <v>171</v>
      </c>
    </row>
    <row r="21" customFormat="false" ht="15" hidden="false" customHeight="false" outlineLevel="0" collapsed="false">
      <c r="A21" s="12" t="s">
        <v>172</v>
      </c>
      <c r="D21" s="22" t="n">
        <f aca="false">D20*4</f>
        <v>6225.024</v>
      </c>
      <c r="E21" s="16" t="s">
        <v>173</v>
      </c>
    </row>
    <row r="22" customFormat="false" ht="15" hidden="false" customHeight="false" outlineLevel="0" collapsed="false">
      <c r="A22" s="12" t="s">
        <v>174</v>
      </c>
      <c r="D22" s="23" t="n">
        <v>0</v>
      </c>
    </row>
    <row r="23" customFormat="false" ht="15" hidden="false" customHeight="false" outlineLevel="0" collapsed="false">
      <c r="A23" s="12" t="s">
        <v>175</v>
      </c>
      <c r="D23" s="23" t="n">
        <v>0</v>
      </c>
      <c r="E23" s="16" t="s">
        <v>176</v>
      </c>
    </row>
    <row r="24" customFormat="false" ht="15" hidden="false" customHeight="false" outlineLevel="0" collapsed="false">
      <c r="A24" s="12" t="s">
        <v>177</v>
      </c>
      <c r="D24" s="23" t="n">
        <v>1995</v>
      </c>
    </row>
    <row r="25" customFormat="false" ht="15" hidden="false" customHeight="false" outlineLevel="0" collapsed="false">
      <c r="A25" s="12" t="s">
        <v>178</v>
      </c>
      <c r="D25" s="23" t="n">
        <v>0</v>
      </c>
      <c r="E25" s="16" t="s">
        <v>179</v>
      </c>
    </row>
    <row r="26" customFormat="false" ht="15" hidden="false" customHeight="true" outlineLevel="0" collapsed="false">
      <c r="A26" s="25" t="s">
        <v>524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</row>
  </sheetData>
  <mergeCells count="1">
    <mergeCell ref="A26:M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10" min="9" style="0" width="9"/>
    <col collapsed="false" customWidth="true" hidden="false" outlineLevel="0" max="11" min="11" style="0" width="46"/>
    <col collapsed="false" customWidth="true" hidden="false" outlineLevel="0" max="12" min="12" style="0" width="17"/>
    <col collapsed="false" customWidth="true" hidden="false" outlineLevel="0" max="13" min="13" style="0" width="54"/>
  </cols>
  <sheetData>
    <row r="1" customFormat="false" ht="16.15" hidden="false" customHeight="false" outlineLevel="0" collapsed="false">
      <c r="A1" s="14" t="s">
        <v>525</v>
      </c>
    </row>
    <row r="2" customFormat="false" ht="15" hidden="false" customHeight="false" outlineLevel="0" collapsed="false">
      <c r="A2" s="15" t="s">
        <v>526</v>
      </c>
    </row>
    <row r="3" customFormat="false" ht="15" hidden="false" customHeight="false" outlineLevel="0" collapsed="false">
      <c r="A3" s="16" t="s">
        <v>527</v>
      </c>
    </row>
    <row r="5" customFormat="false" ht="22.35" hidden="false" customHeight="false" outlineLevel="0" collapsed="false">
      <c r="A5" s="4" t="s">
        <v>102</v>
      </c>
      <c r="B5" s="4" t="s">
        <v>103</v>
      </c>
      <c r="C5" s="4" t="s">
        <v>104</v>
      </c>
      <c r="D5" s="4" t="s">
        <v>105</v>
      </c>
      <c r="E5" s="4" t="s">
        <v>106</v>
      </c>
      <c r="F5" s="4" t="s">
        <v>107</v>
      </c>
      <c r="G5" s="4" t="s">
        <v>108</v>
      </c>
      <c r="H5" s="4" t="s">
        <v>109</v>
      </c>
      <c r="I5" s="4" t="s">
        <v>110</v>
      </c>
      <c r="J5" s="4" t="s">
        <v>16</v>
      </c>
      <c r="K5" s="4" t="s">
        <v>111</v>
      </c>
      <c r="L5" s="4" t="s">
        <v>112</v>
      </c>
      <c r="M5" s="4" t="s">
        <v>113</v>
      </c>
    </row>
    <row r="6" customFormat="false" ht="22.35" hidden="false" customHeight="false" outlineLevel="0" collapsed="false">
      <c r="A6" s="17" t="s">
        <v>123</v>
      </c>
      <c r="B6" s="18" t="n">
        <v>294.6</v>
      </c>
      <c r="C6" s="19" t="s">
        <v>115</v>
      </c>
      <c r="D6" s="8" t="n">
        <v>1</v>
      </c>
      <c r="E6" s="18" t="n">
        <f aca="false">ROUND(B6*D6,1)</f>
        <v>294.6</v>
      </c>
      <c r="F6" s="18" t="n">
        <f aca="false">B6-E6</f>
        <v>0</v>
      </c>
      <c r="G6" s="5" t="s">
        <v>26</v>
      </c>
      <c r="H6" s="5" t="s">
        <v>116</v>
      </c>
      <c r="I6" s="8" t="n">
        <v>1</v>
      </c>
      <c r="J6" s="5" t="n">
        <v>1</v>
      </c>
      <c r="K6" s="17" t="s">
        <v>125</v>
      </c>
      <c r="L6" s="5" t="s">
        <v>118</v>
      </c>
      <c r="M6" s="17" t="s">
        <v>528</v>
      </c>
    </row>
    <row r="7" customFormat="false" ht="15" hidden="false" customHeight="false" outlineLevel="0" collapsed="false">
      <c r="A7" s="17" t="s">
        <v>263</v>
      </c>
      <c r="B7" s="18" t="n">
        <v>282.9</v>
      </c>
      <c r="C7" s="20" t="s">
        <v>128</v>
      </c>
      <c r="D7" s="8" t="n">
        <v>0</v>
      </c>
      <c r="E7" s="18" t="n">
        <f aca="false">ROUND(B7*D7,1)</f>
        <v>0</v>
      </c>
      <c r="F7" s="18" t="n">
        <f aca="false">B7-E7</f>
        <v>282.9</v>
      </c>
      <c r="G7" s="5" t="s">
        <v>26</v>
      </c>
      <c r="H7" s="5" t="s">
        <v>148</v>
      </c>
      <c r="I7" s="8" t="n">
        <v>0</v>
      </c>
      <c r="J7" s="5" t="n">
        <v>1</v>
      </c>
      <c r="K7" s="17" t="s">
        <v>149</v>
      </c>
      <c r="L7" s="5" t="s">
        <v>118</v>
      </c>
      <c r="M7" s="17" t="s">
        <v>529</v>
      </c>
    </row>
    <row r="8" customFormat="false" ht="15" hidden="false" customHeight="false" outlineLevel="0" collapsed="false">
      <c r="A8" s="17" t="s">
        <v>267</v>
      </c>
      <c r="B8" s="18" t="n">
        <v>282.7</v>
      </c>
      <c r="C8" s="20" t="s">
        <v>128</v>
      </c>
      <c r="D8" s="8" t="n">
        <v>0</v>
      </c>
      <c r="E8" s="18" t="n">
        <f aca="false">ROUND(B8*D8,1)</f>
        <v>0</v>
      </c>
      <c r="F8" s="18" t="n">
        <f aca="false">B8-E8</f>
        <v>282.7</v>
      </c>
      <c r="G8" s="5" t="s">
        <v>26</v>
      </c>
      <c r="H8" s="5" t="s">
        <v>148</v>
      </c>
      <c r="I8" s="8" t="n">
        <v>0</v>
      </c>
      <c r="J8" s="5" t="n">
        <v>1</v>
      </c>
      <c r="K8" s="17" t="s">
        <v>149</v>
      </c>
      <c r="L8" s="5" t="s">
        <v>118</v>
      </c>
      <c r="M8" s="17" t="s">
        <v>529</v>
      </c>
    </row>
    <row r="9" customFormat="false" ht="15" hidden="false" customHeight="false" outlineLevel="0" collapsed="false">
      <c r="A9" s="17" t="s">
        <v>276</v>
      </c>
      <c r="B9" s="18" t="n">
        <v>281.9</v>
      </c>
      <c r="C9" s="20" t="s">
        <v>128</v>
      </c>
      <c r="D9" s="8" t="n">
        <v>0</v>
      </c>
      <c r="E9" s="18" t="n">
        <f aca="false">ROUND(B9*D9,1)</f>
        <v>0</v>
      </c>
      <c r="F9" s="18" t="n">
        <f aca="false">B9-E9</f>
        <v>281.9</v>
      </c>
      <c r="G9" s="5" t="s">
        <v>26</v>
      </c>
      <c r="H9" s="5" t="s">
        <v>124</v>
      </c>
      <c r="I9" s="8" t="n">
        <v>0.5</v>
      </c>
      <c r="J9" s="5" t="n">
        <v>1</v>
      </c>
      <c r="K9" s="17" t="s">
        <v>149</v>
      </c>
      <c r="L9" s="5" t="s">
        <v>118</v>
      </c>
      <c r="M9" s="17" t="s">
        <v>529</v>
      </c>
    </row>
    <row r="10" customFormat="false" ht="15" hidden="false" customHeight="false" outlineLevel="0" collapsed="false">
      <c r="A10" s="17" t="s">
        <v>398</v>
      </c>
      <c r="B10" s="18" t="n">
        <v>282.4</v>
      </c>
      <c r="C10" s="20" t="s">
        <v>128</v>
      </c>
      <c r="D10" s="8" t="n">
        <v>0</v>
      </c>
      <c r="E10" s="18" t="n">
        <f aca="false">ROUND(B10*D10,1)</f>
        <v>0</v>
      </c>
      <c r="F10" s="18" t="n">
        <f aca="false">B10-E10</f>
        <v>282.4</v>
      </c>
      <c r="G10" s="5" t="s">
        <v>26</v>
      </c>
      <c r="H10" s="5" t="s">
        <v>148</v>
      </c>
      <c r="I10" s="8" t="n">
        <v>0</v>
      </c>
      <c r="J10" s="5" t="n">
        <v>1</v>
      </c>
      <c r="K10" s="17" t="s">
        <v>149</v>
      </c>
      <c r="L10" s="5" t="s">
        <v>118</v>
      </c>
      <c r="M10" s="17" t="s">
        <v>529</v>
      </c>
    </row>
    <row r="11" customFormat="false" ht="32.8" hidden="false" customHeight="false" outlineLevel="0" collapsed="false">
      <c r="A11" s="17" t="s">
        <v>270</v>
      </c>
      <c r="B11" s="18" t="n">
        <v>296.5</v>
      </c>
      <c r="C11" s="21" t="s">
        <v>124</v>
      </c>
      <c r="D11" s="8" t="n">
        <v>0.09</v>
      </c>
      <c r="E11" s="18" t="n">
        <f aca="false">ROUND(B11*D11,1)</f>
        <v>26.7</v>
      </c>
      <c r="F11" s="18" t="n">
        <f aca="false">B11-E11</f>
        <v>269.8</v>
      </c>
      <c r="G11" s="5" t="s">
        <v>69</v>
      </c>
      <c r="H11" s="5" t="s">
        <v>188</v>
      </c>
      <c r="I11" s="8" t="s">
        <v>189</v>
      </c>
      <c r="J11" s="5" t="n">
        <v>0</v>
      </c>
      <c r="K11" s="17" t="s">
        <v>530</v>
      </c>
      <c r="L11" s="5" t="s">
        <v>118</v>
      </c>
      <c r="M11" s="17" t="s">
        <v>529</v>
      </c>
    </row>
    <row r="12" customFormat="false" ht="15" hidden="false" customHeight="false" outlineLevel="0" collapsed="false">
      <c r="A12" s="17" t="s">
        <v>368</v>
      </c>
      <c r="B12" s="18" t="n">
        <v>296.6</v>
      </c>
      <c r="C12" s="20" t="s">
        <v>128</v>
      </c>
      <c r="D12" s="8" t="n">
        <v>0</v>
      </c>
      <c r="E12" s="18" t="n">
        <f aca="false">ROUND(B12*D12,1)</f>
        <v>0</v>
      </c>
      <c r="F12" s="18" t="n">
        <f aca="false">B12-E12</f>
        <v>296.6</v>
      </c>
      <c r="G12" s="5" t="s">
        <v>26</v>
      </c>
      <c r="H12" s="5" t="s">
        <v>148</v>
      </c>
      <c r="I12" s="8" t="n">
        <v>0</v>
      </c>
      <c r="J12" s="5" t="n">
        <v>1</v>
      </c>
      <c r="K12" s="17" t="s">
        <v>149</v>
      </c>
      <c r="L12" s="5" t="s">
        <v>118</v>
      </c>
      <c r="M12" s="17" t="s">
        <v>529</v>
      </c>
    </row>
    <row r="13" customFormat="false" ht="15" hidden="false" customHeight="false" outlineLevel="0" collapsed="false">
      <c r="A13" s="17" t="s">
        <v>268</v>
      </c>
      <c r="B13" s="18" t="n">
        <v>296.6</v>
      </c>
      <c r="C13" s="20" t="s">
        <v>128</v>
      </c>
      <c r="D13" s="8" t="n">
        <v>0</v>
      </c>
      <c r="E13" s="18" t="n">
        <f aca="false">ROUND(B13*D13,1)</f>
        <v>0</v>
      </c>
      <c r="F13" s="18" t="n">
        <f aca="false">B13-E13</f>
        <v>296.6</v>
      </c>
      <c r="G13" s="5" t="s">
        <v>26</v>
      </c>
      <c r="H13" s="5" t="s">
        <v>148</v>
      </c>
      <c r="I13" s="8" t="n">
        <v>0</v>
      </c>
      <c r="J13" s="5" t="n">
        <v>1</v>
      </c>
      <c r="K13" s="17" t="s">
        <v>149</v>
      </c>
      <c r="L13" s="5" t="s">
        <v>118</v>
      </c>
      <c r="M13" s="17" t="s">
        <v>529</v>
      </c>
    </row>
    <row r="14" customFormat="false" ht="15" hidden="false" customHeight="false" outlineLevel="0" collapsed="false">
      <c r="A14" s="17" t="s">
        <v>397</v>
      </c>
      <c r="B14" s="18" t="n">
        <v>142.3</v>
      </c>
      <c r="C14" s="20" t="s">
        <v>128</v>
      </c>
      <c r="D14" s="8" t="n">
        <v>0</v>
      </c>
      <c r="E14" s="18" t="n">
        <f aca="false">ROUND(B14*D14,1)</f>
        <v>0</v>
      </c>
      <c r="F14" s="18" t="n">
        <f aca="false">B14-E14</f>
        <v>142.3</v>
      </c>
      <c r="G14" s="5" t="s">
        <v>26</v>
      </c>
      <c r="H14" s="5" t="s">
        <v>148</v>
      </c>
      <c r="I14" s="8" t="n">
        <v>0</v>
      </c>
      <c r="J14" s="5" t="n">
        <v>1</v>
      </c>
      <c r="K14" s="17" t="s">
        <v>149</v>
      </c>
      <c r="L14" s="5" t="s">
        <v>118</v>
      </c>
      <c r="M14" s="17" t="s">
        <v>529</v>
      </c>
    </row>
    <row r="15" customFormat="false" ht="32.8" hidden="false" customHeight="false" outlineLevel="0" collapsed="false">
      <c r="A15" s="17" t="s">
        <v>152</v>
      </c>
      <c r="B15" s="18" t="n">
        <v>246.9</v>
      </c>
      <c r="C15" s="21" t="s">
        <v>124</v>
      </c>
      <c r="D15" s="8" t="n">
        <v>0.43</v>
      </c>
      <c r="E15" s="18" t="n">
        <f aca="false">ROUND(B15*D15,1)</f>
        <v>106.2</v>
      </c>
      <c r="F15" s="18" t="n">
        <f aca="false">B15-E15</f>
        <v>140.7</v>
      </c>
      <c r="G15" s="5" t="s">
        <v>69</v>
      </c>
      <c r="H15" s="5" t="s">
        <v>188</v>
      </c>
      <c r="I15" s="8" t="s">
        <v>189</v>
      </c>
      <c r="J15" s="5" t="n">
        <v>0</v>
      </c>
      <c r="K15" s="17" t="s">
        <v>531</v>
      </c>
      <c r="L15" s="5" t="s">
        <v>118</v>
      </c>
      <c r="M15" s="17" t="s">
        <v>532</v>
      </c>
    </row>
    <row r="16" customFormat="false" ht="15" hidden="false" customHeight="false" outlineLevel="0" collapsed="false">
      <c r="A16" s="17" t="s">
        <v>141</v>
      </c>
      <c r="B16" s="18" t="n">
        <v>492.7</v>
      </c>
      <c r="C16" s="20" t="s">
        <v>128</v>
      </c>
      <c r="D16" s="8" t="n">
        <v>0</v>
      </c>
      <c r="E16" s="18" t="n">
        <f aca="false">ROUND(B16*D16,1)</f>
        <v>0</v>
      </c>
      <c r="F16" s="18" t="n">
        <f aca="false">B16-E16</f>
        <v>492.7</v>
      </c>
      <c r="G16" s="5" t="s">
        <v>30</v>
      </c>
      <c r="H16" s="5" t="s">
        <v>148</v>
      </c>
      <c r="I16" s="8" t="n">
        <v>0</v>
      </c>
      <c r="J16" s="5" t="n">
        <v>1</v>
      </c>
      <c r="K16" s="17" t="s">
        <v>149</v>
      </c>
      <c r="L16" s="5" t="s">
        <v>118</v>
      </c>
      <c r="M16" s="17" t="s">
        <v>533</v>
      </c>
    </row>
    <row r="17" customFormat="false" ht="32.8" hidden="false" customHeight="false" outlineLevel="0" collapsed="false">
      <c r="A17" s="17" t="s">
        <v>386</v>
      </c>
      <c r="B17" s="18" t="n">
        <v>123.5</v>
      </c>
      <c r="C17" s="20" t="s">
        <v>128</v>
      </c>
      <c r="D17" s="8" t="n">
        <v>0</v>
      </c>
      <c r="E17" s="18" t="n">
        <f aca="false">ROUND(B17*D17,1)</f>
        <v>0</v>
      </c>
      <c r="F17" s="18" t="n">
        <f aca="false">B17-E17</f>
        <v>123.5</v>
      </c>
      <c r="G17" s="5" t="s">
        <v>30</v>
      </c>
      <c r="H17" s="5" t="s">
        <v>188</v>
      </c>
      <c r="I17" s="8" t="s">
        <v>189</v>
      </c>
      <c r="J17" s="5" t="n">
        <v>0</v>
      </c>
      <c r="K17" s="17" t="s">
        <v>534</v>
      </c>
      <c r="L17" s="5" t="s">
        <v>118</v>
      </c>
      <c r="M17" s="17" t="s">
        <v>535</v>
      </c>
    </row>
    <row r="18" customFormat="false" ht="15" hidden="false" customHeight="false" outlineLevel="0" collapsed="false">
      <c r="A18" s="17" t="s">
        <v>536</v>
      </c>
      <c r="B18" s="18" t="n">
        <v>371.4</v>
      </c>
      <c r="C18" s="20" t="s">
        <v>128</v>
      </c>
      <c r="D18" s="8" t="n">
        <v>0</v>
      </c>
      <c r="E18" s="18" t="n">
        <f aca="false">ROUND(B18*D18,1)</f>
        <v>0</v>
      </c>
      <c r="F18" s="18" t="n">
        <f aca="false">B18-E18</f>
        <v>371.4</v>
      </c>
      <c r="G18" s="5" t="s">
        <v>26</v>
      </c>
      <c r="H18" s="5" t="s">
        <v>124</v>
      </c>
      <c r="I18" s="8" t="n">
        <v>0.5</v>
      </c>
      <c r="J18" s="5" t="n">
        <v>1</v>
      </c>
      <c r="K18" s="17" t="s">
        <v>149</v>
      </c>
      <c r="L18" s="5" t="s">
        <v>118</v>
      </c>
      <c r="M18" s="17" t="s">
        <v>537</v>
      </c>
    </row>
    <row r="19" customFormat="false" ht="32.8" hidden="false" customHeight="false" outlineLevel="0" collapsed="false">
      <c r="A19" s="17" t="s">
        <v>158</v>
      </c>
      <c r="B19" s="18" t="n">
        <v>5.3</v>
      </c>
      <c r="C19" s="19" t="s">
        <v>115</v>
      </c>
      <c r="D19" s="8" t="n">
        <v>1</v>
      </c>
      <c r="E19" s="18" t="n">
        <f aca="false">ROUND(B19*D19,1)</f>
        <v>5.3</v>
      </c>
      <c r="F19" s="18" t="n">
        <f aca="false">B19-E19</f>
        <v>0</v>
      </c>
      <c r="G19" s="5" t="s">
        <v>30</v>
      </c>
      <c r="H19" s="5" t="s">
        <v>188</v>
      </c>
      <c r="I19" s="8" t="s">
        <v>189</v>
      </c>
      <c r="J19" s="5" t="n">
        <v>0</v>
      </c>
      <c r="K19" s="17" t="s">
        <v>538</v>
      </c>
      <c r="L19" s="5" t="s">
        <v>118</v>
      </c>
      <c r="M19" s="17" t="s">
        <v>539</v>
      </c>
    </row>
    <row r="20" customFormat="false" ht="22.35" hidden="false" customHeight="false" outlineLevel="0" collapsed="false">
      <c r="A20" s="17" t="s">
        <v>142</v>
      </c>
      <c r="B20" s="18" t="n">
        <v>29</v>
      </c>
      <c r="C20" s="21" t="s">
        <v>124</v>
      </c>
      <c r="D20" s="8" t="n">
        <v>0.09</v>
      </c>
      <c r="E20" s="18" t="n">
        <f aca="false">ROUND(B20*D20,1)</f>
        <v>2.6</v>
      </c>
      <c r="F20" s="18" t="n">
        <f aca="false">B20-E20</f>
        <v>26.4</v>
      </c>
      <c r="G20" s="5" t="s">
        <v>69</v>
      </c>
      <c r="H20" s="5" t="s">
        <v>188</v>
      </c>
      <c r="I20" s="8" t="s">
        <v>189</v>
      </c>
      <c r="J20" s="5" t="n">
        <v>0</v>
      </c>
      <c r="K20" s="17" t="s">
        <v>190</v>
      </c>
      <c r="L20" s="5" t="s">
        <v>118</v>
      </c>
      <c r="M20" s="17" t="s">
        <v>540</v>
      </c>
    </row>
    <row r="21" customFormat="false" ht="15" hidden="false" customHeight="false" outlineLevel="0" collapsed="false">
      <c r="A21" s="9" t="s">
        <v>163</v>
      </c>
      <c r="B21" s="10" t="n">
        <f aca="false">SUM(B6:B20)</f>
        <v>3725.3</v>
      </c>
      <c r="C21" s="9"/>
      <c r="D21" s="11" t="n">
        <f aca="false">IF(B21=0,0,E21/B21)</f>
        <v>0.116876493168335</v>
      </c>
      <c r="E21" s="10" t="n">
        <f aca="false">SUM(E6:E20)</f>
        <v>435.4</v>
      </c>
      <c r="F21" s="10" t="n">
        <f aca="false">SUM(F6:F20)</f>
        <v>3289.9</v>
      </c>
      <c r="G21" s="9"/>
      <c r="H21" s="9"/>
      <c r="I21" s="9"/>
      <c r="J21" s="9"/>
      <c r="K21" s="9"/>
      <c r="L21" s="9"/>
      <c r="M21" s="9"/>
    </row>
    <row r="23" customFormat="false" ht="15" hidden="false" customHeight="false" outlineLevel="0" collapsed="false">
      <c r="A23" s="12" t="s">
        <v>164</v>
      </c>
      <c r="D23" s="22" t="n">
        <f aca="false">F21*8</f>
        <v>26319.2</v>
      </c>
      <c r="E23" s="16" t="s">
        <v>165</v>
      </c>
    </row>
    <row r="24" customFormat="false" ht="15" hidden="false" customHeight="false" outlineLevel="0" collapsed="false">
      <c r="A24" s="12" t="s">
        <v>166</v>
      </c>
      <c r="D24" s="23" t="n">
        <v>0</v>
      </c>
      <c r="E24" s="16" t="s">
        <v>167</v>
      </c>
    </row>
    <row r="25" customFormat="false" ht="15" hidden="false" customHeight="false" outlineLevel="0" collapsed="false">
      <c r="A25" s="12" t="s">
        <v>168</v>
      </c>
      <c r="D25" s="24" t="n">
        <v>0.2</v>
      </c>
      <c r="E25" s="16" t="s">
        <v>465</v>
      </c>
    </row>
    <row r="26" customFormat="false" ht="15" hidden="false" customHeight="false" outlineLevel="0" collapsed="false">
      <c r="A26" s="12" t="s">
        <v>170</v>
      </c>
      <c r="D26" s="22" t="n">
        <f aca="false">(B21-D24)*(1-D25)</f>
        <v>2980.24</v>
      </c>
      <c r="E26" s="16" t="s">
        <v>171</v>
      </c>
    </row>
    <row r="27" customFormat="false" ht="15" hidden="false" customHeight="false" outlineLevel="0" collapsed="false">
      <c r="A27" s="12" t="s">
        <v>172</v>
      </c>
      <c r="D27" s="22" t="n">
        <f aca="false">D26*4</f>
        <v>11920.96</v>
      </c>
      <c r="E27" s="16" t="s">
        <v>173</v>
      </c>
    </row>
    <row r="28" customFormat="false" ht="15" hidden="false" customHeight="false" outlineLevel="0" collapsed="false">
      <c r="A28" s="12" t="s">
        <v>174</v>
      </c>
      <c r="D28" s="23" t="n">
        <v>435</v>
      </c>
    </row>
    <row r="29" customFormat="false" ht="15" hidden="false" customHeight="false" outlineLevel="0" collapsed="false">
      <c r="A29" s="12" t="s">
        <v>175</v>
      </c>
      <c r="D29" s="23" t="n">
        <v>0</v>
      </c>
      <c r="E29" s="16" t="s">
        <v>176</v>
      </c>
    </row>
    <row r="30" customFormat="false" ht="15" hidden="false" customHeight="false" outlineLevel="0" collapsed="false">
      <c r="A30" s="12" t="s">
        <v>177</v>
      </c>
      <c r="D30" s="23" t="n">
        <v>3290</v>
      </c>
    </row>
    <row r="31" customFormat="false" ht="15" hidden="false" customHeight="false" outlineLevel="0" collapsed="false">
      <c r="A31" s="12" t="s">
        <v>178</v>
      </c>
      <c r="D31" s="23" t="n">
        <v>0</v>
      </c>
      <c r="E31" s="16" t="s">
        <v>179</v>
      </c>
    </row>
    <row r="32" customFormat="false" ht="15" hidden="false" customHeight="true" outlineLevel="0" collapsed="false">
      <c r="A32" s="25" t="s">
        <v>466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</row>
  </sheetData>
  <mergeCells count="1">
    <mergeCell ref="A32:M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10" min="9" style="0" width="9"/>
    <col collapsed="false" customWidth="true" hidden="false" outlineLevel="0" max="11" min="11" style="0" width="46"/>
    <col collapsed="false" customWidth="true" hidden="false" outlineLevel="0" max="12" min="12" style="0" width="17"/>
    <col collapsed="false" customWidth="true" hidden="false" outlineLevel="0" max="13" min="13" style="0" width="54"/>
  </cols>
  <sheetData>
    <row r="1" customFormat="false" ht="16.15" hidden="false" customHeight="false" outlineLevel="0" collapsed="false">
      <c r="A1" s="14" t="s">
        <v>541</v>
      </c>
    </row>
    <row r="2" customFormat="false" ht="15" hidden="false" customHeight="false" outlineLevel="0" collapsed="false">
      <c r="A2" s="15" t="s">
        <v>542</v>
      </c>
    </row>
    <row r="3" customFormat="false" ht="15" hidden="false" customHeight="false" outlineLevel="0" collapsed="false">
      <c r="A3" s="16" t="s">
        <v>543</v>
      </c>
    </row>
    <row r="5" customFormat="false" ht="22.35" hidden="false" customHeight="false" outlineLevel="0" collapsed="false">
      <c r="A5" s="4" t="s">
        <v>102</v>
      </c>
      <c r="B5" s="4" t="s">
        <v>103</v>
      </c>
      <c r="C5" s="4" t="s">
        <v>104</v>
      </c>
      <c r="D5" s="4" t="s">
        <v>105</v>
      </c>
      <c r="E5" s="4" t="s">
        <v>106</v>
      </c>
      <c r="F5" s="4" t="s">
        <v>107</v>
      </c>
      <c r="G5" s="4" t="s">
        <v>108</v>
      </c>
      <c r="H5" s="4" t="s">
        <v>109</v>
      </c>
      <c r="I5" s="4" t="s">
        <v>110</v>
      </c>
      <c r="J5" s="4" t="s">
        <v>16</v>
      </c>
      <c r="K5" s="4" t="s">
        <v>111</v>
      </c>
      <c r="L5" s="4" t="s">
        <v>112</v>
      </c>
      <c r="M5" s="4" t="s">
        <v>113</v>
      </c>
    </row>
    <row r="6" customFormat="false" ht="22.35" hidden="false" customHeight="false" outlineLevel="0" collapsed="false">
      <c r="A6" s="17" t="s">
        <v>544</v>
      </c>
      <c r="B6" s="18" t="n">
        <v>354.3</v>
      </c>
      <c r="C6" s="20" t="s">
        <v>128</v>
      </c>
      <c r="D6" s="8" t="n">
        <v>0</v>
      </c>
      <c r="E6" s="18" t="n">
        <f aca="false">ROUND(B6*D6,1)</f>
        <v>0</v>
      </c>
      <c r="F6" s="18" t="n">
        <f aca="false">B6-E6</f>
        <v>354.3</v>
      </c>
      <c r="G6" s="5" t="s">
        <v>30</v>
      </c>
      <c r="H6" s="5" t="s">
        <v>188</v>
      </c>
      <c r="I6" s="8" t="s">
        <v>189</v>
      </c>
      <c r="J6" s="5" t="n">
        <v>1</v>
      </c>
      <c r="K6" s="17" t="s">
        <v>475</v>
      </c>
      <c r="L6" s="5" t="s">
        <v>118</v>
      </c>
      <c r="M6" s="17" t="s">
        <v>545</v>
      </c>
    </row>
    <row r="7" customFormat="false" ht="22.35" hidden="false" customHeight="false" outlineLevel="0" collapsed="false">
      <c r="A7" s="17" t="s">
        <v>546</v>
      </c>
      <c r="B7" s="18" t="n">
        <v>759.3</v>
      </c>
      <c r="C7" s="19" t="s">
        <v>115</v>
      </c>
      <c r="D7" s="8" t="n">
        <v>1</v>
      </c>
      <c r="E7" s="18" t="n">
        <f aca="false">ROUND(B7*D7,1)</f>
        <v>759.3</v>
      </c>
      <c r="F7" s="18" t="n">
        <f aca="false">B7-E7</f>
        <v>0</v>
      </c>
      <c r="G7" s="5" t="s">
        <v>26</v>
      </c>
      <c r="H7" s="5" t="s">
        <v>148</v>
      </c>
      <c r="I7" s="8" t="n">
        <v>0</v>
      </c>
      <c r="J7" s="5" t="n">
        <v>3</v>
      </c>
      <c r="K7" s="17" t="s">
        <v>547</v>
      </c>
      <c r="L7" s="5" t="s">
        <v>118</v>
      </c>
      <c r="M7" s="17" t="s">
        <v>548</v>
      </c>
    </row>
    <row r="8" customFormat="false" ht="22.35" hidden="false" customHeight="false" outlineLevel="0" collapsed="false">
      <c r="A8" s="17" t="s">
        <v>549</v>
      </c>
      <c r="B8" s="18" t="n">
        <v>1259.9</v>
      </c>
      <c r="C8" s="19" t="s">
        <v>115</v>
      </c>
      <c r="D8" s="8" t="n">
        <v>1</v>
      </c>
      <c r="E8" s="18" t="n">
        <f aca="false">ROUND(B8*D8,1)</f>
        <v>1259.9</v>
      </c>
      <c r="F8" s="18" t="n">
        <f aca="false">B8-E8</f>
        <v>0</v>
      </c>
      <c r="G8" s="5" t="s">
        <v>26</v>
      </c>
      <c r="H8" s="5" t="s">
        <v>148</v>
      </c>
      <c r="I8" s="8" t="n">
        <v>0</v>
      </c>
      <c r="J8" s="5" t="n">
        <v>4</v>
      </c>
      <c r="K8" s="17" t="s">
        <v>550</v>
      </c>
      <c r="L8" s="5" t="s">
        <v>118</v>
      </c>
      <c r="M8" s="17" t="s">
        <v>551</v>
      </c>
    </row>
    <row r="9" customFormat="false" ht="15" hidden="false" customHeight="false" outlineLevel="0" collapsed="false">
      <c r="A9" s="17" t="s">
        <v>552</v>
      </c>
      <c r="B9" s="18" t="n">
        <v>1258.8</v>
      </c>
      <c r="C9" s="19" t="s">
        <v>115</v>
      </c>
      <c r="D9" s="8" t="n">
        <v>1</v>
      </c>
      <c r="E9" s="18" t="n">
        <f aca="false">ROUND(B9*D9,1)</f>
        <v>1258.8</v>
      </c>
      <c r="F9" s="18" t="n">
        <f aca="false">B9-E9</f>
        <v>0</v>
      </c>
      <c r="G9" s="5" t="s">
        <v>26</v>
      </c>
      <c r="H9" s="5" t="s">
        <v>148</v>
      </c>
      <c r="I9" s="8" t="n">
        <v>0</v>
      </c>
      <c r="J9" s="5" t="n">
        <v>4</v>
      </c>
      <c r="K9" s="17" t="s">
        <v>553</v>
      </c>
      <c r="L9" s="5" t="s">
        <v>118</v>
      </c>
      <c r="M9" s="17" t="s">
        <v>554</v>
      </c>
    </row>
    <row r="10" customFormat="false" ht="15" hidden="false" customHeight="false" outlineLevel="0" collapsed="false">
      <c r="A10" s="17" t="s">
        <v>555</v>
      </c>
      <c r="B10" s="18" t="n">
        <v>1261</v>
      </c>
      <c r="C10" s="19" t="s">
        <v>115</v>
      </c>
      <c r="D10" s="8" t="n">
        <v>1</v>
      </c>
      <c r="E10" s="18" t="n">
        <f aca="false">ROUND(B10*D10,1)</f>
        <v>1261</v>
      </c>
      <c r="F10" s="18" t="n">
        <f aca="false">B10-E10</f>
        <v>0</v>
      </c>
      <c r="G10" s="5" t="s">
        <v>26</v>
      </c>
      <c r="H10" s="5" t="s">
        <v>148</v>
      </c>
      <c r="I10" s="8" t="n">
        <v>0</v>
      </c>
      <c r="J10" s="5" t="n">
        <v>4</v>
      </c>
      <c r="K10" s="17" t="s">
        <v>553</v>
      </c>
      <c r="L10" s="5" t="s">
        <v>118</v>
      </c>
      <c r="M10" s="17" t="s">
        <v>554</v>
      </c>
    </row>
    <row r="11" customFormat="false" ht="15" hidden="false" customHeight="false" outlineLevel="0" collapsed="false">
      <c r="A11" s="17" t="s">
        <v>556</v>
      </c>
      <c r="B11" s="18" t="n">
        <v>1261</v>
      </c>
      <c r="C11" s="19" t="s">
        <v>115</v>
      </c>
      <c r="D11" s="8" t="n">
        <v>1</v>
      </c>
      <c r="E11" s="18" t="n">
        <f aca="false">ROUND(B11*D11,1)</f>
        <v>1261</v>
      </c>
      <c r="F11" s="18" t="n">
        <f aca="false">B11-E11</f>
        <v>0</v>
      </c>
      <c r="G11" s="5" t="s">
        <v>26</v>
      </c>
      <c r="H11" s="5" t="s">
        <v>124</v>
      </c>
      <c r="I11" s="8" t="n">
        <v>0.25</v>
      </c>
      <c r="J11" s="5" t="n">
        <v>4</v>
      </c>
      <c r="K11" s="17" t="s">
        <v>557</v>
      </c>
      <c r="L11" s="5" t="s">
        <v>118</v>
      </c>
      <c r="M11" s="17" t="s">
        <v>554</v>
      </c>
    </row>
    <row r="12" customFormat="false" ht="15" hidden="false" customHeight="false" outlineLevel="0" collapsed="false">
      <c r="A12" s="17" t="s">
        <v>558</v>
      </c>
      <c r="B12" s="18" t="n">
        <v>1006.8</v>
      </c>
      <c r="C12" s="21" t="s">
        <v>124</v>
      </c>
      <c r="D12" s="8" t="n">
        <v>0.75</v>
      </c>
      <c r="E12" s="18" t="n">
        <f aca="false">ROUND(B12*D12,1)</f>
        <v>755.1</v>
      </c>
      <c r="F12" s="18" t="n">
        <f aca="false">B12-E12</f>
        <v>251.7</v>
      </c>
      <c r="G12" s="5" t="s">
        <v>26</v>
      </c>
      <c r="H12" s="5" t="s">
        <v>148</v>
      </c>
      <c r="I12" s="8" t="n">
        <v>0</v>
      </c>
      <c r="J12" s="5" t="n">
        <v>4</v>
      </c>
      <c r="K12" s="17" t="s">
        <v>559</v>
      </c>
      <c r="L12" s="5" t="s">
        <v>118</v>
      </c>
      <c r="M12" s="17" t="s">
        <v>554</v>
      </c>
    </row>
    <row r="13" customFormat="false" ht="15" hidden="false" customHeight="false" outlineLevel="0" collapsed="false">
      <c r="A13" s="17" t="s">
        <v>560</v>
      </c>
      <c r="B13" s="18" t="n">
        <v>1386.2</v>
      </c>
      <c r="C13" s="19" t="s">
        <v>115</v>
      </c>
      <c r="D13" s="8" t="n">
        <v>1</v>
      </c>
      <c r="E13" s="18" t="n">
        <f aca="false">ROUND(B13*D13,1)</f>
        <v>1386.2</v>
      </c>
      <c r="F13" s="18" t="n">
        <f aca="false">B13-E13</f>
        <v>0</v>
      </c>
      <c r="G13" s="5" t="s">
        <v>26</v>
      </c>
      <c r="H13" s="5" t="s">
        <v>124</v>
      </c>
      <c r="I13" s="8" t="n">
        <v>0.25</v>
      </c>
      <c r="J13" s="5" t="n">
        <v>4</v>
      </c>
      <c r="K13" s="17" t="s">
        <v>557</v>
      </c>
      <c r="L13" s="5" t="s">
        <v>118</v>
      </c>
      <c r="M13" s="17" t="s">
        <v>561</v>
      </c>
    </row>
    <row r="14" customFormat="false" ht="22.35" hidden="false" customHeight="false" outlineLevel="0" collapsed="false">
      <c r="A14" s="17" t="s">
        <v>562</v>
      </c>
      <c r="B14" s="18" t="n">
        <v>1385.6</v>
      </c>
      <c r="C14" s="19" t="s">
        <v>115</v>
      </c>
      <c r="D14" s="8" t="n">
        <v>1</v>
      </c>
      <c r="E14" s="18" t="n">
        <f aca="false">ROUND(B14*D14,1)</f>
        <v>1385.6</v>
      </c>
      <c r="F14" s="18" t="n">
        <f aca="false">B14-E14</f>
        <v>0</v>
      </c>
      <c r="G14" s="5" t="s">
        <v>26</v>
      </c>
      <c r="H14" s="5" t="s">
        <v>148</v>
      </c>
      <c r="I14" s="8" t="n">
        <v>0</v>
      </c>
      <c r="J14" s="5" t="n">
        <v>4</v>
      </c>
      <c r="K14" s="17" t="s">
        <v>550</v>
      </c>
      <c r="L14" s="5" t="s">
        <v>118</v>
      </c>
      <c r="M14" s="17" t="s">
        <v>563</v>
      </c>
    </row>
    <row r="15" customFormat="false" ht="15" hidden="false" customHeight="false" outlineLevel="0" collapsed="false">
      <c r="A15" s="17" t="s">
        <v>564</v>
      </c>
      <c r="B15" s="18" t="n">
        <v>1384</v>
      </c>
      <c r="C15" s="21" t="s">
        <v>124</v>
      </c>
      <c r="D15" s="8" t="n">
        <v>0.75</v>
      </c>
      <c r="E15" s="18" t="n">
        <f aca="false">ROUND(B15*D15,1)</f>
        <v>1038</v>
      </c>
      <c r="F15" s="18" t="n">
        <f aca="false">B15-E15</f>
        <v>346</v>
      </c>
      <c r="G15" s="5" t="s">
        <v>26</v>
      </c>
      <c r="H15" s="5" t="s">
        <v>124</v>
      </c>
      <c r="I15" s="8" t="n">
        <v>0.38</v>
      </c>
      <c r="J15" s="5" t="n">
        <v>4</v>
      </c>
      <c r="K15" s="17" t="s">
        <v>252</v>
      </c>
      <c r="L15" s="5" t="s">
        <v>118</v>
      </c>
      <c r="M15" s="17" t="s">
        <v>554</v>
      </c>
    </row>
    <row r="16" customFormat="false" ht="15" hidden="false" customHeight="false" outlineLevel="0" collapsed="false">
      <c r="A16" s="17" t="s">
        <v>565</v>
      </c>
      <c r="B16" s="18" t="n">
        <v>1403.6</v>
      </c>
      <c r="C16" s="21" t="s">
        <v>124</v>
      </c>
      <c r="D16" s="8" t="n">
        <v>0.75</v>
      </c>
      <c r="E16" s="18" t="n">
        <f aca="false">ROUND(B16*D16,1)</f>
        <v>1052.7</v>
      </c>
      <c r="F16" s="18" t="n">
        <f aca="false">B16-E16</f>
        <v>350.9</v>
      </c>
      <c r="G16" s="5" t="s">
        <v>26</v>
      </c>
      <c r="H16" s="5" t="s">
        <v>124</v>
      </c>
      <c r="I16" s="8" t="n">
        <v>0.38</v>
      </c>
      <c r="J16" s="5" t="n">
        <v>4</v>
      </c>
      <c r="K16" s="17" t="s">
        <v>252</v>
      </c>
      <c r="L16" s="5" t="s">
        <v>118</v>
      </c>
      <c r="M16" s="17" t="s">
        <v>554</v>
      </c>
    </row>
    <row r="17" customFormat="false" ht="22.35" hidden="false" customHeight="false" outlineLevel="0" collapsed="false">
      <c r="A17" s="17" t="s">
        <v>566</v>
      </c>
      <c r="B17" s="18" t="n">
        <v>1013.2</v>
      </c>
      <c r="C17" s="21" t="s">
        <v>124</v>
      </c>
      <c r="D17" s="8" t="n">
        <v>0.67</v>
      </c>
      <c r="E17" s="18" t="n">
        <f aca="false">ROUND(B17*D17,1)</f>
        <v>678.8</v>
      </c>
      <c r="F17" s="18" t="n">
        <f aca="false">B17-E17</f>
        <v>334.4</v>
      </c>
      <c r="G17" s="5" t="s">
        <v>26</v>
      </c>
      <c r="H17" s="5" t="s">
        <v>124</v>
      </c>
      <c r="I17" s="8" t="n">
        <v>0.5</v>
      </c>
      <c r="J17" s="5" t="n">
        <v>3</v>
      </c>
      <c r="K17" s="17" t="s">
        <v>567</v>
      </c>
      <c r="L17" s="5" t="s">
        <v>118</v>
      </c>
      <c r="M17" s="17" t="s">
        <v>568</v>
      </c>
    </row>
    <row r="18" customFormat="false" ht="32.8" hidden="false" customHeight="false" outlineLevel="0" collapsed="false">
      <c r="A18" s="17" t="s">
        <v>569</v>
      </c>
      <c r="B18" s="18" t="n">
        <v>1391.8</v>
      </c>
      <c r="C18" s="21" t="s">
        <v>124</v>
      </c>
      <c r="D18" s="8" t="n">
        <v>0.75</v>
      </c>
      <c r="E18" s="18" t="n">
        <f aca="false">ROUND(B18*D18,1)</f>
        <v>1043.9</v>
      </c>
      <c r="F18" s="18" t="n">
        <f aca="false">B18-E18</f>
        <v>347.9</v>
      </c>
      <c r="G18" s="5" t="s">
        <v>26</v>
      </c>
      <c r="H18" s="5" t="s">
        <v>124</v>
      </c>
      <c r="I18" s="8" t="n">
        <v>0.25</v>
      </c>
      <c r="J18" s="5" t="n">
        <v>4</v>
      </c>
      <c r="K18" s="17" t="s">
        <v>252</v>
      </c>
      <c r="L18" s="5" t="s">
        <v>118</v>
      </c>
      <c r="M18" s="17" t="s">
        <v>570</v>
      </c>
    </row>
    <row r="19" customFormat="false" ht="22.35" hidden="false" customHeight="false" outlineLevel="0" collapsed="false">
      <c r="A19" s="17" t="s">
        <v>571</v>
      </c>
      <c r="B19" s="18" t="n">
        <v>1567</v>
      </c>
      <c r="C19" s="19" t="s">
        <v>115</v>
      </c>
      <c r="D19" s="8" t="n">
        <v>1</v>
      </c>
      <c r="E19" s="18" t="n">
        <f aca="false">ROUND(B19*D19,1)</f>
        <v>1567</v>
      </c>
      <c r="F19" s="18" t="n">
        <f aca="false">B19-E19</f>
        <v>0</v>
      </c>
      <c r="G19" s="5" t="s">
        <v>26</v>
      </c>
      <c r="H19" s="5" t="s">
        <v>116</v>
      </c>
      <c r="I19" s="8" t="n">
        <v>1</v>
      </c>
      <c r="J19" s="5" t="n">
        <v>2</v>
      </c>
      <c r="K19" s="17" t="s">
        <v>135</v>
      </c>
      <c r="L19" s="5" t="s">
        <v>118</v>
      </c>
      <c r="M19" s="17" t="s">
        <v>572</v>
      </c>
    </row>
    <row r="20" customFormat="false" ht="32.8" hidden="false" customHeight="false" outlineLevel="0" collapsed="false">
      <c r="A20" s="17" t="s">
        <v>145</v>
      </c>
      <c r="B20" s="18" t="n">
        <v>811.3</v>
      </c>
      <c r="C20" s="19" t="s">
        <v>115</v>
      </c>
      <c r="D20" s="8" t="n">
        <v>1</v>
      </c>
      <c r="E20" s="18" t="n">
        <f aca="false">ROUND(B20*D20,1)</f>
        <v>811.3</v>
      </c>
      <c r="F20" s="18" t="n">
        <f aca="false">B20-E20</f>
        <v>0</v>
      </c>
      <c r="G20" s="5" t="s">
        <v>26</v>
      </c>
      <c r="H20" s="5" t="s">
        <v>148</v>
      </c>
      <c r="I20" s="8" t="n">
        <v>0.24</v>
      </c>
      <c r="J20" s="5" t="n">
        <v>3</v>
      </c>
      <c r="K20" s="17" t="s">
        <v>281</v>
      </c>
      <c r="L20" s="5" t="s">
        <v>118</v>
      </c>
      <c r="M20" s="17" t="s">
        <v>573</v>
      </c>
    </row>
    <row r="21" customFormat="false" ht="22.35" hidden="false" customHeight="false" outlineLevel="0" collapsed="false">
      <c r="A21" s="17" t="s">
        <v>123</v>
      </c>
      <c r="B21" s="18" t="n">
        <v>750.4</v>
      </c>
      <c r="C21" s="19" t="s">
        <v>115</v>
      </c>
      <c r="D21" s="8" t="n">
        <v>1</v>
      </c>
      <c r="E21" s="18" t="n">
        <f aca="false">ROUND(B21*D21,1)</f>
        <v>750.4</v>
      </c>
      <c r="F21" s="18" t="n">
        <f aca="false">B21-E21</f>
        <v>0</v>
      </c>
      <c r="G21" s="5" t="s">
        <v>30</v>
      </c>
      <c r="H21" s="5" t="s">
        <v>148</v>
      </c>
      <c r="I21" s="8" t="n">
        <v>0</v>
      </c>
      <c r="J21" s="5" t="n">
        <v>1</v>
      </c>
      <c r="K21" s="17" t="s">
        <v>125</v>
      </c>
      <c r="L21" s="5" t="s">
        <v>118</v>
      </c>
      <c r="M21" s="17" t="s">
        <v>574</v>
      </c>
    </row>
    <row r="22" customFormat="false" ht="22.35" hidden="false" customHeight="false" outlineLevel="0" collapsed="false">
      <c r="A22" s="17" t="s">
        <v>408</v>
      </c>
      <c r="B22" s="18" t="n">
        <v>684.1</v>
      </c>
      <c r="C22" s="19" t="s">
        <v>115</v>
      </c>
      <c r="D22" s="8" t="n">
        <v>1</v>
      </c>
      <c r="E22" s="18" t="n">
        <f aca="false">ROUND(B22*D22,1)</f>
        <v>684.1</v>
      </c>
      <c r="F22" s="18" t="n">
        <f aca="false">B22-E22</f>
        <v>0</v>
      </c>
      <c r="G22" s="5" t="s">
        <v>26</v>
      </c>
      <c r="H22" s="5" t="s">
        <v>148</v>
      </c>
      <c r="I22" s="8" t="n">
        <v>0</v>
      </c>
      <c r="J22" s="5" t="n">
        <v>2</v>
      </c>
      <c r="K22" s="17" t="s">
        <v>575</v>
      </c>
      <c r="L22" s="5" t="s">
        <v>118</v>
      </c>
      <c r="M22" s="17" t="s">
        <v>576</v>
      </c>
    </row>
    <row r="23" customFormat="false" ht="15" hidden="false" customHeight="false" outlineLevel="0" collapsed="false">
      <c r="A23" s="17" t="s">
        <v>577</v>
      </c>
      <c r="B23" s="18" t="n">
        <v>674.2</v>
      </c>
      <c r="C23" s="19" t="s">
        <v>115</v>
      </c>
      <c r="D23" s="8" t="n">
        <v>1</v>
      </c>
      <c r="E23" s="18" t="n">
        <f aca="false">ROUND(B23*D23,1)</f>
        <v>674.2</v>
      </c>
      <c r="F23" s="18" t="n">
        <f aca="false">B23-E23</f>
        <v>0</v>
      </c>
      <c r="G23" s="5" t="s">
        <v>30</v>
      </c>
      <c r="H23" s="5" t="s">
        <v>188</v>
      </c>
      <c r="I23" s="8" t="s">
        <v>189</v>
      </c>
      <c r="J23" s="5" t="n">
        <v>1</v>
      </c>
      <c r="K23" s="17" t="s">
        <v>578</v>
      </c>
      <c r="L23" s="5" t="s">
        <v>118</v>
      </c>
      <c r="M23" s="17" t="s">
        <v>579</v>
      </c>
    </row>
    <row r="24" customFormat="false" ht="22.35" hidden="false" customHeight="false" outlineLevel="0" collapsed="false">
      <c r="A24" s="17" t="s">
        <v>580</v>
      </c>
      <c r="B24" s="18" t="n">
        <v>753.4</v>
      </c>
      <c r="C24" s="19" t="s">
        <v>115</v>
      </c>
      <c r="D24" s="8" t="n">
        <v>1</v>
      </c>
      <c r="E24" s="18" t="n">
        <f aca="false">ROUND(B24*D24,1)</f>
        <v>753.4</v>
      </c>
      <c r="F24" s="18" t="n">
        <f aca="false">B24-E24</f>
        <v>0</v>
      </c>
      <c r="G24" s="5" t="s">
        <v>26</v>
      </c>
      <c r="H24" s="5" t="s">
        <v>148</v>
      </c>
      <c r="I24" s="8" t="n">
        <v>0</v>
      </c>
      <c r="J24" s="5" t="n">
        <v>2</v>
      </c>
      <c r="K24" s="17" t="s">
        <v>575</v>
      </c>
      <c r="L24" s="5" t="s">
        <v>118</v>
      </c>
      <c r="M24" s="17" t="s">
        <v>581</v>
      </c>
    </row>
    <row r="25" customFormat="false" ht="32.8" hidden="false" customHeight="false" outlineLevel="0" collapsed="false">
      <c r="A25" s="17" t="s">
        <v>142</v>
      </c>
      <c r="B25" s="18" t="n">
        <v>1258.2</v>
      </c>
      <c r="C25" s="21" t="s">
        <v>124</v>
      </c>
      <c r="D25" s="8" t="n">
        <v>0.43</v>
      </c>
      <c r="E25" s="18" t="n">
        <f aca="false">ROUND(B25*D25,1)</f>
        <v>541</v>
      </c>
      <c r="F25" s="18" t="n">
        <f aca="false">B25-E25</f>
        <v>717.2</v>
      </c>
      <c r="G25" s="5" t="s">
        <v>26</v>
      </c>
      <c r="H25" s="5" t="s">
        <v>124</v>
      </c>
      <c r="I25" s="8" t="n">
        <v>0.36</v>
      </c>
      <c r="J25" s="5" t="n">
        <v>12</v>
      </c>
      <c r="K25" s="17" t="s">
        <v>582</v>
      </c>
      <c r="L25" s="5" t="s">
        <v>118</v>
      </c>
      <c r="M25" s="17" t="s">
        <v>583</v>
      </c>
    </row>
    <row r="26" customFormat="false" ht="22.35" hidden="false" customHeight="false" outlineLevel="0" collapsed="false">
      <c r="A26" s="17" t="s">
        <v>584</v>
      </c>
      <c r="B26" s="18" t="n">
        <v>1370</v>
      </c>
      <c r="C26" s="21" t="s">
        <v>124</v>
      </c>
      <c r="D26" s="8" t="n">
        <v>0.84</v>
      </c>
      <c r="E26" s="18" t="n">
        <f aca="false">ROUND(B26*D26,1)</f>
        <v>1150.8</v>
      </c>
      <c r="F26" s="18" t="n">
        <f aca="false">B26-E26</f>
        <v>219.2</v>
      </c>
      <c r="G26" s="5" t="s">
        <v>69</v>
      </c>
      <c r="H26" s="5" t="s">
        <v>188</v>
      </c>
      <c r="I26" s="8" t="s">
        <v>189</v>
      </c>
      <c r="J26" s="5" t="n">
        <v>0</v>
      </c>
      <c r="K26" s="17" t="s">
        <v>190</v>
      </c>
      <c r="L26" s="5" t="s">
        <v>191</v>
      </c>
      <c r="M26" s="17" t="s">
        <v>585</v>
      </c>
    </row>
    <row r="27" customFormat="false" ht="22.35" hidden="false" customHeight="false" outlineLevel="0" collapsed="false">
      <c r="A27" s="17" t="s">
        <v>586</v>
      </c>
      <c r="B27" s="18" t="n">
        <v>706</v>
      </c>
      <c r="C27" s="21" t="s">
        <v>124</v>
      </c>
      <c r="D27" s="8" t="n">
        <v>0.84</v>
      </c>
      <c r="E27" s="18" t="n">
        <f aca="false">ROUND(B27*D27,1)</f>
        <v>593</v>
      </c>
      <c r="F27" s="18" t="n">
        <f aca="false">B27-E27</f>
        <v>113</v>
      </c>
      <c r="G27" s="5" t="s">
        <v>69</v>
      </c>
      <c r="H27" s="5" t="s">
        <v>188</v>
      </c>
      <c r="I27" s="8" t="s">
        <v>189</v>
      </c>
      <c r="J27" s="5" t="n">
        <v>0</v>
      </c>
      <c r="K27" s="17" t="s">
        <v>190</v>
      </c>
      <c r="L27" s="5" t="s">
        <v>191</v>
      </c>
      <c r="M27" s="17" t="s">
        <v>587</v>
      </c>
    </row>
    <row r="28" customFormat="false" ht="15" hidden="false" customHeight="false" outlineLevel="0" collapsed="false">
      <c r="A28" s="9" t="s">
        <v>163</v>
      </c>
      <c r="B28" s="10" t="n">
        <f aca="false">SUM(B6:B27)</f>
        <v>23700.1</v>
      </c>
      <c r="C28" s="9"/>
      <c r="D28" s="11" t="n">
        <f aca="false">IF(B28=0,0,E28/B28)</f>
        <v>0.871958346167316</v>
      </c>
      <c r="E28" s="10" t="n">
        <f aca="false">SUM(E6:E27)</f>
        <v>20665.5</v>
      </c>
      <c r="F28" s="10" t="n">
        <f aca="false">SUM(F6:F27)</f>
        <v>3034.6</v>
      </c>
      <c r="G28" s="9"/>
      <c r="H28" s="9"/>
      <c r="I28" s="9"/>
      <c r="J28" s="9"/>
      <c r="K28" s="9"/>
      <c r="L28" s="9"/>
      <c r="M28" s="9"/>
    </row>
    <row r="30" customFormat="false" ht="15" hidden="false" customHeight="false" outlineLevel="0" collapsed="false">
      <c r="A30" s="12" t="s">
        <v>164</v>
      </c>
      <c r="D30" s="22" t="n">
        <f aca="false">F28*8</f>
        <v>24276.8</v>
      </c>
      <c r="E30" s="16" t="s">
        <v>165</v>
      </c>
    </row>
    <row r="31" customFormat="false" ht="15" hidden="false" customHeight="false" outlineLevel="0" collapsed="false">
      <c r="A31" s="12" t="s">
        <v>166</v>
      </c>
      <c r="D31" s="23" t="n">
        <v>0</v>
      </c>
      <c r="E31" s="16" t="s">
        <v>167</v>
      </c>
    </row>
    <row r="32" customFormat="false" ht="15" hidden="false" customHeight="false" outlineLevel="0" collapsed="false">
      <c r="A32" s="12" t="s">
        <v>168</v>
      </c>
      <c r="D32" s="24" t="n">
        <v>0.23</v>
      </c>
      <c r="E32" s="16" t="s">
        <v>588</v>
      </c>
    </row>
    <row r="33" customFormat="false" ht="15" hidden="false" customHeight="false" outlineLevel="0" collapsed="false">
      <c r="A33" s="12" t="s">
        <v>170</v>
      </c>
      <c r="D33" s="22" t="n">
        <f aca="false">(B28-D31)*(1-D32)</f>
        <v>18249.077</v>
      </c>
      <c r="E33" s="16" t="s">
        <v>171</v>
      </c>
    </row>
    <row r="34" customFormat="false" ht="15" hidden="false" customHeight="false" outlineLevel="0" collapsed="false">
      <c r="A34" s="12" t="s">
        <v>172</v>
      </c>
      <c r="D34" s="22" t="n">
        <f aca="false">D33*4</f>
        <v>72996.308</v>
      </c>
      <c r="E34" s="16" t="s">
        <v>173</v>
      </c>
    </row>
    <row r="35" customFormat="false" ht="15" hidden="false" customHeight="false" outlineLevel="0" collapsed="false">
      <c r="A35" s="12" t="s">
        <v>174</v>
      </c>
      <c r="D35" s="23" t="n">
        <v>18922</v>
      </c>
    </row>
    <row r="36" customFormat="false" ht="15" hidden="false" customHeight="false" outlineLevel="0" collapsed="false">
      <c r="A36" s="12" t="s">
        <v>175</v>
      </c>
      <c r="D36" s="23" t="n">
        <v>1744</v>
      </c>
      <c r="E36" s="16" t="s">
        <v>176</v>
      </c>
    </row>
    <row r="37" customFormat="false" ht="15" hidden="false" customHeight="false" outlineLevel="0" collapsed="false">
      <c r="A37" s="12" t="s">
        <v>177</v>
      </c>
      <c r="D37" s="23" t="n">
        <v>2702</v>
      </c>
    </row>
    <row r="38" customFormat="false" ht="15" hidden="false" customHeight="false" outlineLevel="0" collapsed="false">
      <c r="A38" s="12" t="s">
        <v>178</v>
      </c>
      <c r="D38" s="23" t="n">
        <v>332</v>
      </c>
      <c r="E38" s="16" t="s">
        <v>179</v>
      </c>
    </row>
    <row r="39" customFormat="false" ht="15" hidden="false" customHeight="true" outlineLevel="0" collapsed="false">
      <c r="A39" s="25" t="s">
        <v>589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</row>
  </sheetData>
  <mergeCells count="1">
    <mergeCell ref="A39:M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10" min="9" style="0" width="9"/>
    <col collapsed="false" customWidth="true" hidden="false" outlineLevel="0" max="11" min="11" style="0" width="46"/>
    <col collapsed="false" customWidth="true" hidden="false" outlineLevel="0" max="12" min="12" style="0" width="17"/>
    <col collapsed="false" customWidth="true" hidden="false" outlineLevel="0" max="13" min="13" style="0" width="54"/>
  </cols>
  <sheetData>
    <row r="1" customFormat="false" ht="16.15" hidden="false" customHeight="false" outlineLevel="0" collapsed="false">
      <c r="A1" s="14" t="s">
        <v>590</v>
      </c>
    </row>
    <row r="2" customFormat="false" ht="15" hidden="false" customHeight="false" outlineLevel="0" collapsed="false">
      <c r="A2" s="15" t="s">
        <v>591</v>
      </c>
    </row>
    <row r="3" customFormat="false" ht="15" hidden="false" customHeight="false" outlineLevel="0" collapsed="false">
      <c r="A3" s="16" t="s">
        <v>592</v>
      </c>
    </row>
    <row r="5" customFormat="false" ht="22.35" hidden="false" customHeight="false" outlineLevel="0" collapsed="false">
      <c r="A5" s="4" t="s">
        <v>102</v>
      </c>
      <c r="B5" s="4" t="s">
        <v>103</v>
      </c>
      <c r="C5" s="4" t="s">
        <v>104</v>
      </c>
      <c r="D5" s="4" t="s">
        <v>105</v>
      </c>
      <c r="E5" s="4" t="s">
        <v>106</v>
      </c>
      <c r="F5" s="4" t="s">
        <v>107</v>
      </c>
      <c r="G5" s="4" t="s">
        <v>108</v>
      </c>
      <c r="H5" s="4" t="s">
        <v>109</v>
      </c>
      <c r="I5" s="4" t="s">
        <v>110</v>
      </c>
      <c r="J5" s="4" t="s">
        <v>16</v>
      </c>
      <c r="K5" s="4" t="s">
        <v>111</v>
      </c>
      <c r="L5" s="4" t="s">
        <v>112</v>
      </c>
      <c r="M5" s="4" t="s">
        <v>113</v>
      </c>
    </row>
    <row r="6" customFormat="false" ht="22.35" hidden="false" customHeight="false" outlineLevel="0" collapsed="false">
      <c r="A6" s="17" t="s">
        <v>123</v>
      </c>
      <c r="B6" s="18" t="n">
        <v>173.9</v>
      </c>
      <c r="C6" s="19" t="s">
        <v>115</v>
      </c>
      <c r="D6" s="8" t="n">
        <v>1</v>
      </c>
      <c r="E6" s="18" t="n">
        <f aca="false">ROUND(B6*D6,1)</f>
        <v>173.9</v>
      </c>
      <c r="F6" s="18" t="n">
        <f aca="false">B6-E6</f>
        <v>0</v>
      </c>
      <c r="G6" s="5" t="s">
        <v>26</v>
      </c>
      <c r="H6" s="5" t="s">
        <v>148</v>
      </c>
      <c r="I6" s="8" t="n">
        <v>0</v>
      </c>
      <c r="J6" s="5" t="n">
        <v>1</v>
      </c>
      <c r="K6" s="17" t="s">
        <v>125</v>
      </c>
      <c r="L6" s="5" t="s">
        <v>118</v>
      </c>
      <c r="M6" s="17" t="s">
        <v>593</v>
      </c>
    </row>
    <row r="7" customFormat="false" ht="43.25" hidden="false" customHeight="false" outlineLevel="0" collapsed="false">
      <c r="A7" s="17" t="s">
        <v>145</v>
      </c>
      <c r="B7" s="18" t="n">
        <v>92.8</v>
      </c>
      <c r="C7" s="21" t="s">
        <v>124</v>
      </c>
      <c r="D7" s="8" t="n">
        <v>0.9</v>
      </c>
      <c r="E7" s="18" t="n">
        <f aca="false">ROUND(B7*D7,1)</f>
        <v>83.5</v>
      </c>
      <c r="F7" s="18" t="n">
        <f aca="false">B7-E7</f>
        <v>9.3</v>
      </c>
      <c r="G7" s="5" t="s">
        <v>69</v>
      </c>
      <c r="H7" s="5" t="s">
        <v>188</v>
      </c>
      <c r="I7" s="8" t="s">
        <v>189</v>
      </c>
      <c r="J7" s="5" t="n">
        <v>0</v>
      </c>
      <c r="K7" s="17" t="s">
        <v>594</v>
      </c>
      <c r="L7" s="5" t="s">
        <v>118</v>
      </c>
      <c r="M7" s="17" t="s">
        <v>595</v>
      </c>
    </row>
    <row r="8" customFormat="false" ht="15" hidden="false" customHeight="false" outlineLevel="0" collapsed="false">
      <c r="A8" s="17" t="s">
        <v>397</v>
      </c>
      <c r="B8" s="18" t="n">
        <v>183.9</v>
      </c>
      <c r="C8" s="20" t="s">
        <v>128</v>
      </c>
      <c r="D8" s="8" t="n">
        <v>0</v>
      </c>
      <c r="E8" s="18" t="n">
        <f aca="false">ROUND(B8*D8,1)</f>
        <v>0</v>
      </c>
      <c r="F8" s="18" t="n">
        <f aca="false">B8-E8</f>
        <v>183.9</v>
      </c>
      <c r="G8" s="5" t="s">
        <v>26</v>
      </c>
      <c r="H8" s="5" t="s">
        <v>148</v>
      </c>
      <c r="I8" s="8" t="n">
        <v>0</v>
      </c>
      <c r="J8" s="5" t="n">
        <v>1</v>
      </c>
      <c r="K8" s="17" t="s">
        <v>149</v>
      </c>
      <c r="L8" s="5" t="s">
        <v>118</v>
      </c>
      <c r="M8" s="17" t="s">
        <v>596</v>
      </c>
    </row>
    <row r="9" customFormat="false" ht="15" hidden="false" customHeight="false" outlineLevel="0" collapsed="false">
      <c r="A9" s="17" t="s">
        <v>263</v>
      </c>
      <c r="B9" s="18" t="n">
        <v>184.6</v>
      </c>
      <c r="C9" s="20" t="s">
        <v>128</v>
      </c>
      <c r="D9" s="8" t="n">
        <v>0</v>
      </c>
      <c r="E9" s="18" t="n">
        <f aca="false">ROUND(B9*D9,1)</f>
        <v>0</v>
      </c>
      <c r="F9" s="18" t="n">
        <f aca="false">B9-E9</f>
        <v>184.6</v>
      </c>
      <c r="G9" s="5" t="s">
        <v>26</v>
      </c>
      <c r="H9" s="5" t="s">
        <v>148</v>
      </c>
      <c r="I9" s="8" t="n">
        <v>0</v>
      </c>
      <c r="J9" s="5" t="n">
        <v>1</v>
      </c>
      <c r="K9" s="17" t="s">
        <v>149</v>
      </c>
      <c r="L9" s="5" t="s">
        <v>118</v>
      </c>
      <c r="M9" s="17" t="s">
        <v>596</v>
      </c>
    </row>
    <row r="10" customFormat="false" ht="15" hidden="false" customHeight="false" outlineLevel="0" collapsed="false">
      <c r="A10" s="17" t="s">
        <v>267</v>
      </c>
      <c r="B10" s="18" t="n">
        <v>184.7</v>
      </c>
      <c r="C10" s="20" t="s">
        <v>128</v>
      </c>
      <c r="D10" s="8" t="n">
        <v>0</v>
      </c>
      <c r="E10" s="18" t="n">
        <f aca="false">ROUND(B10*D10,1)</f>
        <v>0</v>
      </c>
      <c r="F10" s="18" t="n">
        <f aca="false">B10-E10</f>
        <v>184.7</v>
      </c>
      <c r="G10" s="5" t="s">
        <v>26</v>
      </c>
      <c r="H10" s="5" t="s">
        <v>124</v>
      </c>
      <c r="I10" s="8" t="n">
        <v>0.5</v>
      </c>
      <c r="J10" s="5" t="n">
        <v>1</v>
      </c>
      <c r="K10" s="17" t="s">
        <v>149</v>
      </c>
      <c r="L10" s="5" t="s">
        <v>118</v>
      </c>
      <c r="M10" s="17" t="s">
        <v>596</v>
      </c>
    </row>
    <row r="11" customFormat="false" ht="15" hidden="false" customHeight="false" outlineLevel="0" collapsed="false">
      <c r="A11" s="17" t="s">
        <v>276</v>
      </c>
      <c r="B11" s="18" t="n">
        <v>185.5</v>
      </c>
      <c r="C11" s="20" t="s">
        <v>128</v>
      </c>
      <c r="D11" s="8" t="n">
        <v>0</v>
      </c>
      <c r="E11" s="18" t="n">
        <f aca="false">ROUND(B11*D11,1)</f>
        <v>0</v>
      </c>
      <c r="F11" s="18" t="n">
        <f aca="false">B11-E11</f>
        <v>185.5</v>
      </c>
      <c r="G11" s="5" t="s">
        <v>26</v>
      </c>
      <c r="H11" s="5" t="s">
        <v>148</v>
      </c>
      <c r="I11" s="8" t="n">
        <v>0</v>
      </c>
      <c r="J11" s="5" t="n">
        <v>1</v>
      </c>
      <c r="K11" s="17" t="s">
        <v>149</v>
      </c>
      <c r="L11" s="5" t="s">
        <v>118</v>
      </c>
      <c r="M11" s="17" t="s">
        <v>596</v>
      </c>
    </row>
    <row r="12" customFormat="false" ht="15" hidden="false" customHeight="false" outlineLevel="0" collapsed="false">
      <c r="A12" s="17" t="s">
        <v>398</v>
      </c>
      <c r="B12" s="18" t="n">
        <v>184.9</v>
      </c>
      <c r="C12" s="20" t="s">
        <v>128</v>
      </c>
      <c r="D12" s="8" t="n">
        <v>0</v>
      </c>
      <c r="E12" s="18" t="n">
        <f aca="false">ROUND(B12*D12,1)</f>
        <v>0</v>
      </c>
      <c r="F12" s="18" t="n">
        <f aca="false">B12-E12</f>
        <v>184.9</v>
      </c>
      <c r="G12" s="5" t="s">
        <v>26</v>
      </c>
      <c r="H12" s="5" t="s">
        <v>124</v>
      </c>
      <c r="I12" s="8" t="n">
        <v>0.5</v>
      </c>
      <c r="J12" s="5" t="n">
        <v>1</v>
      </c>
      <c r="K12" s="17" t="s">
        <v>149</v>
      </c>
      <c r="L12" s="5" t="s">
        <v>118</v>
      </c>
      <c r="M12" s="17" t="s">
        <v>596</v>
      </c>
    </row>
    <row r="13" customFormat="false" ht="15" hidden="false" customHeight="false" outlineLevel="0" collapsed="false">
      <c r="A13" s="17" t="s">
        <v>270</v>
      </c>
      <c r="B13" s="18" t="n">
        <v>170.9</v>
      </c>
      <c r="C13" s="20" t="s">
        <v>128</v>
      </c>
      <c r="D13" s="8" t="n">
        <v>0</v>
      </c>
      <c r="E13" s="18" t="n">
        <f aca="false">ROUND(B13*D13,1)</f>
        <v>0</v>
      </c>
      <c r="F13" s="18" t="n">
        <f aca="false">B13-E13</f>
        <v>170.9</v>
      </c>
      <c r="G13" s="5" t="s">
        <v>26</v>
      </c>
      <c r="H13" s="5" t="s">
        <v>148</v>
      </c>
      <c r="I13" s="8" t="n">
        <v>0</v>
      </c>
      <c r="J13" s="5" t="n">
        <v>1</v>
      </c>
      <c r="K13" s="17" t="s">
        <v>149</v>
      </c>
      <c r="L13" s="5" t="s">
        <v>118</v>
      </c>
      <c r="M13" s="17" t="s">
        <v>596</v>
      </c>
    </row>
    <row r="14" customFormat="false" ht="22.35" hidden="false" customHeight="false" outlineLevel="0" collapsed="false">
      <c r="A14" s="17" t="s">
        <v>368</v>
      </c>
      <c r="B14" s="18" t="n">
        <v>171.9</v>
      </c>
      <c r="C14" s="20" t="s">
        <v>128</v>
      </c>
      <c r="D14" s="8" t="n">
        <v>0</v>
      </c>
      <c r="E14" s="18" t="n">
        <f aca="false">ROUND(B14*D14,1)</f>
        <v>0</v>
      </c>
      <c r="F14" s="18" t="n">
        <f aca="false">B14-E14</f>
        <v>171.9</v>
      </c>
      <c r="G14" s="5" t="s">
        <v>26</v>
      </c>
      <c r="H14" s="5" t="s">
        <v>116</v>
      </c>
      <c r="I14" s="8" t="n">
        <v>1</v>
      </c>
      <c r="J14" s="5" t="n">
        <v>1</v>
      </c>
      <c r="K14" s="17" t="s">
        <v>149</v>
      </c>
      <c r="L14" s="5" t="s">
        <v>118</v>
      </c>
      <c r="M14" s="17" t="s">
        <v>597</v>
      </c>
    </row>
    <row r="15" customFormat="false" ht="15" hidden="false" customHeight="false" outlineLevel="0" collapsed="false">
      <c r="A15" s="17" t="s">
        <v>268</v>
      </c>
      <c r="B15" s="18" t="n">
        <v>91.1</v>
      </c>
      <c r="C15" s="20" t="s">
        <v>128</v>
      </c>
      <c r="D15" s="8" t="n">
        <v>0</v>
      </c>
      <c r="E15" s="18" t="n">
        <f aca="false">ROUND(B15*D15,1)</f>
        <v>0</v>
      </c>
      <c r="F15" s="18" t="n">
        <f aca="false">B15-E15</f>
        <v>91.1</v>
      </c>
      <c r="G15" s="5" t="s">
        <v>26</v>
      </c>
      <c r="H15" s="5" t="s">
        <v>148</v>
      </c>
      <c r="I15" s="8" t="n">
        <v>0</v>
      </c>
      <c r="J15" s="5" t="n">
        <v>2</v>
      </c>
      <c r="K15" s="17" t="s">
        <v>258</v>
      </c>
      <c r="L15" s="5" t="s">
        <v>118</v>
      </c>
      <c r="M15" s="17" t="s">
        <v>596</v>
      </c>
    </row>
    <row r="16" customFormat="false" ht="15" hidden="false" customHeight="false" outlineLevel="0" collapsed="false">
      <c r="A16" s="17" t="s">
        <v>396</v>
      </c>
      <c r="B16" s="18" t="n">
        <v>92.2</v>
      </c>
      <c r="C16" s="20" t="s">
        <v>128</v>
      </c>
      <c r="D16" s="8" t="n">
        <v>0</v>
      </c>
      <c r="E16" s="18" t="n">
        <f aca="false">ROUND(B16*D16,1)</f>
        <v>0</v>
      </c>
      <c r="F16" s="18" t="n">
        <f aca="false">B16-E16</f>
        <v>92.2</v>
      </c>
      <c r="G16" s="5" t="s">
        <v>26</v>
      </c>
      <c r="H16" s="5" t="s">
        <v>148</v>
      </c>
      <c r="I16" s="8" t="n">
        <v>0</v>
      </c>
      <c r="J16" s="5" t="n">
        <v>1</v>
      </c>
      <c r="K16" s="17" t="s">
        <v>149</v>
      </c>
      <c r="L16" s="5" t="s">
        <v>118</v>
      </c>
      <c r="M16" s="17" t="s">
        <v>596</v>
      </c>
    </row>
    <row r="17" customFormat="false" ht="32.8" hidden="false" customHeight="false" outlineLevel="0" collapsed="false">
      <c r="A17" s="17" t="s">
        <v>389</v>
      </c>
      <c r="B17" s="18" t="n">
        <v>373.3</v>
      </c>
      <c r="C17" s="20" t="s">
        <v>128</v>
      </c>
      <c r="D17" s="8" t="n">
        <v>0</v>
      </c>
      <c r="E17" s="18" t="n">
        <f aca="false">ROUND(B17*D17,1)</f>
        <v>0</v>
      </c>
      <c r="F17" s="18" t="n">
        <f aca="false">B17-E17</f>
        <v>373.3</v>
      </c>
      <c r="G17" s="5" t="s">
        <v>30</v>
      </c>
      <c r="H17" s="5" t="s">
        <v>188</v>
      </c>
      <c r="I17" s="8" t="s">
        <v>189</v>
      </c>
      <c r="J17" s="5" t="n">
        <v>0</v>
      </c>
      <c r="K17" s="17" t="s">
        <v>534</v>
      </c>
      <c r="L17" s="5" t="s">
        <v>118</v>
      </c>
      <c r="M17" s="17" t="s">
        <v>598</v>
      </c>
    </row>
    <row r="18" customFormat="false" ht="15" hidden="false" customHeight="false" outlineLevel="0" collapsed="false">
      <c r="A18" s="17" t="s">
        <v>160</v>
      </c>
      <c r="B18" s="18" t="n">
        <v>441.6</v>
      </c>
      <c r="C18" s="20" t="s">
        <v>128</v>
      </c>
      <c r="D18" s="8" t="n">
        <v>0</v>
      </c>
      <c r="E18" s="18" t="n">
        <f aca="false">ROUND(B18*D18,1)</f>
        <v>0</v>
      </c>
      <c r="F18" s="18" t="n">
        <f aca="false">B18-E18</f>
        <v>441.6</v>
      </c>
      <c r="G18" s="5" t="s">
        <v>26</v>
      </c>
      <c r="H18" s="5" t="s">
        <v>124</v>
      </c>
      <c r="I18" s="8" t="n">
        <v>0.25</v>
      </c>
      <c r="J18" s="5" t="n">
        <v>2</v>
      </c>
      <c r="K18" s="17" t="s">
        <v>258</v>
      </c>
      <c r="L18" s="5" t="s">
        <v>118</v>
      </c>
      <c r="M18" s="17" t="s">
        <v>599</v>
      </c>
    </row>
    <row r="19" customFormat="false" ht="15" hidden="false" customHeight="false" outlineLevel="0" collapsed="false">
      <c r="A19" s="17" t="s">
        <v>141</v>
      </c>
      <c r="B19" s="18" t="n">
        <v>11.6</v>
      </c>
      <c r="C19" s="20" t="s">
        <v>128</v>
      </c>
      <c r="D19" s="8" t="n">
        <v>0</v>
      </c>
      <c r="E19" s="18" t="n">
        <f aca="false">ROUND(B19*D19,1)</f>
        <v>0</v>
      </c>
      <c r="F19" s="18" t="n">
        <f aca="false">B19-E19</f>
        <v>11.6</v>
      </c>
      <c r="G19" s="5" t="s">
        <v>26</v>
      </c>
      <c r="H19" s="5" t="s">
        <v>124</v>
      </c>
      <c r="I19" s="8" t="n">
        <v>0.5</v>
      </c>
      <c r="J19" s="5" t="n">
        <v>1</v>
      </c>
      <c r="K19" s="17" t="s">
        <v>149</v>
      </c>
      <c r="L19" s="5" t="s">
        <v>118</v>
      </c>
      <c r="M19" s="17" t="s">
        <v>600</v>
      </c>
    </row>
    <row r="20" customFormat="false" ht="22.35" hidden="false" customHeight="false" outlineLevel="0" collapsed="false">
      <c r="A20" s="17" t="s">
        <v>142</v>
      </c>
      <c r="B20" s="18" t="n">
        <v>69.3</v>
      </c>
      <c r="C20" s="20" t="s">
        <v>128</v>
      </c>
      <c r="D20" s="8" t="n">
        <v>0</v>
      </c>
      <c r="E20" s="18" t="n">
        <f aca="false">ROUND(B20*D20,1)</f>
        <v>0</v>
      </c>
      <c r="F20" s="18" t="n">
        <f aca="false">B20-E20</f>
        <v>69.3</v>
      </c>
      <c r="G20" s="5" t="s">
        <v>26</v>
      </c>
      <c r="H20" s="5" t="s">
        <v>148</v>
      </c>
      <c r="I20" s="8" t="n">
        <v>0</v>
      </c>
      <c r="J20" s="5" t="n">
        <v>1</v>
      </c>
      <c r="K20" s="17" t="s">
        <v>149</v>
      </c>
      <c r="L20" s="5" t="s">
        <v>118</v>
      </c>
      <c r="M20" s="17" t="s">
        <v>601</v>
      </c>
    </row>
    <row r="21" customFormat="false" ht="15" hidden="false" customHeight="false" outlineLevel="0" collapsed="false">
      <c r="A21" s="9" t="s">
        <v>163</v>
      </c>
      <c r="B21" s="10" t="n">
        <f aca="false">SUM(B6:B20)</f>
        <v>2612.2</v>
      </c>
      <c r="C21" s="9"/>
      <c r="D21" s="11" t="n">
        <f aca="false">IF(B21=0,0,E21/B21)</f>
        <v>0.0985376311155348</v>
      </c>
      <c r="E21" s="10" t="n">
        <f aca="false">SUM(E6:E20)</f>
        <v>257.4</v>
      </c>
      <c r="F21" s="10" t="n">
        <f aca="false">SUM(F6:F20)</f>
        <v>2354.8</v>
      </c>
      <c r="G21" s="9"/>
      <c r="H21" s="9"/>
      <c r="I21" s="9"/>
      <c r="J21" s="9"/>
      <c r="K21" s="9"/>
      <c r="L21" s="9"/>
      <c r="M21" s="9"/>
    </row>
    <row r="23" customFormat="false" ht="15" hidden="false" customHeight="false" outlineLevel="0" collapsed="false">
      <c r="A23" s="12" t="s">
        <v>164</v>
      </c>
      <c r="D23" s="22" t="n">
        <f aca="false">F21*8</f>
        <v>18838.4</v>
      </c>
      <c r="E23" s="16" t="s">
        <v>165</v>
      </c>
    </row>
    <row r="24" customFormat="false" ht="15" hidden="false" customHeight="false" outlineLevel="0" collapsed="false">
      <c r="A24" s="12" t="s">
        <v>166</v>
      </c>
      <c r="D24" s="23" t="n">
        <v>0</v>
      </c>
      <c r="E24" s="16" t="s">
        <v>167</v>
      </c>
    </row>
    <row r="25" customFormat="false" ht="15" hidden="false" customHeight="false" outlineLevel="0" collapsed="false">
      <c r="A25" s="12" t="s">
        <v>168</v>
      </c>
      <c r="D25" s="24" t="n">
        <v>0.21</v>
      </c>
      <c r="E25" s="16" t="s">
        <v>375</v>
      </c>
    </row>
    <row r="26" customFormat="false" ht="15" hidden="false" customHeight="false" outlineLevel="0" collapsed="false">
      <c r="A26" s="12" t="s">
        <v>170</v>
      </c>
      <c r="D26" s="22" t="n">
        <f aca="false">(B21-D24)*(1-D25)</f>
        <v>2063.638</v>
      </c>
      <c r="E26" s="16" t="s">
        <v>171</v>
      </c>
    </row>
    <row r="27" customFormat="false" ht="15" hidden="false" customHeight="false" outlineLevel="0" collapsed="false">
      <c r="A27" s="12" t="s">
        <v>172</v>
      </c>
      <c r="D27" s="22" t="n">
        <f aca="false">D26*4</f>
        <v>8254.552</v>
      </c>
      <c r="E27" s="16" t="s">
        <v>173</v>
      </c>
    </row>
    <row r="28" customFormat="false" ht="15" hidden="false" customHeight="false" outlineLevel="0" collapsed="false">
      <c r="A28" s="12" t="s">
        <v>174</v>
      </c>
      <c r="D28" s="23" t="n">
        <v>257</v>
      </c>
    </row>
    <row r="29" customFormat="false" ht="15" hidden="false" customHeight="false" outlineLevel="0" collapsed="false">
      <c r="A29" s="12" t="s">
        <v>175</v>
      </c>
      <c r="D29" s="23" t="n">
        <v>0</v>
      </c>
      <c r="E29" s="16" t="s">
        <v>176</v>
      </c>
    </row>
    <row r="30" customFormat="false" ht="15" hidden="false" customHeight="false" outlineLevel="0" collapsed="false">
      <c r="A30" s="12" t="s">
        <v>177</v>
      </c>
      <c r="D30" s="23" t="n">
        <v>2355</v>
      </c>
    </row>
    <row r="31" customFormat="false" ht="15" hidden="false" customHeight="false" outlineLevel="0" collapsed="false">
      <c r="A31" s="12" t="s">
        <v>178</v>
      </c>
      <c r="D31" s="23" t="n">
        <v>0</v>
      </c>
      <c r="E31" s="16" t="s">
        <v>179</v>
      </c>
    </row>
    <row r="32" customFormat="false" ht="15" hidden="false" customHeight="true" outlineLevel="0" collapsed="false">
      <c r="A32" s="25" t="s">
        <v>376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</row>
  </sheetData>
  <mergeCells count="1">
    <mergeCell ref="A32:M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10" min="9" style="0" width="9"/>
    <col collapsed="false" customWidth="true" hidden="false" outlineLevel="0" max="11" min="11" style="0" width="46"/>
    <col collapsed="false" customWidth="true" hidden="false" outlineLevel="0" max="12" min="12" style="0" width="17"/>
    <col collapsed="false" customWidth="true" hidden="false" outlineLevel="0" max="13" min="13" style="0" width="54"/>
  </cols>
  <sheetData>
    <row r="1" customFormat="false" ht="16.15" hidden="false" customHeight="false" outlineLevel="0" collapsed="false">
      <c r="A1" s="14" t="s">
        <v>602</v>
      </c>
    </row>
    <row r="2" customFormat="false" ht="15" hidden="false" customHeight="false" outlineLevel="0" collapsed="false">
      <c r="A2" s="15" t="s">
        <v>603</v>
      </c>
    </row>
    <row r="3" customFormat="false" ht="15" hidden="false" customHeight="false" outlineLevel="0" collapsed="false">
      <c r="A3" s="16" t="s">
        <v>604</v>
      </c>
    </row>
    <row r="5" customFormat="false" ht="22.35" hidden="false" customHeight="false" outlineLevel="0" collapsed="false">
      <c r="A5" s="4" t="s">
        <v>102</v>
      </c>
      <c r="B5" s="4" t="s">
        <v>103</v>
      </c>
      <c r="C5" s="4" t="s">
        <v>104</v>
      </c>
      <c r="D5" s="4" t="s">
        <v>105</v>
      </c>
      <c r="E5" s="4" t="s">
        <v>106</v>
      </c>
      <c r="F5" s="4" t="s">
        <v>107</v>
      </c>
      <c r="G5" s="4" t="s">
        <v>108</v>
      </c>
      <c r="H5" s="4" t="s">
        <v>109</v>
      </c>
      <c r="I5" s="4" t="s">
        <v>110</v>
      </c>
      <c r="J5" s="4" t="s">
        <v>16</v>
      </c>
      <c r="K5" s="4" t="s">
        <v>111</v>
      </c>
      <c r="L5" s="4" t="s">
        <v>112</v>
      </c>
      <c r="M5" s="4" t="s">
        <v>113</v>
      </c>
    </row>
    <row r="6" customFormat="false" ht="15" hidden="false" customHeight="false" outlineLevel="0" collapsed="false">
      <c r="A6" s="17" t="s">
        <v>150</v>
      </c>
      <c r="B6" s="18" t="n">
        <v>110</v>
      </c>
      <c r="C6" s="20" t="s">
        <v>128</v>
      </c>
      <c r="D6" s="8" t="n">
        <v>0</v>
      </c>
      <c r="E6" s="18" t="n">
        <f aca="false">ROUND(B6*D6,1)</f>
        <v>0</v>
      </c>
      <c r="F6" s="18" t="n">
        <f aca="false">B6-E6</f>
        <v>110</v>
      </c>
      <c r="G6" s="5" t="s">
        <v>26</v>
      </c>
      <c r="H6" s="5" t="s">
        <v>148</v>
      </c>
      <c r="I6" s="8" t="n">
        <v>0</v>
      </c>
      <c r="J6" s="5" t="n">
        <v>1</v>
      </c>
      <c r="K6" s="17" t="s">
        <v>149</v>
      </c>
      <c r="L6" s="5" t="s">
        <v>118</v>
      </c>
      <c r="M6" s="17" t="s">
        <v>514</v>
      </c>
    </row>
    <row r="7" customFormat="false" ht="15" hidden="false" customHeight="false" outlineLevel="0" collapsed="false">
      <c r="A7" s="17" t="s">
        <v>251</v>
      </c>
      <c r="B7" s="18" t="n">
        <v>112.7</v>
      </c>
      <c r="C7" s="20" t="s">
        <v>128</v>
      </c>
      <c r="D7" s="8" t="n">
        <v>0</v>
      </c>
      <c r="E7" s="18" t="n">
        <f aca="false">ROUND(B7*D7,1)</f>
        <v>0</v>
      </c>
      <c r="F7" s="18" t="n">
        <f aca="false">B7-E7</f>
        <v>112.7</v>
      </c>
      <c r="G7" s="5" t="s">
        <v>26</v>
      </c>
      <c r="H7" s="5" t="s">
        <v>148</v>
      </c>
      <c r="I7" s="8" t="n">
        <v>0</v>
      </c>
      <c r="J7" s="5" t="n">
        <v>1</v>
      </c>
      <c r="K7" s="17" t="s">
        <v>149</v>
      </c>
      <c r="L7" s="5" t="s">
        <v>118</v>
      </c>
      <c r="M7" s="17" t="s">
        <v>514</v>
      </c>
    </row>
    <row r="8" customFormat="false" ht="22.35" hidden="false" customHeight="false" outlineLevel="0" collapsed="false">
      <c r="A8" s="17" t="s">
        <v>605</v>
      </c>
      <c r="B8" s="18" t="n">
        <v>469.2</v>
      </c>
      <c r="C8" s="20" t="s">
        <v>128</v>
      </c>
      <c r="D8" s="8" t="n">
        <v>0</v>
      </c>
      <c r="E8" s="18" t="n">
        <f aca="false">ROUND(B8*D8,1)</f>
        <v>0</v>
      </c>
      <c r="F8" s="18" t="n">
        <f aca="false">B8-E8</f>
        <v>469.2</v>
      </c>
      <c r="G8" s="5" t="s">
        <v>30</v>
      </c>
      <c r="H8" s="5" t="s">
        <v>148</v>
      </c>
      <c r="I8" s="8" t="n">
        <v>0</v>
      </c>
      <c r="J8" s="5" t="n">
        <v>1</v>
      </c>
      <c r="K8" s="17" t="s">
        <v>149</v>
      </c>
      <c r="L8" s="5" t="s">
        <v>118</v>
      </c>
      <c r="M8" s="17" t="s">
        <v>606</v>
      </c>
    </row>
    <row r="9" customFormat="false" ht="15" hidden="false" customHeight="false" outlineLevel="0" collapsed="false">
      <c r="A9" s="17" t="s">
        <v>607</v>
      </c>
      <c r="B9" s="18" t="n">
        <v>462.5</v>
      </c>
      <c r="C9" s="20" t="s">
        <v>128</v>
      </c>
      <c r="D9" s="8" t="n">
        <v>0</v>
      </c>
      <c r="E9" s="18" t="n">
        <f aca="false">ROUND(B9*D9,1)</f>
        <v>0</v>
      </c>
      <c r="F9" s="18" t="n">
        <f aca="false">B9-E9</f>
        <v>462.5</v>
      </c>
      <c r="G9" s="5" t="s">
        <v>30</v>
      </c>
      <c r="H9" s="5" t="s">
        <v>148</v>
      </c>
      <c r="I9" s="8" t="n">
        <v>0</v>
      </c>
      <c r="J9" s="5" t="n">
        <v>1</v>
      </c>
      <c r="K9" s="17" t="s">
        <v>149</v>
      </c>
      <c r="L9" s="5" t="s">
        <v>118</v>
      </c>
      <c r="M9" s="17" t="s">
        <v>608</v>
      </c>
    </row>
    <row r="10" customFormat="false" ht="15" hidden="false" customHeight="false" outlineLevel="0" collapsed="false">
      <c r="A10" s="9" t="s">
        <v>163</v>
      </c>
      <c r="B10" s="10" t="n">
        <f aca="false">SUM(B6:B9)</f>
        <v>1154.4</v>
      </c>
      <c r="C10" s="9"/>
      <c r="D10" s="11" t="n">
        <f aca="false">IF(B10=0,0,E10/B10)</f>
        <v>0</v>
      </c>
      <c r="E10" s="10" t="n">
        <f aca="false">SUM(E6:E9)</f>
        <v>0</v>
      </c>
      <c r="F10" s="10" t="n">
        <f aca="false">SUM(F6:F9)</f>
        <v>1154.4</v>
      </c>
      <c r="G10" s="9"/>
      <c r="H10" s="9"/>
      <c r="I10" s="9"/>
      <c r="J10" s="9"/>
      <c r="K10" s="9"/>
      <c r="L10" s="9"/>
      <c r="M10" s="9"/>
    </row>
    <row r="12" customFormat="false" ht="15" hidden="false" customHeight="false" outlineLevel="0" collapsed="false">
      <c r="A12" s="12" t="s">
        <v>164</v>
      </c>
      <c r="D12" s="22" t="n">
        <f aca="false">F10*8</f>
        <v>9235.2</v>
      </c>
      <c r="E12" s="16" t="s">
        <v>165</v>
      </c>
    </row>
    <row r="13" customFormat="false" ht="15" hidden="false" customHeight="false" outlineLevel="0" collapsed="false">
      <c r="A13" s="12" t="s">
        <v>166</v>
      </c>
      <c r="D13" s="23" t="n">
        <v>0</v>
      </c>
      <c r="E13" s="16" t="s">
        <v>167</v>
      </c>
    </row>
    <row r="14" customFormat="false" ht="15" hidden="false" customHeight="false" outlineLevel="0" collapsed="false">
      <c r="A14" s="12" t="s">
        <v>168</v>
      </c>
      <c r="D14" s="24" t="n">
        <v>0</v>
      </c>
      <c r="E14" s="16" t="s">
        <v>609</v>
      </c>
    </row>
    <row r="15" customFormat="false" ht="15" hidden="false" customHeight="false" outlineLevel="0" collapsed="false">
      <c r="A15" s="12" t="s">
        <v>170</v>
      </c>
      <c r="D15" s="22" t="n">
        <f aca="false">(B10-D13)*(1-D14)</f>
        <v>1154.4</v>
      </c>
      <c r="E15" s="16" t="s">
        <v>171</v>
      </c>
    </row>
    <row r="16" customFormat="false" ht="15" hidden="false" customHeight="false" outlineLevel="0" collapsed="false">
      <c r="A16" s="12" t="s">
        <v>172</v>
      </c>
      <c r="D16" s="22" t="n">
        <f aca="false">D15*4</f>
        <v>4617.6</v>
      </c>
      <c r="E16" s="16" t="s">
        <v>173</v>
      </c>
    </row>
    <row r="17" customFormat="false" ht="15" hidden="false" customHeight="false" outlineLevel="0" collapsed="false">
      <c r="A17" s="12" t="s">
        <v>174</v>
      </c>
      <c r="D17" s="23" t="n">
        <v>0</v>
      </c>
    </row>
    <row r="18" customFormat="false" ht="15" hidden="false" customHeight="false" outlineLevel="0" collapsed="false">
      <c r="A18" s="12" t="s">
        <v>175</v>
      </c>
      <c r="D18" s="23" t="n">
        <v>0</v>
      </c>
      <c r="E18" s="16" t="s">
        <v>176</v>
      </c>
    </row>
    <row r="19" customFormat="false" ht="15" hidden="false" customHeight="false" outlineLevel="0" collapsed="false">
      <c r="A19" s="12" t="s">
        <v>177</v>
      </c>
      <c r="D19" s="23" t="n">
        <v>1154</v>
      </c>
    </row>
    <row r="20" customFormat="false" ht="15" hidden="false" customHeight="false" outlineLevel="0" collapsed="false">
      <c r="A20" s="12" t="s">
        <v>178</v>
      </c>
      <c r="D20" s="23" t="n">
        <v>0</v>
      </c>
      <c r="E20" s="16" t="s">
        <v>179</v>
      </c>
    </row>
    <row r="21" customFormat="false" ht="15" hidden="false" customHeight="true" outlineLevel="0" collapsed="false">
      <c r="A21" s="25" t="s">
        <v>610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</row>
  </sheetData>
  <mergeCells count="1">
    <mergeCell ref="A21:M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10" min="9" style="0" width="9"/>
    <col collapsed="false" customWidth="true" hidden="false" outlineLevel="0" max="11" min="11" style="0" width="46"/>
    <col collapsed="false" customWidth="true" hidden="false" outlineLevel="0" max="12" min="12" style="0" width="17"/>
    <col collapsed="false" customWidth="true" hidden="false" outlineLevel="0" max="13" min="13" style="0" width="54"/>
  </cols>
  <sheetData>
    <row r="1" customFormat="false" ht="16.15" hidden="false" customHeight="false" outlineLevel="0" collapsed="false">
      <c r="A1" s="14" t="s">
        <v>611</v>
      </c>
    </row>
    <row r="2" customFormat="false" ht="15" hidden="false" customHeight="false" outlineLevel="0" collapsed="false">
      <c r="A2" s="15" t="s">
        <v>612</v>
      </c>
    </row>
    <row r="3" customFormat="false" ht="15" hidden="false" customHeight="false" outlineLevel="0" collapsed="false">
      <c r="A3" s="16" t="s">
        <v>613</v>
      </c>
    </row>
    <row r="5" customFormat="false" ht="22.35" hidden="false" customHeight="false" outlineLevel="0" collapsed="false">
      <c r="A5" s="4" t="s">
        <v>102</v>
      </c>
      <c r="B5" s="4" t="s">
        <v>103</v>
      </c>
      <c r="C5" s="4" t="s">
        <v>104</v>
      </c>
      <c r="D5" s="4" t="s">
        <v>105</v>
      </c>
      <c r="E5" s="4" t="s">
        <v>106</v>
      </c>
      <c r="F5" s="4" t="s">
        <v>107</v>
      </c>
      <c r="G5" s="4" t="s">
        <v>108</v>
      </c>
      <c r="H5" s="4" t="s">
        <v>109</v>
      </c>
      <c r="I5" s="4" t="s">
        <v>110</v>
      </c>
      <c r="J5" s="4" t="s">
        <v>16</v>
      </c>
      <c r="K5" s="4" t="s">
        <v>111</v>
      </c>
      <c r="L5" s="4" t="s">
        <v>112</v>
      </c>
      <c r="M5" s="4" t="s">
        <v>113</v>
      </c>
    </row>
    <row r="6" customFormat="false" ht="15" hidden="false" customHeight="false" outlineLevel="0" collapsed="false">
      <c r="A6" s="17" t="s">
        <v>150</v>
      </c>
      <c r="B6" s="18" t="n">
        <v>146</v>
      </c>
      <c r="C6" s="20" t="s">
        <v>128</v>
      </c>
      <c r="D6" s="8" t="n">
        <v>0</v>
      </c>
      <c r="E6" s="18" t="n">
        <f aca="false">ROUND(B6*D6,1)</f>
        <v>0</v>
      </c>
      <c r="F6" s="18" t="n">
        <f aca="false">B6-E6</f>
        <v>146</v>
      </c>
      <c r="G6" s="5" t="s">
        <v>26</v>
      </c>
      <c r="H6" s="5" t="s">
        <v>148</v>
      </c>
      <c r="I6" s="8" t="n">
        <v>0</v>
      </c>
      <c r="J6" s="5" t="n">
        <v>1</v>
      </c>
      <c r="K6" s="17" t="s">
        <v>149</v>
      </c>
      <c r="L6" s="5" t="s">
        <v>118</v>
      </c>
      <c r="M6" s="17" t="s">
        <v>514</v>
      </c>
    </row>
    <row r="7" customFormat="false" ht="15" hidden="false" customHeight="false" outlineLevel="0" collapsed="false">
      <c r="A7" s="17" t="s">
        <v>251</v>
      </c>
      <c r="B7" s="18" t="n">
        <v>154.9</v>
      </c>
      <c r="C7" s="20" t="s">
        <v>128</v>
      </c>
      <c r="D7" s="8" t="n">
        <v>0</v>
      </c>
      <c r="E7" s="18" t="n">
        <f aca="false">ROUND(B7*D7,1)</f>
        <v>0</v>
      </c>
      <c r="F7" s="18" t="n">
        <f aca="false">B7-E7</f>
        <v>154.9</v>
      </c>
      <c r="G7" s="5" t="s">
        <v>26</v>
      </c>
      <c r="H7" s="5" t="s">
        <v>116</v>
      </c>
      <c r="I7" s="8" t="n">
        <v>1</v>
      </c>
      <c r="J7" s="5" t="n">
        <v>1</v>
      </c>
      <c r="K7" s="17" t="s">
        <v>149</v>
      </c>
      <c r="L7" s="5" t="s">
        <v>118</v>
      </c>
      <c r="M7" s="17" t="s">
        <v>514</v>
      </c>
    </row>
    <row r="8" customFormat="false" ht="15" hidden="false" customHeight="false" outlineLevel="0" collapsed="false">
      <c r="A8" s="17" t="s">
        <v>326</v>
      </c>
      <c r="B8" s="18" t="n">
        <v>541.2</v>
      </c>
      <c r="C8" s="20" t="s">
        <v>128</v>
      </c>
      <c r="D8" s="8" t="n">
        <v>0</v>
      </c>
      <c r="E8" s="18" t="n">
        <f aca="false">ROUND(B8*D8,1)</f>
        <v>0</v>
      </c>
      <c r="F8" s="18" t="n">
        <f aca="false">B8-E8</f>
        <v>541.2</v>
      </c>
      <c r="G8" s="5" t="s">
        <v>26</v>
      </c>
      <c r="H8" s="5" t="s">
        <v>124</v>
      </c>
      <c r="I8" s="8" t="n">
        <v>0.25</v>
      </c>
      <c r="J8" s="5" t="n">
        <v>2</v>
      </c>
      <c r="K8" s="17" t="s">
        <v>258</v>
      </c>
      <c r="L8" s="5" t="s">
        <v>118</v>
      </c>
      <c r="M8" s="17" t="s">
        <v>514</v>
      </c>
    </row>
    <row r="9" customFormat="false" ht="15" hidden="false" customHeight="false" outlineLevel="0" collapsed="false">
      <c r="A9" s="17" t="s">
        <v>142</v>
      </c>
      <c r="B9" s="18" t="n">
        <v>106</v>
      </c>
      <c r="C9" s="20" t="s">
        <v>128</v>
      </c>
      <c r="D9" s="8" t="n">
        <v>0</v>
      </c>
      <c r="E9" s="18" t="n">
        <f aca="false">ROUND(B9*D9,1)</f>
        <v>0</v>
      </c>
      <c r="F9" s="18" t="n">
        <f aca="false">B9-E9</f>
        <v>106</v>
      </c>
      <c r="G9" s="5" t="s">
        <v>26</v>
      </c>
      <c r="H9" s="5" t="s">
        <v>148</v>
      </c>
      <c r="I9" s="8" t="n">
        <v>0</v>
      </c>
      <c r="J9" s="5" t="n">
        <v>2</v>
      </c>
      <c r="K9" s="17" t="s">
        <v>258</v>
      </c>
      <c r="L9" s="5" t="s">
        <v>118</v>
      </c>
      <c r="M9" s="17" t="s">
        <v>514</v>
      </c>
    </row>
    <row r="10" customFormat="false" ht="15" hidden="false" customHeight="false" outlineLevel="0" collapsed="false">
      <c r="A10" s="17" t="s">
        <v>614</v>
      </c>
      <c r="B10" s="18" t="n">
        <v>25</v>
      </c>
      <c r="C10" s="20" t="s">
        <v>128</v>
      </c>
      <c r="D10" s="8" t="n">
        <v>0</v>
      </c>
      <c r="E10" s="18" t="n">
        <f aca="false">ROUND(B10*D10,1)</f>
        <v>0</v>
      </c>
      <c r="F10" s="18" t="n">
        <f aca="false">B10-E10</f>
        <v>25</v>
      </c>
      <c r="G10" s="5" t="s">
        <v>26</v>
      </c>
      <c r="H10" s="5" t="s">
        <v>148</v>
      </c>
      <c r="I10" s="8" t="n">
        <v>0</v>
      </c>
      <c r="J10" s="5" t="n">
        <v>1</v>
      </c>
      <c r="K10" s="17" t="s">
        <v>149</v>
      </c>
      <c r="L10" s="5" t="s">
        <v>118</v>
      </c>
      <c r="M10" s="17" t="s">
        <v>514</v>
      </c>
    </row>
    <row r="11" customFormat="false" ht="15" hidden="false" customHeight="false" outlineLevel="0" collapsed="false">
      <c r="A11" s="17" t="s">
        <v>319</v>
      </c>
      <c r="B11" s="18" t="n">
        <v>499.1</v>
      </c>
      <c r="C11" s="20" t="s">
        <v>128</v>
      </c>
      <c r="D11" s="8" t="n">
        <v>0</v>
      </c>
      <c r="E11" s="18" t="n">
        <f aca="false">ROUND(B11*D11,1)</f>
        <v>0</v>
      </c>
      <c r="F11" s="18" t="n">
        <f aca="false">B11-E11</f>
        <v>499.1</v>
      </c>
      <c r="G11" s="5" t="s">
        <v>30</v>
      </c>
      <c r="H11" s="5" t="s">
        <v>124</v>
      </c>
      <c r="I11" s="8" t="n">
        <v>0.5</v>
      </c>
      <c r="J11" s="5" t="n">
        <v>1</v>
      </c>
      <c r="K11" s="17" t="s">
        <v>149</v>
      </c>
      <c r="L11" s="5" t="s">
        <v>118</v>
      </c>
      <c r="M11" s="17" t="s">
        <v>514</v>
      </c>
    </row>
    <row r="12" customFormat="false" ht="15" hidden="false" customHeight="false" outlineLevel="0" collapsed="false">
      <c r="A12" s="17" t="s">
        <v>290</v>
      </c>
      <c r="B12" s="18" t="n">
        <v>336.9</v>
      </c>
      <c r="C12" s="20" t="s">
        <v>128</v>
      </c>
      <c r="D12" s="8" t="n">
        <v>0</v>
      </c>
      <c r="E12" s="18" t="n">
        <f aca="false">ROUND(B12*D12,1)</f>
        <v>0</v>
      </c>
      <c r="F12" s="18" t="n">
        <f aca="false">B12-E12</f>
        <v>336.9</v>
      </c>
      <c r="G12" s="5" t="s">
        <v>26</v>
      </c>
      <c r="H12" s="5" t="s">
        <v>148</v>
      </c>
      <c r="I12" s="8" t="n">
        <v>0</v>
      </c>
      <c r="J12" s="5" t="n">
        <v>1</v>
      </c>
      <c r="K12" s="17" t="s">
        <v>149</v>
      </c>
      <c r="L12" s="5" t="s">
        <v>118</v>
      </c>
      <c r="M12" s="17" t="s">
        <v>514</v>
      </c>
    </row>
    <row r="13" customFormat="false" ht="15" hidden="false" customHeight="false" outlineLevel="0" collapsed="false">
      <c r="A13" s="9" t="s">
        <v>163</v>
      </c>
      <c r="B13" s="10" t="n">
        <f aca="false">SUM(B6:B12)</f>
        <v>1809.1</v>
      </c>
      <c r="C13" s="9"/>
      <c r="D13" s="11" t="n">
        <f aca="false">IF(B13=0,0,E13/B13)</f>
        <v>0</v>
      </c>
      <c r="E13" s="10" t="n">
        <f aca="false">SUM(E6:E12)</f>
        <v>0</v>
      </c>
      <c r="F13" s="10" t="n">
        <f aca="false">SUM(F6:F12)</f>
        <v>1809.1</v>
      </c>
      <c r="G13" s="9"/>
      <c r="H13" s="9"/>
      <c r="I13" s="9"/>
      <c r="J13" s="9"/>
      <c r="K13" s="9"/>
      <c r="L13" s="9"/>
      <c r="M13" s="9"/>
    </row>
    <row r="15" customFormat="false" ht="15" hidden="false" customHeight="false" outlineLevel="0" collapsed="false">
      <c r="A15" s="12" t="s">
        <v>164</v>
      </c>
      <c r="D15" s="22" t="n">
        <f aca="false">F13*8</f>
        <v>14472.8</v>
      </c>
      <c r="E15" s="16" t="s">
        <v>165</v>
      </c>
    </row>
    <row r="16" customFormat="false" ht="15" hidden="false" customHeight="false" outlineLevel="0" collapsed="false">
      <c r="A16" s="12" t="s">
        <v>166</v>
      </c>
      <c r="D16" s="23" t="n">
        <v>0</v>
      </c>
      <c r="E16" s="16" t="s">
        <v>167</v>
      </c>
    </row>
    <row r="17" customFormat="false" ht="15" hidden="false" customHeight="false" outlineLevel="0" collapsed="false">
      <c r="A17" s="12" t="s">
        <v>168</v>
      </c>
      <c r="D17" s="24" t="n">
        <v>0.27</v>
      </c>
      <c r="E17" s="16" t="s">
        <v>615</v>
      </c>
    </row>
    <row r="18" customFormat="false" ht="15" hidden="false" customHeight="false" outlineLevel="0" collapsed="false">
      <c r="A18" s="12" t="s">
        <v>170</v>
      </c>
      <c r="D18" s="22" t="n">
        <f aca="false">(B13-D16)*(1-D17)</f>
        <v>1320.643</v>
      </c>
      <c r="E18" s="16" t="s">
        <v>171</v>
      </c>
    </row>
    <row r="19" customFormat="false" ht="15" hidden="false" customHeight="false" outlineLevel="0" collapsed="false">
      <c r="A19" s="12" t="s">
        <v>172</v>
      </c>
      <c r="D19" s="22" t="n">
        <f aca="false">D18*4</f>
        <v>5282.572</v>
      </c>
      <c r="E19" s="16" t="s">
        <v>173</v>
      </c>
    </row>
    <row r="20" customFormat="false" ht="15" hidden="false" customHeight="false" outlineLevel="0" collapsed="false">
      <c r="A20" s="12" t="s">
        <v>174</v>
      </c>
      <c r="D20" s="23" t="n">
        <v>0</v>
      </c>
    </row>
    <row r="21" customFormat="false" ht="15" hidden="false" customHeight="false" outlineLevel="0" collapsed="false">
      <c r="A21" s="12" t="s">
        <v>175</v>
      </c>
      <c r="D21" s="23" t="n">
        <v>0</v>
      </c>
      <c r="E21" s="16" t="s">
        <v>176</v>
      </c>
    </row>
    <row r="22" customFormat="false" ht="15" hidden="false" customHeight="false" outlineLevel="0" collapsed="false">
      <c r="A22" s="12" t="s">
        <v>177</v>
      </c>
      <c r="D22" s="23" t="n">
        <v>1809</v>
      </c>
    </row>
    <row r="23" customFormat="false" ht="15" hidden="false" customHeight="false" outlineLevel="0" collapsed="false">
      <c r="A23" s="12" t="s">
        <v>178</v>
      </c>
      <c r="D23" s="23" t="n">
        <v>0</v>
      </c>
      <c r="E23" s="16" t="s">
        <v>179</v>
      </c>
    </row>
    <row r="24" customFormat="false" ht="15" hidden="false" customHeight="true" outlineLevel="0" collapsed="false">
      <c r="A24" s="25" t="s">
        <v>616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</row>
  </sheetData>
  <mergeCells count="1">
    <mergeCell ref="A24:M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10" min="9" style="0" width="9"/>
    <col collapsed="false" customWidth="true" hidden="false" outlineLevel="0" max="11" min="11" style="0" width="46"/>
    <col collapsed="false" customWidth="true" hidden="false" outlineLevel="0" max="12" min="12" style="0" width="17"/>
    <col collapsed="false" customWidth="true" hidden="false" outlineLevel="0" max="13" min="13" style="0" width="54"/>
  </cols>
  <sheetData>
    <row r="1" customFormat="false" ht="16.15" hidden="false" customHeight="false" outlineLevel="0" collapsed="false">
      <c r="A1" s="14" t="s">
        <v>617</v>
      </c>
    </row>
    <row r="2" customFormat="false" ht="15" hidden="false" customHeight="false" outlineLevel="0" collapsed="false">
      <c r="A2" s="15" t="s">
        <v>618</v>
      </c>
    </row>
    <row r="3" customFormat="false" ht="15" hidden="false" customHeight="false" outlineLevel="0" collapsed="false">
      <c r="A3" s="16" t="s">
        <v>619</v>
      </c>
    </row>
    <row r="5" customFormat="false" ht="22.35" hidden="false" customHeight="false" outlineLevel="0" collapsed="false">
      <c r="A5" s="4" t="s">
        <v>102</v>
      </c>
      <c r="B5" s="4" t="s">
        <v>103</v>
      </c>
      <c r="C5" s="4" t="s">
        <v>104</v>
      </c>
      <c r="D5" s="4" t="s">
        <v>105</v>
      </c>
      <c r="E5" s="4" t="s">
        <v>106</v>
      </c>
      <c r="F5" s="4" t="s">
        <v>107</v>
      </c>
      <c r="G5" s="4" t="s">
        <v>108</v>
      </c>
      <c r="H5" s="4" t="s">
        <v>109</v>
      </c>
      <c r="I5" s="4" t="s">
        <v>110</v>
      </c>
      <c r="J5" s="4" t="s">
        <v>16</v>
      </c>
      <c r="K5" s="4" t="s">
        <v>111</v>
      </c>
      <c r="L5" s="4" t="s">
        <v>112</v>
      </c>
      <c r="M5" s="4" t="s">
        <v>113</v>
      </c>
    </row>
    <row r="6" customFormat="false" ht="15" hidden="false" customHeight="false" outlineLevel="0" collapsed="false">
      <c r="A6" s="17" t="s">
        <v>331</v>
      </c>
      <c r="B6" s="18" t="n">
        <v>196.4</v>
      </c>
      <c r="C6" s="20" t="s">
        <v>128</v>
      </c>
      <c r="D6" s="8" t="n">
        <v>0</v>
      </c>
      <c r="E6" s="18" t="n">
        <f aca="false">ROUND(B6*D6,1)</f>
        <v>0</v>
      </c>
      <c r="F6" s="18" t="n">
        <f aca="false">B6-E6</f>
        <v>196.4</v>
      </c>
      <c r="G6" s="5" t="s">
        <v>26</v>
      </c>
      <c r="H6" s="5" t="s">
        <v>124</v>
      </c>
      <c r="I6" s="8" t="n">
        <v>0.5</v>
      </c>
      <c r="J6" s="5" t="n">
        <v>1</v>
      </c>
      <c r="K6" s="17" t="s">
        <v>129</v>
      </c>
      <c r="L6" s="5" t="s">
        <v>118</v>
      </c>
      <c r="M6" s="17" t="s">
        <v>620</v>
      </c>
    </row>
    <row r="7" customFormat="false" ht="15" hidden="false" customHeight="false" outlineLevel="0" collapsed="false">
      <c r="A7" s="17" t="s">
        <v>301</v>
      </c>
      <c r="B7" s="18" t="n">
        <v>29</v>
      </c>
      <c r="C7" s="20" t="s">
        <v>128</v>
      </c>
      <c r="D7" s="8" t="n">
        <v>0</v>
      </c>
      <c r="E7" s="18" t="n">
        <f aca="false">ROUND(B7*D7,1)</f>
        <v>0</v>
      </c>
      <c r="F7" s="18" t="n">
        <f aca="false">B7-E7</f>
        <v>29</v>
      </c>
      <c r="G7" s="5" t="s">
        <v>26</v>
      </c>
      <c r="H7" s="5" t="s">
        <v>148</v>
      </c>
      <c r="I7" s="8" t="n">
        <v>0</v>
      </c>
      <c r="J7" s="5" t="n">
        <v>1</v>
      </c>
      <c r="K7" s="17" t="s">
        <v>129</v>
      </c>
      <c r="L7" s="5" t="s">
        <v>118</v>
      </c>
      <c r="M7" s="17" t="s">
        <v>620</v>
      </c>
    </row>
    <row r="8" customFormat="false" ht="15" hidden="false" customHeight="false" outlineLevel="0" collapsed="false">
      <c r="A8" s="17" t="s">
        <v>513</v>
      </c>
      <c r="B8" s="18" t="n">
        <v>255.7</v>
      </c>
      <c r="C8" s="20" t="s">
        <v>128</v>
      </c>
      <c r="D8" s="8" t="n">
        <v>0</v>
      </c>
      <c r="E8" s="18" t="n">
        <f aca="false">ROUND(B8*D8,1)</f>
        <v>0</v>
      </c>
      <c r="F8" s="18" t="n">
        <f aca="false">B8-E8</f>
        <v>255.7</v>
      </c>
      <c r="G8" s="5" t="s">
        <v>26</v>
      </c>
      <c r="H8" s="5" t="s">
        <v>124</v>
      </c>
      <c r="I8" s="8" t="n">
        <v>0.5</v>
      </c>
      <c r="J8" s="5" t="n">
        <v>1</v>
      </c>
      <c r="K8" s="17" t="s">
        <v>129</v>
      </c>
      <c r="L8" s="5" t="s">
        <v>118</v>
      </c>
      <c r="M8" s="17" t="s">
        <v>620</v>
      </c>
    </row>
    <row r="9" customFormat="false" ht="15" hidden="false" customHeight="false" outlineLevel="0" collapsed="false">
      <c r="A9" s="17" t="s">
        <v>621</v>
      </c>
      <c r="B9" s="18" t="n">
        <v>168.7</v>
      </c>
      <c r="C9" s="20" t="s">
        <v>128</v>
      </c>
      <c r="D9" s="8" t="n">
        <v>0</v>
      </c>
      <c r="E9" s="18" t="n">
        <f aca="false">ROUND(B9*D9,1)</f>
        <v>0</v>
      </c>
      <c r="F9" s="18" t="n">
        <f aca="false">B9-E9</f>
        <v>168.7</v>
      </c>
      <c r="G9" s="5" t="s">
        <v>26</v>
      </c>
      <c r="H9" s="5" t="s">
        <v>148</v>
      </c>
      <c r="I9" s="8" t="n">
        <v>0</v>
      </c>
      <c r="J9" s="5" t="n">
        <v>1</v>
      </c>
      <c r="K9" s="17" t="s">
        <v>149</v>
      </c>
      <c r="L9" s="5" t="s">
        <v>118</v>
      </c>
      <c r="M9" s="17" t="s">
        <v>620</v>
      </c>
    </row>
    <row r="10" customFormat="false" ht="15" hidden="false" customHeight="false" outlineLevel="0" collapsed="false">
      <c r="A10" s="17" t="s">
        <v>605</v>
      </c>
      <c r="B10" s="18" t="n">
        <v>81.1</v>
      </c>
      <c r="C10" s="20" t="s">
        <v>128</v>
      </c>
      <c r="D10" s="8" t="n">
        <v>0</v>
      </c>
      <c r="E10" s="18" t="n">
        <f aca="false">ROUND(B10*D10,1)</f>
        <v>0</v>
      </c>
      <c r="F10" s="18" t="n">
        <f aca="false">B10-E10</f>
        <v>81.1</v>
      </c>
      <c r="G10" s="5" t="s">
        <v>26</v>
      </c>
      <c r="H10" s="5" t="s">
        <v>124</v>
      </c>
      <c r="I10" s="8" t="n">
        <v>0.5</v>
      </c>
      <c r="J10" s="5" t="n">
        <v>1</v>
      </c>
      <c r="K10" s="17" t="s">
        <v>149</v>
      </c>
      <c r="L10" s="5" t="s">
        <v>118</v>
      </c>
      <c r="M10" s="17" t="s">
        <v>620</v>
      </c>
    </row>
    <row r="11" customFormat="false" ht="15" hidden="false" customHeight="false" outlineLevel="0" collapsed="false">
      <c r="A11" s="17" t="s">
        <v>328</v>
      </c>
      <c r="B11" s="18" t="n">
        <v>103.5</v>
      </c>
      <c r="C11" s="20" t="s">
        <v>128</v>
      </c>
      <c r="D11" s="8" t="n">
        <v>0</v>
      </c>
      <c r="E11" s="18" t="n">
        <f aca="false">ROUND(B11*D11,1)</f>
        <v>0</v>
      </c>
      <c r="F11" s="18" t="n">
        <f aca="false">B11-E11</f>
        <v>103.5</v>
      </c>
      <c r="G11" s="5" t="s">
        <v>26</v>
      </c>
      <c r="H11" s="5" t="s">
        <v>124</v>
      </c>
      <c r="I11" s="8" t="n">
        <v>0.5</v>
      </c>
      <c r="J11" s="5" t="n">
        <v>1</v>
      </c>
      <c r="K11" s="17" t="s">
        <v>149</v>
      </c>
      <c r="L11" s="5" t="s">
        <v>118</v>
      </c>
      <c r="M11" s="17" t="s">
        <v>620</v>
      </c>
    </row>
    <row r="12" customFormat="false" ht="15" hidden="false" customHeight="false" outlineLevel="0" collapsed="false">
      <c r="A12" s="17" t="s">
        <v>622</v>
      </c>
      <c r="B12" s="18" t="n">
        <v>134.7</v>
      </c>
      <c r="C12" s="20" t="s">
        <v>128</v>
      </c>
      <c r="D12" s="8" t="n">
        <v>0</v>
      </c>
      <c r="E12" s="18" t="n">
        <f aca="false">ROUND(B12*D12,1)</f>
        <v>0</v>
      </c>
      <c r="F12" s="18" t="n">
        <f aca="false">B12-E12</f>
        <v>134.7</v>
      </c>
      <c r="G12" s="5" t="s">
        <v>26</v>
      </c>
      <c r="H12" s="5" t="s">
        <v>124</v>
      </c>
      <c r="I12" s="8" t="n">
        <v>0.5</v>
      </c>
      <c r="J12" s="5" t="n">
        <v>1</v>
      </c>
      <c r="K12" s="17" t="s">
        <v>149</v>
      </c>
      <c r="L12" s="5" t="s">
        <v>118</v>
      </c>
      <c r="M12" s="17" t="s">
        <v>620</v>
      </c>
    </row>
    <row r="13" customFormat="false" ht="15" hidden="false" customHeight="false" outlineLevel="0" collapsed="false">
      <c r="A13" s="17" t="s">
        <v>302</v>
      </c>
      <c r="B13" s="18" t="n">
        <v>253.6</v>
      </c>
      <c r="C13" s="20" t="s">
        <v>128</v>
      </c>
      <c r="D13" s="8" t="n">
        <v>0</v>
      </c>
      <c r="E13" s="18" t="n">
        <f aca="false">ROUND(B13*D13,1)</f>
        <v>0</v>
      </c>
      <c r="F13" s="18" t="n">
        <f aca="false">B13-E13</f>
        <v>253.6</v>
      </c>
      <c r="G13" s="5" t="s">
        <v>26</v>
      </c>
      <c r="H13" s="5" t="s">
        <v>148</v>
      </c>
      <c r="I13" s="8" t="n">
        <v>0</v>
      </c>
      <c r="J13" s="5" t="n">
        <v>1</v>
      </c>
      <c r="K13" s="17" t="s">
        <v>129</v>
      </c>
      <c r="L13" s="5" t="s">
        <v>118</v>
      </c>
      <c r="M13" s="17" t="s">
        <v>620</v>
      </c>
    </row>
    <row r="14" customFormat="false" ht="15" hidden="false" customHeight="false" outlineLevel="0" collapsed="false">
      <c r="A14" s="17" t="s">
        <v>310</v>
      </c>
      <c r="B14" s="18" t="n">
        <v>192.1</v>
      </c>
      <c r="C14" s="20" t="s">
        <v>128</v>
      </c>
      <c r="D14" s="8" t="n">
        <v>0</v>
      </c>
      <c r="E14" s="18" t="n">
        <f aca="false">ROUND(B14*D14,1)</f>
        <v>0</v>
      </c>
      <c r="F14" s="18" t="n">
        <f aca="false">B14-E14</f>
        <v>192.1</v>
      </c>
      <c r="G14" s="5" t="s">
        <v>26</v>
      </c>
      <c r="H14" s="5" t="s">
        <v>124</v>
      </c>
      <c r="I14" s="8" t="n">
        <v>0.5</v>
      </c>
      <c r="J14" s="5" t="n">
        <v>1</v>
      </c>
      <c r="K14" s="17" t="s">
        <v>149</v>
      </c>
      <c r="L14" s="5" t="s">
        <v>118</v>
      </c>
      <c r="M14" s="17" t="s">
        <v>620</v>
      </c>
    </row>
    <row r="15" customFormat="false" ht="15" hidden="false" customHeight="false" outlineLevel="0" collapsed="false">
      <c r="A15" s="17" t="s">
        <v>623</v>
      </c>
      <c r="B15" s="18" t="n">
        <v>138.2</v>
      </c>
      <c r="C15" s="20" t="s">
        <v>128</v>
      </c>
      <c r="D15" s="8" t="n">
        <v>0</v>
      </c>
      <c r="E15" s="18" t="n">
        <f aca="false">ROUND(B15*D15,1)</f>
        <v>0</v>
      </c>
      <c r="F15" s="18" t="n">
        <f aca="false">B15-E15</f>
        <v>138.2</v>
      </c>
      <c r="G15" s="5" t="s">
        <v>26</v>
      </c>
      <c r="H15" s="5" t="s">
        <v>124</v>
      </c>
      <c r="I15" s="8" t="n">
        <v>0.5</v>
      </c>
      <c r="J15" s="5" t="n">
        <v>1</v>
      </c>
      <c r="K15" s="17" t="s">
        <v>149</v>
      </c>
      <c r="L15" s="5" t="s">
        <v>118</v>
      </c>
      <c r="M15" s="17" t="s">
        <v>620</v>
      </c>
    </row>
    <row r="16" customFormat="false" ht="15" hidden="false" customHeight="false" outlineLevel="0" collapsed="false">
      <c r="A16" s="17" t="s">
        <v>296</v>
      </c>
      <c r="B16" s="18" t="n">
        <v>215.7</v>
      </c>
      <c r="C16" s="20" t="s">
        <v>128</v>
      </c>
      <c r="D16" s="8" t="n">
        <v>0</v>
      </c>
      <c r="E16" s="18" t="n">
        <f aca="false">ROUND(B16*D16,1)</f>
        <v>0</v>
      </c>
      <c r="F16" s="18" t="n">
        <f aca="false">B16-E16</f>
        <v>215.7</v>
      </c>
      <c r="G16" s="5" t="s">
        <v>26</v>
      </c>
      <c r="H16" s="5" t="s">
        <v>124</v>
      </c>
      <c r="I16" s="8" t="n">
        <v>0.5</v>
      </c>
      <c r="J16" s="5" t="n">
        <v>1</v>
      </c>
      <c r="K16" s="17" t="s">
        <v>149</v>
      </c>
      <c r="L16" s="5" t="s">
        <v>118</v>
      </c>
      <c r="M16" s="17" t="s">
        <v>620</v>
      </c>
    </row>
    <row r="17" customFormat="false" ht="15" hidden="false" customHeight="false" outlineLevel="0" collapsed="false">
      <c r="A17" s="17" t="s">
        <v>326</v>
      </c>
      <c r="B17" s="18" t="n">
        <v>52.1</v>
      </c>
      <c r="C17" s="20" t="s">
        <v>128</v>
      </c>
      <c r="D17" s="8" t="n">
        <v>0</v>
      </c>
      <c r="E17" s="18" t="n">
        <f aca="false">ROUND(B17*D17,1)</f>
        <v>0</v>
      </c>
      <c r="F17" s="18" t="n">
        <f aca="false">B17-E17</f>
        <v>52.1</v>
      </c>
      <c r="G17" s="5" t="s">
        <v>26</v>
      </c>
      <c r="H17" s="5" t="s">
        <v>148</v>
      </c>
      <c r="I17" s="8" t="n">
        <v>0</v>
      </c>
      <c r="J17" s="5" t="n">
        <v>1</v>
      </c>
      <c r="K17" s="17" t="s">
        <v>149</v>
      </c>
      <c r="L17" s="5" t="s">
        <v>118</v>
      </c>
      <c r="M17" s="17" t="s">
        <v>620</v>
      </c>
    </row>
    <row r="18" customFormat="false" ht="15" hidden="false" customHeight="false" outlineLevel="0" collapsed="false">
      <c r="A18" s="17" t="s">
        <v>299</v>
      </c>
      <c r="B18" s="18" t="n">
        <v>168.5</v>
      </c>
      <c r="C18" s="20" t="s">
        <v>128</v>
      </c>
      <c r="D18" s="8" t="n">
        <v>0</v>
      </c>
      <c r="E18" s="18" t="n">
        <f aca="false">ROUND(B18*D18,1)</f>
        <v>0</v>
      </c>
      <c r="F18" s="18" t="n">
        <f aca="false">B18-E18</f>
        <v>168.5</v>
      </c>
      <c r="G18" s="5" t="s">
        <v>26</v>
      </c>
      <c r="H18" s="5" t="s">
        <v>148</v>
      </c>
      <c r="I18" s="8" t="n">
        <v>0</v>
      </c>
      <c r="J18" s="5" t="n">
        <v>1</v>
      </c>
      <c r="K18" s="17" t="s">
        <v>149</v>
      </c>
      <c r="L18" s="5" t="s">
        <v>118</v>
      </c>
      <c r="M18" s="17" t="s">
        <v>620</v>
      </c>
    </row>
    <row r="19" customFormat="false" ht="15" hidden="false" customHeight="false" outlineLevel="0" collapsed="false">
      <c r="A19" s="17" t="s">
        <v>306</v>
      </c>
      <c r="B19" s="18" t="n">
        <v>222.8</v>
      </c>
      <c r="C19" s="20" t="s">
        <v>128</v>
      </c>
      <c r="D19" s="8" t="n">
        <v>0</v>
      </c>
      <c r="E19" s="18" t="n">
        <f aca="false">ROUND(B19*D19,1)</f>
        <v>0</v>
      </c>
      <c r="F19" s="18" t="n">
        <f aca="false">B19-E19</f>
        <v>222.8</v>
      </c>
      <c r="G19" s="5" t="s">
        <v>26</v>
      </c>
      <c r="H19" s="5" t="s">
        <v>124</v>
      </c>
      <c r="I19" s="8" t="n">
        <v>0.5</v>
      </c>
      <c r="J19" s="5" t="n">
        <v>1</v>
      </c>
      <c r="K19" s="17" t="s">
        <v>129</v>
      </c>
      <c r="L19" s="5" t="s">
        <v>118</v>
      </c>
      <c r="M19" s="17" t="s">
        <v>620</v>
      </c>
    </row>
    <row r="20" customFormat="false" ht="15" hidden="false" customHeight="false" outlineLevel="0" collapsed="false">
      <c r="A20" s="17" t="s">
        <v>607</v>
      </c>
      <c r="B20" s="18" t="n">
        <v>82.7</v>
      </c>
      <c r="C20" s="20" t="s">
        <v>128</v>
      </c>
      <c r="D20" s="8" t="n">
        <v>0</v>
      </c>
      <c r="E20" s="18" t="n">
        <f aca="false">ROUND(B20*D20,1)</f>
        <v>0</v>
      </c>
      <c r="F20" s="18" t="n">
        <f aca="false">B20-E20</f>
        <v>82.7</v>
      </c>
      <c r="G20" s="5" t="s">
        <v>26</v>
      </c>
      <c r="H20" s="5" t="s">
        <v>148</v>
      </c>
      <c r="I20" s="8" t="n">
        <v>0</v>
      </c>
      <c r="J20" s="5" t="n">
        <v>1</v>
      </c>
      <c r="K20" s="17" t="s">
        <v>149</v>
      </c>
      <c r="L20" s="5" t="s">
        <v>118</v>
      </c>
      <c r="M20" s="17" t="s">
        <v>620</v>
      </c>
    </row>
    <row r="21" customFormat="false" ht="32.8" hidden="false" customHeight="false" outlineLevel="0" collapsed="false">
      <c r="A21" s="17" t="s">
        <v>254</v>
      </c>
      <c r="B21" s="18" t="n">
        <v>217.4</v>
      </c>
      <c r="C21" s="20" t="s">
        <v>128</v>
      </c>
      <c r="D21" s="8" t="n">
        <v>0</v>
      </c>
      <c r="E21" s="18" t="n">
        <f aca="false">ROUND(B21*D21,1)</f>
        <v>0</v>
      </c>
      <c r="F21" s="18" t="n">
        <f aca="false">B21-E21</f>
        <v>217.4</v>
      </c>
      <c r="G21" s="5" t="s">
        <v>26</v>
      </c>
      <c r="H21" s="5" t="s">
        <v>148</v>
      </c>
      <c r="I21" s="8" t="n">
        <v>0</v>
      </c>
      <c r="J21" s="5" t="n">
        <v>1</v>
      </c>
      <c r="K21" s="17" t="s">
        <v>129</v>
      </c>
      <c r="L21" s="5" t="s">
        <v>118</v>
      </c>
      <c r="M21" s="17" t="s">
        <v>624</v>
      </c>
    </row>
    <row r="22" customFormat="false" ht="15" hidden="false" customHeight="false" outlineLevel="0" collapsed="false">
      <c r="A22" s="17" t="s">
        <v>248</v>
      </c>
      <c r="B22" s="18" t="n">
        <v>560.7</v>
      </c>
      <c r="C22" s="20" t="s">
        <v>128</v>
      </c>
      <c r="D22" s="8" t="n">
        <v>0</v>
      </c>
      <c r="E22" s="18" t="n">
        <f aca="false">ROUND(B22*D22,1)</f>
        <v>0</v>
      </c>
      <c r="F22" s="18" t="n">
        <f aca="false">B22-E22</f>
        <v>560.7</v>
      </c>
      <c r="G22" s="5" t="s">
        <v>30</v>
      </c>
      <c r="H22" s="5" t="s">
        <v>124</v>
      </c>
      <c r="I22" s="8" t="n">
        <v>0.5</v>
      </c>
      <c r="J22" s="5" t="n">
        <v>1</v>
      </c>
      <c r="K22" s="17" t="s">
        <v>149</v>
      </c>
      <c r="L22" s="5" t="s">
        <v>118</v>
      </c>
      <c r="M22" s="17" t="s">
        <v>625</v>
      </c>
    </row>
    <row r="23" customFormat="false" ht="15" hidden="false" customHeight="false" outlineLevel="0" collapsed="false">
      <c r="A23" s="17" t="s">
        <v>626</v>
      </c>
      <c r="B23" s="18" t="n">
        <v>137.1</v>
      </c>
      <c r="C23" s="20" t="s">
        <v>128</v>
      </c>
      <c r="D23" s="8" t="n">
        <v>0</v>
      </c>
      <c r="E23" s="18" t="n">
        <f aca="false">ROUND(B23*D23,1)</f>
        <v>0</v>
      </c>
      <c r="F23" s="18" t="n">
        <f aca="false">B23-E23</f>
        <v>137.1</v>
      </c>
      <c r="G23" s="5" t="s">
        <v>26</v>
      </c>
      <c r="H23" s="5" t="s">
        <v>124</v>
      </c>
      <c r="I23" s="8" t="n">
        <v>0.5</v>
      </c>
      <c r="J23" s="5" t="n">
        <v>1</v>
      </c>
      <c r="K23" s="17" t="s">
        <v>149</v>
      </c>
      <c r="L23" s="5" t="s">
        <v>118</v>
      </c>
      <c r="M23" s="17" t="s">
        <v>620</v>
      </c>
    </row>
    <row r="24" customFormat="false" ht="15" hidden="false" customHeight="false" outlineLevel="0" collapsed="false">
      <c r="A24" s="17" t="s">
        <v>627</v>
      </c>
      <c r="B24" s="18" t="n">
        <v>33.4</v>
      </c>
      <c r="C24" s="20" t="s">
        <v>128</v>
      </c>
      <c r="D24" s="8" t="n">
        <v>0</v>
      </c>
      <c r="E24" s="18" t="n">
        <f aca="false">ROUND(B24*D24,1)</f>
        <v>0</v>
      </c>
      <c r="F24" s="18" t="n">
        <f aca="false">B24-E24</f>
        <v>33.4</v>
      </c>
      <c r="G24" s="5" t="s">
        <v>26</v>
      </c>
      <c r="H24" s="5" t="s">
        <v>148</v>
      </c>
      <c r="I24" s="8" t="n">
        <v>0</v>
      </c>
      <c r="J24" s="5" t="n">
        <v>1</v>
      </c>
      <c r="K24" s="17" t="s">
        <v>129</v>
      </c>
      <c r="L24" s="5" t="s">
        <v>118</v>
      </c>
      <c r="M24" s="17" t="s">
        <v>620</v>
      </c>
    </row>
    <row r="25" customFormat="false" ht="32.8" hidden="false" customHeight="false" outlineLevel="0" collapsed="false">
      <c r="A25" s="17" t="s">
        <v>628</v>
      </c>
      <c r="B25" s="18" t="n">
        <v>437.7</v>
      </c>
      <c r="C25" s="20" t="s">
        <v>128</v>
      </c>
      <c r="D25" s="8" t="n">
        <v>0</v>
      </c>
      <c r="E25" s="18" t="n">
        <f aca="false">ROUND(B25*D25,1)</f>
        <v>0</v>
      </c>
      <c r="F25" s="18" t="n">
        <f aca="false">B25-E25</f>
        <v>437.7</v>
      </c>
      <c r="G25" s="5" t="s">
        <v>26</v>
      </c>
      <c r="H25" s="5" t="s">
        <v>124</v>
      </c>
      <c r="I25" s="8" t="n">
        <v>0.5</v>
      </c>
      <c r="J25" s="5" t="n">
        <v>1</v>
      </c>
      <c r="K25" s="17" t="s">
        <v>149</v>
      </c>
      <c r="L25" s="5" t="s">
        <v>118</v>
      </c>
      <c r="M25" s="17" t="s">
        <v>629</v>
      </c>
    </row>
    <row r="26" customFormat="false" ht="15" hidden="false" customHeight="false" outlineLevel="0" collapsed="false">
      <c r="A26" s="17" t="s">
        <v>630</v>
      </c>
      <c r="B26" s="18" t="n">
        <v>120.3</v>
      </c>
      <c r="C26" s="20" t="s">
        <v>128</v>
      </c>
      <c r="D26" s="8" t="n">
        <v>0</v>
      </c>
      <c r="E26" s="18" t="n">
        <f aca="false">ROUND(B26*D26,1)</f>
        <v>0</v>
      </c>
      <c r="F26" s="18" t="n">
        <f aca="false">B26-E26</f>
        <v>120.3</v>
      </c>
      <c r="G26" s="5" t="s">
        <v>26</v>
      </c>
      <c r="H26" s="5" t="s">
        <v>148</v>
      </c>
      <c r="I26" s="8" t="n">
        <v>0</v>
      </c>
      <c r="J26" s="5" t="n">
        <v>1</v>
      </c>
      <c r="K26" s="17" t="s">
        <v>149</v>
      </c>
      <c r="L26" s="5" t="s">
        <v>118</v>
      </c>
      <c r="M26" s="17" t="s">
        <v>620</v>
      </c>
    </row>
    <row r="27" customFormat="false" ht="15" hidden="false" customHeight="false" outlineLevel="0" collapsed="false">
      <c r="A27" s="17" t="s">
        <v>631</v>
      </c>
      <c r="B27" s="18" t="n">
        <v>83.6</v>
      </c>
      <c r="C27" s="20" t="s">
        <v>128</v>
      </c>
      <c r="D27" s="8" t="n">
        <v>0</v>
      </c>
      <c r="E27" s="18" t="n">
        <f aca="false">ROUND(B27*D27,1)</f>
        <v>0</v>
      </c>
      <c r="F27" s="18" t="n">
        <f aca="false">B27-E27</f>
        <v>83.6</v>
      </c>
      <c r="G27" s="5" t="s">
        <v>26</v>
      </c>
      <c r="H27" s="5" t="s">
        <v>148</v>
      </c>
      <c r="I27" s="8" t="n">
        <v>0</v>
      </c>
      <c r="J27" s="5" t="n">
        <v>1</v>
      </c>
      <c r="K27" s="17" t="s">
        <v>149</v>
      </c>
      <c r="L27" s="5" t="s">
        <v>118</v>
      </c>
      <c r="M27" s="17" t="s">
        <v>620</v>
      </c>
    </row>
    <row r="28" customFormat="false" ht="15" hidden="false" customHeight="false" outlineLevel="0" collapsed="false">
      <c r="A28" s="9" t="s">
        <v>163</v>
      </c>
      <c r="B28" s="10" t="n">
        <f aca="false">SUM(B6:B27)</f>
        <v>3885</v>
      </c>
      <c r="C28" s="9"/>
      <c r="D28" s="11" t="n">
        <f aca="false">IF(B28=0,0,E28/B28)</f>
        <v>0</v>
      </c>
      <c r="E28" s="10" t="n">
        <f aca="false">SUM(E6:E27)</f>
        <v>0</v>
      </c>
      <c r="F28" s="10" t="n">
        <f aca="false">SUM(F6:F27)</f>
        <v>3885</v>
      </c>
      <c r="G28" s="9"/>
      <c r="H28" s="9"/>
      <c r="I28" s="9"/>
      <c r="J28" s="9"/>
      <c r="K28" s="9"/>
      <c r="L28" s="9"/>
      <c r="M28" s="9"/>
    </row>
    <row r="30" customFormat="false" ht="15" hidden="false" customHeight="false" outlineLevel="0" collapsed="false">
      <c r="A30" s="12" t="s">
        <v>164</v>
      </c>
      <c r="D30" s="22" t="n">
        <f aca="false">F28*8</f>
        <v>31080</v>
      </c>
      <c r="E30" s="16" t="s">
        <v>165</v>
      </c>
    </row>
    <row r="31" customFormat="false" ht="15" hidden="false" customHeight="false" outlineLevel="0" collapsed="false">
      <c r="A31" s="12" t="s">
        <v>166</v>
      </c>
      <c r="D31" s="23" t="n">
        <v>0</v>
      </c>
      <c r="E31" s="16" t="s">
        <v>167</v>
      </c>
    </row>
    <row r="32" customFormat="false" ht="15" hidden="false" customHeight="false" outlineLevel="0" collapsed="false">
      <c r="A32" s="12" t="s">
        <v>168</v>
      </c>
      <c r="D32" s="24" t="n">
        <v>0.33</v>
      </c>
      <c r="E32" s="16" t="s">
        <v>632</v>
      </c>
    </row>
    <row r="33" customFormat="false" ht="15" hidden="false" customHeight="false" outlineLevel="0" collapsed="false">
      <c r="A33" s="12" t="s">
        <v>170</v>
      </c>
      <c r="D33" s="22" t="n">
        <f aca="false">(B28-D31)*(1-D32)</f>
        <v>2602.95</v>
      </c>
      <c r="E33" s="16" t="s">
        <v>171</v>
      </c>
    </row>
    <row r="34" customFormat="false" ht="15" hidden="false" customHeight="false" outlineLevel="0" collapsed="false">
      <c r="A34" s="12" t="s">
        <v>172</v>
      </c>
      <c r="D34" s="22" t="n">
        <f aca="false">D33*4</f>
        <v>10411.8</v>
      </c>
      <c r="E34" s="16" t="s">
        <v>173</v>
      </c>
    </row>
    <row r="35" customFormat="false" ht="15" hidden="false" customHeight="false" outlineLevel="0" collapsed="false">
      <c r="A35" s="12" t="s">
        <v>174</v>
      </c>
      <c r="D35" s="23" t="n">
        <v>0</v>
      </c>
    </row>
    <row r="36" customFormat="false" ht="15" hidden="false" customHeight="false" outlineLevel="0" collapsed="false">
      <c r="A36" s="12" t="s">
        <v>175</v>
      </c>
      <c r="D36" s="23" t="n">
        <v>0</v>
      </c>
      <c r="E36" s="16" t="s">
        <v>176</v>
      </c>
    </row>
    <row r="37" customFormat="false" ht="15" hidden="false" customHeight="false" outlineLevel="0" collapsed="false">
      <c r="A37" s="12" t="s">
        <v>177</v>
      </c>
      <c r="D37" s="23" t="n">
        <v>3885</v>
      </c>
    </row>
    <row r="38" customFormat="false" ht="15" hidden="false" customHeight="false" outlineLevel="0" collapsed="false">
      <c r="A38" s="12" t="s">
        <v>178</v>
      </c>
      <c r="D38" s="23" t="n">
        <v>0</v>
      </c>
      <c r="E38" s="16" t="s">
        <v>179</v>
      </c>
    </row>
    <row r="39" customFormat="false" ht="15" hidden="false" customHeight="true" outlineLevel="0" collapsed="false">
      <c r="A39" s="25" t="s">
        <v>633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</row>
  </sheetData>
  <mergeCells count="1">
    <mergeCell ref="A39:M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10" min="9" style="0" width="9"/>
    <col collapsed="false" customWidth="true" hidden="false" outlineLevel="0" max="11" min="11" style="0" width="46"/>
    <col collapsed="false" customWidth="true" hidden="false" outlineLevel="0" max="12" min="12" style="0" width="17"/>
    <col collapsed="false" customWidth="true" hidden="false" outlineLevel="0" max="13" min="13" style="0" width="54"/>
  </cols>
  <sheetData>
    <row r="1" customFormat="false" ht="16.15" hidden="false" customHeight="false" outlineLevel="0" collapsed="false">
      <c r="A1" s="14" t="s">
        <v>634</v>
      </c>
    </row>
    <row r="2" customFormat="false" ht="15" hidden="false" customHeight="false" outlineLevel="0" collapsed="false">
      <c r="A2" s="15" t="s">
        <v>635</v>
      </c>
    </row>
    <row r="3" customFormat="false" ht="15" hidden="false" customHeight="false" outlineLevel="0" collapsed="false">
      <c r="A3" s="16" t="s">
        <v>636</v>
      </c>
    </row>
    <row r="5" customFormat="false" ht="22.35" hidden="false" customHeight="false" outlineLevel="0" collapsed="false">
      <c r="A5" s="4" t="s">
        <v>102</v>
      </c>
      <c r="B5" s="4" t="s">
        <v>103</v>
      </c>
      <c r="C5" s="4" t="s">
        <v>104</v>
      </c>
      <c r="D5" s="4" t="s">
        <v>105</v>
      </c>
      <c r="E5" s="4" t="s">
        <v>106</v>
      </c>
      <c r="F5" s="4" t="s">
        <v>107</v>
      </c>
      <c r="G5" s="4" t="s">
        <v>108</v>
      </c>
      <c r="H5" s="4" t="s">
        <v>109</v>
      </c>
      <c r="I5" s="4" t="s">
        <v>110</v>
      </c>
      <c r="J5" s="4" t="s">
        <v>16</v>
      </c>
      <c r="K5" s="4" t="s">
        <v>111</v>
      </c>
      <c r="L5" s="4" t="s">
        <v>112</v>
      </c>
      <c r="M5" s="4" t="s">
        <v>113</v>
      </c>
    </row>
    <row r="6" customFormat="false" ht="15" hidden="false" customHeight="false" outlineLevel="0" collapsed="false">
      <c r="A6" s="17" t="s">
        <v>296</v>
      </c>
      <c r="B6" s="18" t="n">
        <v>230.3</v>
      </c>
      <c r="C6" s="20" t="s">
        <v>128</v>
      </c>
      <c r="D6" s="8" t="n">
        <v>0</v>
      </c>
      <c r="E6" s="18" t="n">
        <f aca="false">ROUND(B6*D6,1)</f>
        <v>0</v>
      </c>
      <c r="F6" s="18" t="n">
        <f aca="false">B6-E6</f>
        <v>230.3</v>
      </c>
      <c r="G6" s="5" t="s">
        <v>26</v>
      </c>
      <c r="H6" s="5" t="s">
        <v>148</v>
      </c>
      <c r="I6" s="8" t="n">
        <v>0</v>
      </c>
      <c r="J6" s="5" t="n">
        <v>1</v>
      </c>
      <c r="K6" s="17" t="s">
        <v>149</v>
      </c>
      <c r="L6" s="5" t="s">
        <v>118</v>
      </c>
      <c r="M6" s="17" t="s">
        <v>637</v>
      </c>
    </row>
    <row r="7" customFormat="false" ht="15" hidden="false" customHeight="false" outlineLevel="0" collapsed="false">
      <c r="A7" s="17" t="s">
        <v>299</v>
      </c>
      <c r="B7" s="18" t="n">
        <v>256.7</v>
      </c>
      <c r="C7" s="20" t="s">
        <v>128</v>
      </c>
      <c r="D7" s="8" t="n">
        <v>0</v>
      </c>
      <c r="E7" s="18" t="n">
        <f aca="false">ROUND(B7*D7,1)</f>
        <v>0</v>
      </c>
      <c r="F7" s="18" t="n">
        <f aca="false">B7-E7</f>
        <v>256.7</v>
      </c>
      <c r="G7" s="5" t="s">
        <v>26</v>
      </c>
      <c r="H7" s="5" t="s">
        <v>148</v>
      </c>
      <c r="I7" s="8" t="n">
        <v>0</v>
      </c>
      <c r="J7" s="5" t="n">
        <v>1</v>
      </c>
      <c r="K7" s="17" t="s">
        <v>149</v>
      </c>
      <c r="L7" s="5" t="s">
        <v>118</v>
      </c>
      <c r="M7" s="17" t="s">
        <v>637</v>
      </c>
    </row>
    <row r="8" customFormat="false" ht="15" hidden="false" customHeight="false" outlineLevel="0" collapsed="false">
      <c r="A8" s="17" t="s">
        <v>302</v>
      </c>
      <c r="B8" s="18" t="n">
        <v>26.4</v>
      </c>
      <c r="C8" s="20" t="s">
        <v>128</v>
      </c>
      <c r="D8" s="8" t="n">
        <v>0</v>
      </c>
      <c r="E8" s="18" t="n">
        <f aca="false">ROUND(B8*D8,1)</f>
        <v>0</v>
      </c>
      <c r="F8" s="18" t="n">
        <f aca="false">B8-E8</f>
        <v>26.4</v>
      </c>
      <c r="G8" s="5" t="s">
        <v>26</v>
      </c>
      <c r="H8" s="5" t="s">
        <v>148</v>
      </c>
      <c r="I8" s="8" t="n">
        <v>0</v>
      </c>
      <c r="J8" s="5" t="n">
        <v>1</v>
      </c>
      <c r="K8" s="17" t="s">
        <v>149</v>
      </c>
      <c r="L8" s="5" t="s">
        <v>118</v>
      </c>
      <c r="M8" s="17" t="s">
        <v>637</v>
      </c>
    </row>
    <row r="9" customFormat="false" ht="15" hidden="false" customHeight="false" outlineLevel="0" collapsed="false">
      <c r="A9" s="17" t="s">
        <v>304</v>
      </c>
      <c r="B9" s="18" t="n">
        <v>232.6</v>
      </c>
      <c r="C9" s="20" t="s">
        <v>128</v>
      </c>
      <c r="D9" s="8" t="n">
        <v>0</v>
      </c>
      <c r="E9" s="18" t="n">
        <f aca="false">ROUND(B9*D9,1)</f>
        <v>0</v>
      </c>
      <c r="F9" s="18" t="n">
        <f aca="false">B9-E9</f>
        <v>232.6</v>
      </c>
      <c r="G9" s="5" t="s">
        <v>26</v>
      </c>
      <c r="H9" s="5" t="s">
        <v>148</v>
      </c>
      <c r="I9" s="8" t="n">
        <v>0</v>
      </c>
      <c r="J9" s="5" t="n">
        <v>1</v>
      </c>
      <c r="K9" s="17" t="s">
        <v>149</v>
      </c>
      <c r="L9" s="5" t="s">
        <v>118</v>
      </c>
      <c r="M9" s="17" t="s">
        <v>637</v>
      </c>
    </row>
    <row r="10" customFormat="false" ht="15" hidden="false" customHeight="false" outlineLevel="0" collapsed="false">
      <c r="A10" s="17" t="s">
        <v>306</v>
      </c>
      <c r="B10" s="18" t="n">
        <v>232.6</v>
      </c>
      <c r="C10" s="19" t="s">
        <v>115</v>
      </c>
      <c r="D10" s="8" t="n">
        <v>1</v>
      </c>
      <c r="E10" s="18" t="n">
        <f aca="false">ROUND(B10*D10,1)</f>
        <v>232.6</v>
      </c>
      <c r="F10" s="18" t="n">
        <f aca="false">B10-E10</f>
        <v>0</v>
      </c>
      <c r="G10" s="5" t="s">
        <v>26</v>
      </c>
      <c r="H10" s="5" t="s">
        <v>124</v>
      </c>
      <c r="I10" s="8" t="n">
        <v>0.5</v>
      </c>
      <c r="J10" s="5" t="n">
        <v>1</v>
      </c>
      <c r="K10" s="17" t="s">
        <v>125</v>
      </c>
      <c r="L10" s="5" t="s">
        <v>118</v>
      </c>
      <c r="M10" s="17" t="s">
        <v>637</v>
      </c>
    </row>
    <row r="11" customFormat="false" ht="15" hidden="false" customHeight="false" outlineLevel="0" collapsed="false">
      <c r="A11" s="17" t="s">
        <v>310</v>
      </c>
      <c r="B11" s="18" t="n">
        <v>256.1</v>
      </c>
      <c r="C11" s="20" t="s">
        <v>128</v>
      </c>
      <c r="D11" s="8" t="n">
        <v>0</v>
      </c>
      <c r="E11" s="18" t="n">
        <f aca="false">ROUND(B11*D11,1)</f>
        <v>0</v>
      </c>
      <c r="F11" s="18" t="n">
        <f aca="false">B11-E11</f>
        <v>256.1</v>
      </c>
      <c r="G11" s="5" t="s">
        <v>26</v>
      </c>
      <c r="H11" s="5" t="s">
        <v>148</v>
      </c>
      <c r="I11" s="8" t="n">
        <v>0</v>
      </c>
      <c r="J11" s="5" t="n">
        <v>1</v>
      </c>
      <c r="K11" s="17" t="s">
        <v>149</v>
      </c>
      <c r="L11" s="5" t="s">
        <v>118</v>
      </c>
      <c r="M11" s="17" t="s">
        <v>637</v>
      </c>
    </row>
    <row r="12" customFormat="false" ht="15" hidden="false" customHeight="false" outlineLevel="0" collapsed="false">
      <c r="A12" s="17" t="s">
        <v>316</v>
      </c>
      <c r="B12" s="18" t="n">
        <v>109.2</v>
      </c>
      <c r="C12" s="20" t="s">
        <v>128</v>
      </c>
      <c r="D12" s="8" t="n">
        <v>0</v>
      </c>
      <c r="E12" s="18" t="n">
        <f aca="false">ROUND(B12*D12,1)</f>
        <v>0</v>
      </c>
      <c r="F12" s="18" t="n">
        <f aca="false">B12-E12</f>
        <v>109.2</v>
      </c>
      <c r="G12" s="5" t="s">
        <v>30</v>
      </c>
      <c r="H12" s="5" t="s">
        <v>188</v>
      </c>
      <c r="I12" s="8" t="s">
        <v>189</v>
      </c>
      <c r="J12" s="5" t="n">
        <v>1</v>
      </c>
      <c r="K12" s="17" t="s">
        <v>475</v>
      </c>
      <c r="L12" s="5" t="s">
        <v>118</v>
      </c>
      <c r="M12" s="17" t="s">
        <v>637</v>
      </c>
    </row>
    <row r="13" customFormat="false" ht="15" hidden="false" customHeight="false" outlineLevel="0" collapsed="false">
      <c r="A13" s="17" t="s">
        <v>322</v>
      </c>
      <c r="B13" s="18" t="n">
        <v>229.7</v>
      </c>
      <c r="C13" s="20" t="s">
        <v>128</v>
      </c>
      <c r="D13" s="8" t="n">
        <v>0</v>
      </c>
      <c r="E13" s="18" t="n">
        <f aca="false">ROUND(B13*D13,1)</f>
        <v>0</v>
      </c>
      <c r="F13" s="18" t="n">
        <f aca="false">B13-E13</f>
        <v>229.7</v>
      </c>
      <c r="G13" s="5" t="s">
        <v>30</v>
      </c>
      <c r="H13" s="5" t="s">
        <v>188</v>
      </c>
      <c r="I13" s="8" t="s">
        <v>189</v>
      </c>
      <c r="J13" s="5" t="n">
        <v>1</v>
      </c>
      <c r="K13" s="17" t="s">
        <v>475</v>
      </c>
      <c r="L13" s="5" t="s">
        <v>118</v>
      </c>
      <c r="M13" s="17" t="s">
        <v>637</v>
      </c>
    </row>
    <row r="14" customFormat="false" ht="15" hidden="false" customHeight="false" outlineLevel="0" collapsed="false">
      <c r="A14" s="17" t="s">
        <v>323</v>
      </c>
      <c r="B14" s="18" t="n">
        <v>229.2</v>
      </c>
      <c r="C14" s="20" t="s">
        <v>128</v>
      </c>
      <c r="D14" s="8" t="n">
        <v>0</v>
      </c>
      <c r="E14" s="18" t="n">
        <f aca="false">ROUND(B14*D14,1)</f>
        <v>0</v>
      </c>
      <c r="F14" s="18" t="n">
        <f aca="false">B14-E14</f>
        <v>229.2</v>
      </c>
      <c r="G14" s="5" t="s">
        <v>26</v>
      </c>
      <c r="H14" s="5" t="s">
        <v>148</v>
      </c>
      <c r="I14" s="8" t="n">
        <v>0</v>
      </c>
      <c r="J14" s="5" t="n">
        <v>1</v>
      </c>
      <c r="K14" s="17" t="s">
        <v>149</v>
      </c>
      <c r="L14" s="5" t="s">
        <v>118</v>
      </c>
      <c r="M14" s="17" t="s">
        <v>637</v>
      </c>
    </row>
    <row r="15" customFormat="false" ht="15" hidden="false" customHeight="false" outlineLevel="0" collapsed="false">
      <c r="A15" s="17" t="s">
        <v>325</v>
      </c>
      <c r="B15" s="18" t="n">
        <v>226.9</v>
      </c>
      <c r="C15" s="20" t="s">
        <v>128</v>
      </c>
      <c r="D15" s="8" t="n">
        <v>0</v>
      </c>
      <c r="E15" s="18" t="n">
        <f aca="false">ROUND(B15*D15,1)</f>
        <v>0</v>
      </c>
      <c r="F15" s="18" t="n">
        <f aca="false">B15-E15</f>
        <v>226.9</v>
      </c>
      <c r="G15" s="5" t="s">
        <v>26</v>
      </c>
      <c r="H15" s="5" t="s">
        <v>148</v>
      </c>
      <c r="I15" s="8" t="n">
        <v>0</v>
      </c>
      <c r="J15" s="5" t="n">
        <v>1</v>
      </c>
      <c r="K15" s="17" t="s">
        <v>149</v>
      </c>
      <c r="L15" s="5" t="s">
        <v>118</v>
      </c>
      <c r="M15" s="17" t="s">
        <v>637</v>
      </c>
    </row>
    <row r="16" customFormat="false" ht="15" hidden="false" customHeight="false" outlineLevel="0" collapsed="false">
      <c r="A16" s="17" t="s">
        <v>327</v>
      </c>
      <c r="B16" s="18" t="n">
        <v>230.4</v>
      </c>
      <c r="C16" s="20" t="s">
        <v>128</v>
      </c>
      <c r="D16" s="8" t="n">
        <v>0</v>
      </c>
      <c r="E16" s="18" t="n">
        <f aca="false">ROUND(B16*D16,1)</f>
        <v>0</v>
      </c>
      <c r="F16" s="18" t="n">
        <f aca="false">B16-E16</f>
        <v>230.4</v>
      </c>
      <c r="G16" s="5" t="s">
        <v>26</v>
      </c>
      <c r="H16" s="5" t="s">
        <v>148</v>
      </c>
      <c r="I16" s="8" t="n">
        <v>0</v>
      </c>
      <c r="J16" s="5" t="n">
        <v>1</v>
      </c>
      <c r="K16" s="17" t="s">
        <v>149</v>
      </c>
      <c r="L16" s="5" t="s">
        <v>118</v>
      </c>
      <c r="M16" s="17" t="s">
        <v>637</v>
      </c>
    </row>
    <row r="17" customFormat="false" ht="15" hidden="false" customHeight="false" outlineLevel="0" collapsed="false">
      <c r="A17" s="17" t="s">
        <v>318</v>
      </c>
      <c r="B17" s="18" t="n">
        <v>228</v>
      </c>
      <c r="C17" s="20" t="s">
        <v>128</v>
      </c>
      <c r="D17" s="8" t="n">
        <v>0</v>
      </c>
      <c r="E17" s="18" t="n">
        <f aca="false">ROUND(B17*D17,1)</f>
        <v>0</v>
      </c>
      <c r="F17" s="18" t="n">
        <f aca="false">B17-E17</f>
        <v>228</v>
      </c>
      <c r="G17" s="5" t="s">
        <v>26</v>
      </c>
      <c r="H17" s="5" t="s">
        <v>148</v>
      </c>
      <c r="I17" s="8" t="n">
        <v>0</v>
      </c>
      <c r="J17" s="5" t="n">
        <v>1</v>
      </c>
      <c r="K17" s="17" t="s">
        <v>149</v>
      </c>
      <c r="L17" s="5" t="s">
        <v>118</v>
      </c>
      <c r="M17" s="17" t="s">
        <v>637</v>
      </c>
    </row>
    <row r="18" customFormat="false" ht="15" hidden="false" customHeight="false" outlineLevel="0" collapsed="false">
      <c r="A18" s="17" t="s">
        <v>328</v>
      </c>
      <c r="B18" s="18" t="n">
        <v>229.2</v>
      </c>
      <c r="C18" s="20" t="s">
        <v>128</v>
      </c>
      <c r="D18" s="8" t="n">
        <v>0</v>
      </c>
      <c r="E18" s="18" t="n">
        <f aca="false">ROUND(B18*D18,1)</f>
        <v>0</v>
      </c>
      <c r="F18" s="18" t="n">
        <f aca="false">B18-E18</f>
        <v>229.2</v>
      </c>
      <c r="G18" s="5" t="s">
        <v>26</v>
      </c>
      <c r="H18" s="5" t="s">
        <v>148</v>
      </c>
      <c r="I18" s="8" t="n">
        <v>0</v>
      </c>
      <c r="J18" s="5" t="n">
        <v>1</v>
      </c>
      <c r="K18" s="17" t="s">
        <v>149</v>
      </c>
      <c r="L18" s="5" t="s">
        <v>118</v>
      </c>
      <c r="M18" s="17" t="s">
        <v>637</v>
      </c>
    </row>
    <row r="19" customFormat="false" ht="15" hidden="false" customHeight="false" outlineLevel="0" collapsed="false">
      <c r="A19" s="17" t="s">
        <v>331</v>
      </c>
      <c r="B19" s="18" t="n">
        <v>253.5</v>
      </c>
      <c r="C19" s="20" t="s">
        <v>128</v>
      </c>
      <c r="D19" s="8" t="n">
        <v>0</v>
      </c>
      <c r="E19" s="18" t="n">
        <f aca="false">ROUND(B19*D19,1)</f>
        <v>0</v>
      </c>
      <c r="F19" s="18" t="n">
        <f aca="false">B19-E19</f>
        <v>253.5</v>
      </c>
      <c r="G19" s="5" t="s">
        <v>26</v>
      </c>
      <c r="H19" s="5" t="s">
        <v>148</v>
      </c>
      <c r="I19" s="8" t="n">
        <v>0</v>
      </c>
      <c r="J19" s="5" t="n">
        <v>1</v>
      </c>
      <c r="K19" s="17" t="s">
        <v>149</v>
      </c>
      <c r="L19" s="5" t="s">
        <v>118</v>
      </c>
      <c r="M19" s="17" t="s">
        <v>637</v>
      </c>
    </row>
    <row r="20" customFormat="false" ht="15" hidden="false" customHeight="false" outlineLevel="0" collapsed="false">
      <c r="A20" s="17" t="s">
        <v>300</v>
      </c>
      <c r="B20" s="18" t="n">
        <v>239.3</v>
      </c>
      <c r="C20" s="20" t="s">
        <v>128</v>
      </c>
      <c r="D20" s="8" t="n">
        <v>0</v>
      </c>
      <c r="E20" s="18" t="n">
        <f aca="false">ROUND(B20*D20,1)</f>
        <v>0</v>
      </c>
      <c r="F20" s="18" t="n">
        <f aca="false">B20-E20</f>
        <v>239.3</v>
      </c>
      <c r="G20" s="5" t="s">
        <v>26</v>
      </c>
      <c r="H20" s="5" t="s">
        <v>148</v>
      </c>
      <c r="I20" s="8" t="n">
        <v>0</v>
      </c>
      <c r="J20" s="5" t="n">
        <v>1</v>
      </c>
      <c r="K20" s="17" t="s">
        <v>149</v>
      </c>
      <c r="L20" s="5" t="s">
        <v>118</v>
      </c>
      <c r="M20" s="17" t="s">
        <v>637</v>
      </c>
    </row>
    <row r="21" customFormat="false" ht="22.35" hidden="false" customHeight="false" outlineLevel="0" collapsed="false">
      <c r="A21" s="17" t="s">
        <v>142</v>
      </c>
      <c r="B21" s="18" t="n">
        <v>2610.5</v>
      </c>
      <c r="C21" s="21" t="s">
        <v>124</v>
      </c>
      <c r="D21" s="8" t="n">
        <v>0.13</v>
      </c>
      <c r="E21" s="18" t="n">
        <f aca="false">ROUND(B21*D21,1)</f>
        <v>339.4</v>
      </c>
      <c r="F21" s="18" t="n">
        <f aca="false">B21-E21</f>
        <v>2271.1</v>
      </c>
      <c r="G21" s="5" t="s">
        <v>26</v>
      </c>
      <c r="H21" s="5" t="s">
        <v>148</v>
      </c>
      <c r="I21" s="8" t="n">
        <v>0</v>
      </c>
      <c r="J21" s="5" t="n">
        <v>12</v>
      </c>
      <c r="K21" s="17" t="s">
        <v>582</v>
      </c>
      <c r="L21" s="5" t="s">
        <v>118</v>
      </c>
      <c r="M21" s="17" t="s">
        <v>638</v>
      </c>
    </row>
    <row r="22" customFormat="false" ht="15" hidden="false" customHeight="false" outlineLevel="0" collapsed="false">
      <c r="A22" s="17" t="s">
        <v>639</v>
      </c>
      <c r="B22" s="18" t="n">
        <v>231.5</v>
      </c>
      <c r="C22" s="20" t="s">
        <v>128</v>
      </c>
      <c r="D22" s="8" t="n">
        <v>0</v>
      </c>
      <c r="E22" s="18" t="n">
        <f aca="false">ROUND(B22*D22,1)</f>
        <v>0</v>
      </c>
      <c r="F22" s="18" t="n">
        <f aca="false">B22-E22</f>
        <v>231.5</v>
      </c>
      <c r="G22" s="5" t="s">
        <v>26</v>
      </c>
      <c r="H22" s="5" t="s">
        <v>148</v>
      </c>
      <c r="I22" s="8" t="n">
        <v>0</v>
      </c>
      <c r="J22" s="5" t="n">
        <v>1</v>
      </c>
      <c r="K22" s="17" t="s">
        <v>129</v>
      </c>
      <c r="L22" s="5" t="s">
        <v>118</v>
      </c>
      <c r="M22" s="17" t="s">
        <v>637</v>
      </c>
    </row>
    <row r="23" customFormat="false" ht="15" hidden="false" customHeight="false" outlineLevel="0" collapsed="false">
      <c r="A23" s="9" t="s">
        <v>163</v>
      </c>
      <c r="B23" s="10" t="n">
        <f aca="false">SUM(B6:B22)</f>
        <v>6052.1</v>
      </c>
      <c r="C23" s="9"/>
      <c r="D23" s="11" t="n">
        <f aca="false">IF(B23=0,0,E23/B23)</f>
        <v>0.0945126485021728</v>
      </c>
      <c r="E23" s="10" t="n">
        <f aca="false">SUM(E6:E22)</f>
        <v>572</v>
      </c>
      <c r="F23" s="10" t="n">
        <f aca="false">SUM(F6:F22)</f>
        <v>5480.1</v>
      </c>
      <c r="G23" s="9"/>
      <c r="H23" s="9"/>
      <c r="I23" s="9"/>
      <c r="J23" s="9"/>
      <c r="K23" s="9"/>
      <c r="L23" s="9"/>
      <c r="M23" s="9"/>
    </row>
    <row r="25" customFormat="false" ht="15" hidden="false" customHeight="false" outlineLevel="0" collapsed="false">
      <c r="A25" s="12" t="s">
        <v>164</v>
      </c>
      <c r="D25" s="22" t="n">
        <f aca="false">F23*8</f>
        <v>43840.8</v>
      </c>
      <c r="E25" s="16" t="s">
        <v>165</v>
      </c>
    </row>
    <row r="26" customFormat="false" ht="15" hidden="false" customHeight="false" outlineLevel="0" collapsed="false">
      <c r="A26" s="12" t="s">
        <v>166</v>
      </c>
      <c r="D26" s="23" t="n">
        <v>0</v>
      </c>
      <c r="E26" s="16" t="s">
        <v>167</v>
      </c>
    </row>
    <row r="27" customFormat="false" ht="15" hidden="false" customHeight="false" outlineLevel="0" collapsed="false">
      <c r="A27" s="12" t="s">
        <v>168</v>
      </c>
      <c r="D27" s="24" t="n">
        <v>0.02</v>
      </c>
      <c r="E27" s="16" t="s">
        <v>640</v>
      </c>
    </row>
    <row r="28" customFormat="false" ht="15" hidden="false" customHeight="false" outlineLevel="0" collapsed="false">
      <c r="A28" s="12" t="s">
        <v>170</v>
      </c>
      <c r="D28" s="22" t="n">
        <f aca="false">(B23-D26)*(1-D27)</f>
        <v>5931.058</v>
      </c>
      <c r="E28" s="16" t="s">
        <v>171</v>
      </c>
    </row>
    <row r="29" customFormat="false" ht="15" hidden="false" customHeight="false" outlineLevel="0" collapsed="false">
      <c r="A29" s="12" t="s">
        <v>172</v>
      </c>
      <c r="D29" s="22" t="n">
        <f aca="false">D28*4</f>
        <v>23724.232</v>
      </c>
      <c r="E29" s="16" t="s">
        <v>173</v>
      </c>
    </row>
    <row r="30" customFormat="false" ht="15" hidden="false" customHeight="false" outlineLevel="0" collapsed="false">
      <c r="A30" s="12" t="s">
        <v>174</v>
      </c>
      <c r="D30" s="23" t="n">
        <v>572</v>
      </c>
    </row>
    <row r="31" customFormat="false" ht="15" hidden="false" customHeight="false" outlineLevel="0" collapsed="false">
      <c r="A31" s="12" t="s">
        <v>175</v>
      </c>
      <c r="D31" s="23" t="n">
        <v>0</v>
      </c>
      <c r="E31" s="16" t="s">
        <v>176</v>
      </c>
    </row>
    <row r="32" customFormat="false" ht="15" hidden="false" customHeight="false" outlineLevel="0" collapsed="false">
      <c r="A32" s="12" t="s">
        <v>177</v>
      </c>
      <c r="D32" s="23" t="n">
        <v>5480</v>
      </c>
    </row>
    <row r="33" customFormat="false" ht="15" hidden="false" customHeight="false" outlineLevel="0" collapsed="false">
      <c r="A33" s="12" t="s">
        <v>178</v>
      </c>
      <c r="D33" s="23" t="n">
        <v>0</v>
      </c>
      <c r="E33" s="16" t="s">
        <v>179</v>
      </c>
    </row>
    <row r="34" customFormat="false" ht="15" hidden="false" customHeight="true" outlineLevel="0" collapsed="false">
      <c r="A34" s="25" t="s">
        <v>641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</row>
  </sheetData>
  <mergeCells count="1">
    <mergeCell ref="A34:M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10" min="9" style="0" width="9"/>
    <col collapsed="false" customWidth="true" hidden="false" outlineLevel="0" max="11" min="11" style="0" width="46"/>
    <col collapsed="false" customWidth="true" hidden="false" outlineLevel="0" max="12" min="12" style="0" width="17"/>
    <col collapsed="false" customWidth="true" hidden="false" outlineLevel="0" max="13" min="13" style="0" width="54"/>
  </cols>
  <sheetData>
    <row r="1" customFormat="false" ht="16.15" hidden="false" customHeight="false" outlineLevel="0" collapsed="false">
      <c r="A1" s="14" t="s">
        <v>642</v>
      </c>
    </row>
    <row r="2" customFormat="false" ht="15" hidden="false" customHeight="false" outlineLevel="0" collapsed="false">
      <c r="A2" s="15" t="s">
        <v>643</v>
      </c>
    </row>
    <row r="3" customFormat="false" ht="15" hidden="false" customHeight="false" outlineLevel="0" collapsed="false">
      <c r="A3" s="16" t="s">
        <v>644</v>
      </c>
    </row>
    <row r="5" customFormat="false" ht="22.35" hidden="false" customHeight="false" outlineLevel="0" collapsed="false">
      <c r="A5" s="4" t="s">
        <v>102</v>
      </c>
      <c r="B5" s="4" t="s">
        <v>103</v>
      </c>
      <c r="C5" s="4" t="s">
        <v>104</v>
      </c>
      <c r="D5" s="4" t="s">
        <v>105</v>
      </c>
      <c r="E5" s="4" t="s">
        <v>106</v>
      </c>
      <c r="F5" s="4" t="s">
        <v>107</v>
      </c>
      <c r="G5" s="4" t="s">
        <v>108</v>
      </c>
      <c r="H5" s="4" t="s">
        <v>109</v>
      </c>
      <c r="I5" s="4" t="s">
        <v>110</v>
      </c>
      <c r="J5" s="4" t="s">
        <v>16</v>
      </c>
      <c r="K5" s="4" t="s">
        <v>111</v>
      </c>
      <c r="L5" s="4" t="s">
        <v>112</v>
      </c>
      <c r="M5" s="4" t="s">
        <v>113</v>
      </c>
    </row>
    <row r="6" customFormat="false" ht="22.35" hidden="false" customHeight="false" outlineLevel="0" collapsed="false">
      <c r="A6" s="17" t="s">
        <v>645</v>
      </c>
      <c r="B6" s="18" t="n">
        <v>500</v>
      </c>
      <c r="C6" s="20" t="s">
        <v>128</v>
      </c>
      <c r="D6" s="8" t="n">
        <v>0</v>
      </c>
      <c r="E6" s="18" t="n">
        <f aca="false">ROUND(B6*D6,1)</f>
        <v>0</v>
      </c>
      <c r="F6" s="18" t="n">
        <f aca="false">B6-E6</f>
        <v>500</v>
      </c>
      <c r="G6" s="5" t="s">
        <v>69</v>
      </c>
      <c r="H6" s="5" t="s">
        <v>188</v>
      </c>
      <c r="I6" s="8" t="s">
        <v>189</v>
      </c>
      <c r="J6" s="5" t="n">
        <v>0</v>
      </c>
      <c r="K6" s="17" t="s">
        <v>190</v>
      </c>
      <c r="L6" s="5" t="s">
        <v>191</v>
      </c>
      <c r="M6" s="17" t="s">
        <v>646</v>
      </c>
    </row>
    <row r="7" customFormat="false" ht="15" hidden="false" customHeight="false" outlineLevel="0" collapsed="false">
      <c r="A7" s="17" t="s">
        <v>647</v>
      </c>
      <c r="B7" s="18" t="n">
        <v>110</v>
      </c>
      <c r="C7" s="26" t="s">
        <v>230</v>
      </c>
      <c r="D7" s="8" t="n">
        <v>0</v>
      </c>
      <c r="E7" s="18" t="n">
        <f aca="false">ROUND(B7*D7,1)</f>
        <v>0</v>
      </c>
      <c r="F7" s="18" t="n">
        <f aca="false">B7-E7</f>
        <v>110</v>
      </c>
      <c r="G7" s="5" t="s">
        <v>30</v>
      </c>
      <c r="H7" s="5" t="s">
        <v>189</v>
      </c>
      <c r="I7" s="8" t="s">
        <v>189</v>
      </c>
      <c r="J7" s="5" t="n">
        <v>0</v>
      </c>
      <c r="K7" s="17" t="s">
        <v>231</v>
      </c>
      <c r="L7" s="5" t="s">
        <v>191</v>
      </c>
      <c r="M7" s="17" t="s">
        <v>648</v>
      </c>
    </row>
    <row r="8" customFormat="false" ht="15" hidden="false" customHeight="false" outlineLevel="0" collapsed="false">
      <c r="A8" s="17" t="s">
        <v>649</v>
      </c>
      <c r="B8" s="18" t="n">
        <v>110</v>
      </c>
      <c r="C8" s="26" t="s">
        <v>230</v>
      </c>
      <c r="D8" s="8" t="n">
        <v>0</v>
      </c>
      <c r="E8" s="18" t="n">
        <f aca="false">ROUND(B8*D8,1)</f>
        <v>0</v>
      </c>
      <c r="F8" s="18" t="n">
        <f aca="false">B8-E8</f>
        <v>110</v>
      </c>
      <c r="G8" s="5" t="s">
        <v>30</v>
      </c>
      <c r="H8" s="5" t="s">
        <v>189</v>
      </c>
      <c r="I8" s="8" t="s">
        <v>189</v>
      </c>
      <c r="J8" s="5" t="n">
        <v>0</v>
      </c>
      <c r="K8" s="17" t="s">
        <v>231</v>
      </c>
      <c r="L8" s="5" t="s">
        <v>191</v>
      </c>
      <c r="M8" s="17" t="s">
        <v>650</v>
      </c>
    </row>
    <row r="9" customFormat="false" ht="15" hidden="false" customHeight="false" outlineLevel="0" collapsed="false">
      <c r="A9" s="17" t="s">
        <v>493</v>
      </c>
      <c r="B9" s="18" t="n">
        <v>110</v>
      </c>
      <c r="C9" s="26" t="s">
        <v>230</v>
      </c>
      <c r="D9" s="8" t="n">
        <v>0</v>
      </c>
      <c r="E9" s="18" t="n">
        <f aca="false">ROUND(B9*D9,1)</f>
        <v>0</v>
      </c>
      <c r="F9" s="18" t="n">
        <f aca="false">B9-E9</f>
        <v>110</v>
      </c>
      <c r="G9" s="5" t="s">
        <v>69</v>
      </c>
      <c r="H9" s="5" t="s">
        <v>189</v>
      </c>
      <c r="I9" s="8" t="s">
        <v>189</v>
      </c>
      <c r="J9" s="5" t="n">
        <v>0</v>
      </c>
      <c r="K9" s="17" t="s">
        <v>231</v>
      </c>
      <c r="L9" s="5" t="s">
        <v>191</v>
      </c>
      <c r="M9" s="17" t="s">
        <v>651</v>
      </c>
    </row>
    <row r="10" customFormat="false" ht="22.35" hidden="false" customHeight="false" outlineLevel="0" collapsed="false">
      <c r="A10" s="17" t="s">
        <v>652</v>
      </c>
      <c r="B10" s="18" t="n">
        <v>110</v>
      </c>
      <c r="C10" s="20" t="s">
        <v>128</v>
      </c>
      <c r="D10" s="8" t="n">
        <v>0</v>
      </c>
      <c r="E10" s="18" t="n">
        <f aca="false">ROUND(B10*D10,1)</f>
        <v>0</v>
      </c>
      <c r="F10" s="18" t="n">
        <f aca="false">B10-E10</f>
        <v>110</v>
      </c>
      <c r="G10" s="5" t="s">
        <v>69</v>
      </c>
      <c r="H10" s="5" t="s">
        <v>188</v>
      </c>
      <c r="I10" s="8" t="s">
        <v>189</v>
      </c>
      <c r="J10" s="5" t="n">
        <v>0</v>
      </c>
      <c r="K10" s="17" t="s">
        <v>190</v>
      </c>
      <c r="L10" s="5" t="s">
        <v>191</v>
      </c>
      <c r="M10" s="17" t="s">
        <v>653</v>
      </c>
    </row>
    <row r="11" customFormat="false" ht="22.35" hidden="false" customHeight="false" outlineLevel="0" collapsed="false">
      <c r="A11" s="17" t="s">
        <v>654</v>
      </c>
      <c r="B11" s="18" t="n">
        <v>110</v>
      </c>
      <c r="C11" s="20" t="s">
        <v>128</v>
      </c>
      <c r="D11" s="8" t="n">
        <v>0</v>
      </c>
      <c r="E11" s="18" t="n">
        <f aca="false">ROUND(B11*D11,1)</f>
        <v>0</v>
      </c>
      <c r="F11" s="18" t="n">
        <f aca="false">B11-E11</f>
        <v>110</v>
      </c>
      <c r="G11" s="5" t="s">
        <v>69</v>
      </c>
      <c r="H11" s="5" t="s">
        <v>188</v>
      </c>
      <c r="I11" s="8" t="s">
        <v>189</v>
      </c>
      <c r="J11" s="5" t="n">
        <v>0</v>
      </c>
      <c r="K11" s="17" t="s">
        <v>190</v>
      </c>
      <c r="L11" s="5" t="s">
        <v>191</v>
      </c>
      <c r="M11" s="17" t="s">
        <v>655</v>
      </c>
    </row>
    <row r="12" customFormat="false" ht="22.35" hidden="false" customHeight="false" outlineLevel="0" collapsed="false">
      <c r="A12" s="17" t="s">
        <v>656</v>
      </c>
      <c r="B12" s="18" t="n">
        <v>110</v>
      </c>
      <c r="C12" s="20" t="s">
        <v>128</v>
      </c>
      <c r="D12" s="8" t="n">
        <v>0</v>
      </c>
      <c r="E12" s="18" t="n">
        <f aca="false">ROUND(B12*D12,1)</f>
        <v>0</v>
      </c>
      <c r="F12" s="18" t="n">
        <f aca="false">B12-E12</f>
        <v>110</v>
      </c>
      <c r="G12" s="5" t="s">
        <v>69</v>
      </c>
      <c r="H12" s="5" t="s">
        <v>188</v>
      </c>
      <c r="I12" s="8" t="s">
        <v>189</v>
      </c>
      <c r="J12" s="5" t="n">
        <v>0</v>
      </c>
      <c r="K12" s="17" t="s">
        <v>190</v>
      </c>
      <c r="L12" s="5" t="s">
        <v>191</v>
      </c>
      <c r="M12" s="17" t="s">
        <v>657</v>
      </c>
    </row>
    <row r="13" customFormat="false" ht="22.35" hidden="false" customHeight="false" outlineLevel="0" collapsed="false">
      <c r="A13" s="17" t="s">
        <v>658</v>
      </c>
      <c r="B13" s="18" t="n">
        <v>110</v>
      </c>
      <c r="C13" s="20" t="s">
        <v>128</v>
      </c>
      <c r="D13" s="8" t="n">
        <v>0</v>
      </c>
      <c r="E13" s="18" t="n">
        <f aca="false">ROUND(B13*D13,1)</f>
        <v>0</v>
      </c>
      <c r="F13" s="18" t="n">
        <f aca="false">B13-E13</f>
        <v>110</v>
      </c>
      <c r="G13" s="5" t="s">
        <v>69</v>
      </c>
      <c r="H13" s="5" t="s">
        <v>188</v>
      </c>
      <c r="I13" s="8" t="s">
        <v>189</v>
      </c>
      <c r="J13" s="5" t="n">
        <v>0</v>
      </c>
      <c r="K13" s="17" t="s">
        <v>190</v>
      </c>
      <c r="L13" s="5" t="s">
        <v>191</v>
      </c>
      <c r="M13" s="17" t="s">
        <v>659</v>
      </c>
    </row>
    <row r="14" customFormat="false" ht="22.35" hidden="false" customHeight="false" outlineLevel="0" collapsed="false">
      <c r="A14" s="17" t="s">
        <v>433</v>
      </c>
      <c r="B14" s="18" t="n">
        <v>110</v>
      </c>
      <c r="C14" s="20" t="s">
        <v>128</v>
      </c>
      <c r="D14" s="8" t="n">
        <v>0</v>
      </c>
      <c r="E14" s="18" t="n">
        <f aca="false">ROUND(B14*D14,1)</f>
        <v>0</v>
      </c>
      <c r="F14" s="18" t="n">
        <f aca="false">B14-E14</f>
        <v>110</v>
      </c>
      <c r="G14" s="5" t="s">
        <v>69</v>
      </c>
      <c r="H14" s="5" t="s">
        <v>188</v>
      </c>
      <c r="I14" s="8" t="s">
        <v>189</v>
      </c>
      <c r="J14" s="5" t="n">
        <v>0</v>
      </c>
      <c r="K14" s="17" t="s">
        <v>190</v>
      </c>
      <c r="L14" s="5" t="s">
        <v>191</v>
      </c>
      <c r="M14" s="17" t="s">
        <v>660</v>
      </c>
    </row>
    <row r="15" customFormat="false" ht="32.8" hidden="false" customHeight="false" outlineLevel="0" collapsed="false">
      <c r="A15" s="17" t="s">
        <v>435</v>
      </c>
      <c r="B15" s="18" t="n">
        <v>110</v>
      </c>
      <c r="C15" s="20" t="s">
        <v>128</v>
      </c>
      <c r="D15" s="8" t="n">
        <v>0</v>
      </c>
      <c r="E15" s="18" t="n">
        <f aca="false">ROUND(B15*D15,1)</f>
        <v>0</v>
      </c>
      <c r="F15" s="18" t="n">
        <f aca="false">B15-E15</f>
        <v>110</v>
      </c>
      <c r="G15" s="5" t="s">
        <v>30</v>
      </c>
      <c r="H15" s="5" t="s">
        <v>188</v>
      </c>
      <c r="I15" s="8" t="s">
        <v>189</v>
      </c>
      <c r="J15" s="5" t="n">
        <v>0</v>
      </c>
      <c r="K15" s="17" t="s">
        <v>436</v>
      </c>
      <c r="L15" s="5" t="s">
        <v>191</v>
      </c>
      <c r="M15" s="17" t="s">
        <v>661</v>
      </c>
    </row>
    <row r="16" customFormat="false" ht="15" hidden="false" customHeight="false" outlineLevel="0" collapsed="false">
      <c r="A16" s="9" t="s">
        <v>163</v>
      </c>
      <c r="B16" s="10" t="n">
        <f aca="false">SUM(B6:B15)</f>
        <v>1490</v>
      </c>
      <c r="C16" s="9"/>
      <c r="D16" s="11" t="n">
        <f aca="false">IF(B16=0,0,E16/B16)</f>
        <v>0</v>
      </c>
      <c r="E16" s="10" t="n">
        <f aca="false">SUM(E6:E15)</f>
        <v>0</v>
      </c>
      <c r="F16" s="10" t="n">
        <f aca="false">SUM(F6:F15)</f>
        <v>1490</v>
      </c>
      <c r="G16" s="9"/>
      <c r="H16" s="9"/>
      <c r="I16" s="9"/>
      <c r="J16" s="9"/>
      <c r="K16" s="9"/>
      <c r="L16" s="9"/>
      <c r="M16" s="9"/>
    </row>
    <row r="18" customFormat="false" ht="15" hidden="false" customHeight="false" outlineLevel="0" collapsed="false">
      <c r="A18" s="12" t="s">
        <v>164</v>
      </c>
      <c r="D18" s="22" t="n">
        <f aca="false">F16*8</f>
        <v>11920</v>
      </c>
      <c r="E18" s="16" t="s">
        <v>165</v>
      </c>
    </row>
    <row r="19" customFormat="false" ht="15" hidden="false" customHeight="false" outlineLevel="0" collapsed="false">
      <c r="A19" s="12" t="s">
        <v>166</v>
      </c>
      <c r="D19" s="23" t="n">
        <v>330</v>
      </c>
      <c r="E19" s="16" t="s">
        <v>167</v>
      </c>
    </row>
    <row r="20" customFormat="false" ht="15" hidden="false" customHeight="false" outlineLevel="0" collapsed="false">
      <c r="A20" s="12" t="s">
        <v>168</v>
      </c>
      <c r="D20" s="24" t="n">
        <v>0.05</v>
      </c>
      <c r="E20" s="16" t="s">
        <v>662</v>
      </c>
    </row>
    <row r="21" customFormat="false" ht="15" hidden="false" customHeight="false" outlineLevel="0" collapsed="false">
      <c r="A21" s="12" t="s">
        <v>170</v>
      </c>
      <c r="D21" s="22" t="n">
        <f aca="false">(B16-D19)*(1-D20)</f>
        <v>1102</v>
      </c>
      <c r="E21" s="16" t="s">
        <v>171</v>
      </c>
    </row>
    <row r="22" customFormat="false" ht="15" hidden="false" customHeight="false" outlineLevel="0" collapsed="false">
      <c r="A22" s="12" t="s">
        <v>172</v>
      </c>
      <c r="D22" s="22" t="n">
        <f aca="false">D21*4</f>
        <v>4408</v>
      </c>
      <c r="E22" s="16" t="s">
        <v>173</v>
      </c>
    </row>
    <row r="23" customFormat="false" ht="15" hidden="false" customHeight="false" outlineLevel="0" collapsed="false">
      <c r="A23" s="12" t="s">
        <v>174</v>
      </c>
      <c r="D23" s="23" t="n">
        <v>0</v>
      </c>
    </row>
    <row r="24" customFormat="false" ht="15" hidden="false" customHeight="false" outlineLevel="0" collapsed="false">
      <c r="A24" s="12" t="s">
        <v>175</v>
      </c>
      <c r="D24" s="23" t="n">
        <v>0</v>
      </c>
      <c r="E24" s="16" t="s">
        <v>176</v>
      </c>
    </row>
    <row r="25" customFormat="false" ht="15" hidden="false" customHeight="false" outlineLevel="0" collapsed="false">
      <c r="A25" s="12" t="s">
        <v>177</v>
      </c>
      <c r="D25" s="23" t="n">
        <v>0</v>
      </c>
    </row>
    <row r="26" customFormat="false" ht="15" hidden="false" customHeight="false" outlineLevel="0" collapsed="false">
      <c r="A26" s="12" t="s">
        <v>178</v>
      </c>
      <c r="D26" s="23" t="n">
        <v>1490</v>
      </c>
      <c r="E26" s="16" t="s">
        <v>179</v>
      </c>
    </row>
    <row r="27" customFormat="false" ht="15" hidden="false" customHeight="true" outlineLevel="0" collapsed="false">
      <c r="A27" s="25" t="s">
        <v>663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</row>
  </sheetData>
  <mergeCells count="1">
    <mergeCell ref="A27:M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10" min="9" style="0" width="9"/>
    <col collapsed="false" customWidth="true" hidden="false" outlineLevel="0" max="11" min="11" style="0" width="46"/>
    <col collapsed="false" customWidth="true" hidden="false" outlineLevel="0" max="12" min="12" style="0" width="17"/>
    <col collapsed="false" customWidth="true" hidden="false" outlineLevel="0" max="13" min="13" style="0" width="54"/>
  </cols>
  <sheetData>
    <row r="1" customFormat="false" ht="16.15" hidden="false" customHeight="false" outlineLevel="0" collapsed="false">
      <c r="A1" s="14" t="s">
        <v>664</v>
      </c>
    </row>
    <row r="2" customFormat="false" ht="15" hidden="false" customHeight="false" outlineLevel="0" collapsed="false">
      <c r="A2" s="15" t="s">
        <v>665</v>
      </c>
    </row>
    <row r="3" customFormat="false" ht="15" hidden="false" customHeight="false" outlineLevel="0" collapsed="false">
      <c r="A3" s="16" t="s">
        <v>666</v>
      </c>
    </row>
    <row r="5" customFormat="false" ht="22.35" hidden="false" customHeight="false" outlineLevel="0" collapsed="false">
      <c r="A5" s="4" t="s">
        <v>102</v>
      </c>
      <c r="B5" s="4" t="s">
        <v>103</v>
      </c>
      <c r="C5" s="4" t="s">
        <v>104</v>
      </c>
      <c r="D5" s="4" t="s">
        <v>105</v>
      </c>
      <c r="E5" s="4" t="s">
        <v>106</v>
      </c>
      <c r="F5" s="4" t="s">
        <v>107</v>
      </c>
      <c r="G5" s="4" t="s">
        <v>108</v>
      </c>
      <c r="H5" s="4" t="s">
        <v>109</v>
      </c>
      <c r="I5" s="4" t="s">
        <v>110</v>
      </c>
      <c r="J5" s="4" t="s">
        <v>16</v>
      </c>
      <c r="K5" s="4" t="s">
        <v>111</v>
      </c>
      <c r="L5" s="4" t="s">
        <v>112</v>
      </c>
      <c r="M5" s="4" t="s">
        <v>113</v>
      </c>
    </row>
    <row r="6" customFormat="false" ht="32.8" hidden="false" customHeight="false" outlineLevel="0" collapsed="false">
      <c r="A6" s="17" t="s">
        <v>667</v>
      </c>
      <c r="B6" s="18" t="n">
        <v>1200</v>
      </c>
      <c r="C6" s="19" t="s">
        <v>115</v>
      </c>
      <c r="D6" s="8" t="n">
        <v>1</v>
      </c>
      <c r="E6" s="18" t="n">
        <f aca="false">ROUND(B6*D6,1)</f>
        <v>1200</v>
      </c>
      <c r="F6" s="18" t="n">
        <f aca="false">B6-E6</f>
        <v>0</v>
      </c>
      <c r="G6" s="5" t="s">
        <v>69</v>
      </c>
      <c r="H6" s="5" t="s">
        <v>188</v>
      </c>
      <c r="I6" s="8" t="s">
        <v>189</v>
      </c>
      <c r="J6" s="5" t="n">
        <v>0</v>
      </c>
      <c r="K6" s="17" t="s">
        <v>190</v>
      </c>
      <c r="L6" s="5" t="s">
        <v>191</v>
      </c>
      <c r="M6" s="17" t="s">
        <v>668</v>
      </c>
    </row>
    <row r="7" customFormat="false" ht="22.35" hidden="false" customHeight="false" outlineLevel="0" collapsed="false">
      <c r="A7" s="17" t="s">
        <v>669</v>
      </c>
      <c r="B7" s="18" t="n">
        <v>536</v>
      </c>
      <c r="C7" s="19" t="s">
        <v>115</v>
      </c>
      <c r="D7" s="8" t="n">
        <v>1</v>
      </c>
      <c r="E7" s="18" t="n">
        <f aca="false">ROUND(B7*D7,1)</f>
        <v>536</v>
      </c>
      <c r="F7" s="18" t="n">
        <f aca="false">B7-E7</f>
        <v>0</v>
      </c>
      <c r="G7" s="5" t="s">
        <v>69</v>
      </c>
      <c r="H7" s="5" t="s">
        <v>188</v>
      </c>
      <c r="I7" s="8" t="s">
        <v>189</v>
      </c>
      <c r="J7" s="5" t="n">
        <v>0</v>
      </c>
      <c r="K7" s="17" t="s">
        <v>190</v>
      </c>
      <c r="L7" s="5" t="s">
        <v>191</v>
      </c>
      <c r="M7" s="17" t="s">
        <v>670</v>
      </c>
    </row>
    <row r="8" customFormat="false" ht="22.35" hidden="false" customHeight="false" outlineLevel="0" collapsed="false">
      <c r="A8" s="17" t="s">
        <v>671</v>
      </c>
      <c r="B8" s="18" t="n">
        <v>536</v>
      </c>
      <c r="C8" s="19" t="s">
        <v>115</v>
      </c>
      <c r="D8" s="8" t="n">
        <v>1</v>
      </c>
      <c r="E8" s="18" t="n">
        <f aca="false">ROUND(B8*D8,1)</f>
        <v>536</v>
      </c>
      <c r="F8" s="18" t="n">
        <f aca="false">B8-E8</f>
        <v>0</v>
      </c>
      <c r="G8" s="5" t="s">
        <v>69</v>
      </c>
      <c r="H8" s="5" t="s">
        <v>188</v>
      </c>
      <c r="I8" s="8" t="s">
        <v>189</v>
      </c>
      <c r="J8" s="5" t="n">
        <v>0</v>
      </c>
      <c r="K8" s="17" t="s">
        <v>190</v>
      </c>
      <c r="L8" s="5" t="s">
        <v>191</v>
      </c>
      <c r="M8" s="17" t="s">
        <v>672</v>
      </c>
    </row>
    <row r="9" customFormat="false" ht="22.35" hidden="false" customHeight="false" outlineLevel="0" collapsed="false">
      <c r="A9" s="17" t="s">
        <v>673</v>
      </c>
      <c r="B9" s="18" t="n">
        <v>536</v>
      </c>
      <c r="C9" s="19" t="s">
        <v>115</v>
      </c>
      <c r="D9" s="8" t="n">
        <v>1</v>
      </c>
      <c r="E9" s="18" t="n">
        <f aca="false">ROUND(B9*D9,1)</f>
        <v>536</v>
      </c>
      <c r="F9" s="18" t="n">
        <f aca="false">B9-E9</f>
        <v>0</v>
      </c>
      <c r="G9" s="5" t="s">
        <v>69</v>
      </c>
      <c r="H9" s="5" t="s">
        <v>188</v>
      </c>
      <c r="I9" s="8" t="s">
        <v>189</v>
      </c>
      <c r="J9" s="5" t="n">
        <v>0</v>
      </c>
      <c r="K9" s="17" t="s">
        <v>190</v>
      </c>
      <c r="L9" s="5" t="s">
        <v>191</v>
      </c>
      <c r="M9" s="17" t="s">
        <v>674</v>
      </c>
    </row>
    <row r="10" customFormat="false" ht="32.8" hidden="false" customHeight="false" outlineLevel="0" collapsed="false">
      <c r="A10" s="17" t="s">
        <v>675</v>
      </c>
      <c r="B10" s="18" t="n">
        <v>536</v>
      </c>
      <c r="C10" s="19" t="s">
        <v>115</v>
      </c>
      <c r="D10" s="8" t="n">
        <v>1</v>
      </c>
      <c r="E10" s="18" t="n">
        <f aca="false">ROUND(B10*D10,1)</f>
        <v>536</v>
      </c>
      <c r="F10" s="18" t="n">
        <f aca="false">B10-E10</f>
        <v>0</v>
      </c>
      <c r="G10" s="5" t="s">
        <v>69</v>
      </c>
      <c r="H10" s="5" t="s">
        <v>188</v>
      </c>
      <c r="I10" s="8" t="s">
        <v>189</v>
      </c>
      <c r="J10" s="5" t="n">
        <v>0</v>
      </c>
      <c r="K10" s="17" t="s">
        <v>190</v>
      </c>
      <c r="L10" s="5" t="s">
        <v>191</v>
      </c>
      <c r="M10" s="17" t="s">
        <v>676</v>
      </c>
    </row>
    <row r="11" customFormat="false" ht="22.35" hidden="false" customHeight="false" outlineLevel="0" collapsed="false">
      <c r="A11" s="17" t="s">
        <v>677</v>
      </c>
      <c r="B11" s="18" t="n">
        <v>536</v>
      </c>
      <c r="C11" s="19" t="s">
        <v>115</v>
      </c>
      <c r="D11" s="8" t="n">
        <v>1</v>
      </c>
      <c r="E11" s="18" t="n">
        <f aca="false">ROUND(B11*D11,1)</f>
        <v>536</v>
      </c>
      <c r="F11" s="18" t="n">
        <f aca="false">B11-E11</f>
        <v>0</v>
      </c>
      <c r="G11" s="5" t="s">
        <v>69</v>
      </c>
      <c r="H11" s="5" t="s">
        <v>188</v>
      </c>
      <c r="I11" s="8" t="s">
        <v>189</v>
      </c>
      <c r="J11" s="5" t="n">
        <v>0</v>
      </c>
      <c r="K11" s="17" t="s">
        <v>190</v>
      </c>
      <c r="L11" s="5" t="s">
        <v>191</v>
      </c>
      <c r="M11" s="17" t="s">
        <v>678</v>
      </c>
    </row>
    <row r="12" customFormat="false" ht="22.35" hidden="false" customHeight="false" outlineLevel="0" collapsed="false">
      <c r="A12" s="17" t="s">
        <v>679</v>
      </c>
      <c r="B12" s="18" t="n">
        <v>536</v>
      </c>
      <c r="C12" s="19" t="s">
        <v>115</v>
      </c>
      <c r="D12" s="8" t="n">
        <v>1</v>
      </c>
      <c r="E12" s="18" t="n">
        <f aca="false">ROUND(B12*D12,1)</f>
        <v>536</v>
      </c>
      <c r="F12" s="18" t="n">
        <f aca="false">B12-E12</f>
        <v>0</v>
      </c>
      <c r="G12" s="5" t="s">
        <v>69</v>
      </c>
      <c r="H12" s="5" t="s">
        <v>188</v>
      </c>
      <c r="I12" s="8" t="s">
        <v>189</v>
      </c>
      <c r="J12" s="5" t="n">
        <v>0</v>
      </c>
      <c r="K12" s="17" t="s">
        <v>190</v>
      </c>
      <c r="L12" s="5" t="s">
        <v>191</v>
      </c>
      <c r="M12" s="17" t="s">
        <v>678</v>
      </c>
    </row>
    <row r="13" customFormat="false" ht="22.35" hidden="false" customHeight="false" outlineLevel="0" collapsed="false">
      <c r="A13" s="17" t="s">
        <v>680</v>
      </c>
      <c r="B13" s="18" t="n">
        <v>536</v>
      </c>
      <c r="C13" s="19" t="s">
        <v>115</v>
      </c>
      <c r="D13" s="8" t="n">
        <v>1</v>
      </c>
      <c r="E13" s="18" t="n">
        <f aca="false">ROUND(B13*D13,1)</f>
        <v>536</v>
      </c>
      <c r="F13" s="18" t="n">
        <f aca="false">B13-E13</f>
        <v>0</v>
      </c>
      <c r="G13" s="5" t="s">
        <v>69</v>
      </c>
      <c r="H13" s="5" t="s">
        <v>188</v>
      </c>
      <c r="I13" s="8" t="s">
        <v>189</v>
      </c>
      <c r="J13" s="5" t="n">
        <v>0</v>
      </c>
      <c r="K13" s="17" t="s">
        <v>190</v>
      </c>
      <c r="L13" s="5" t="s">
        <v>191</v>
      </c>
      <c r="M13" s="17" t="s">
        <v>681</v>
      </c>
    </row>
    <row r="14" customFormat="false" ht="15" hidden="false" customHeight="false" outlineLevel="0" collapsed="false">
      <c r="A14" s="9" t="s">
        <v>163</v>
      </c>
      <c r="B14" s="10" t="n">
        <f aca="false">SUM(B6:B13)</f>
        <v>4952</v>
      </c>
      <c r="C14" s="9"/>
      <c r="D14" s="11" t="n">
        <f aca="false">IF(B14=0,0,E14/B14)</f>
        <v>1</v>
      </c>
      <c r="E14" s="10" t="n">
        <f aca="false">SUM(E6:E13)</f>
        <v>4952</v>
      </c>
      <c r="F14" s="10" t="n">
        <f aca="false">SUM(F6:F13)</f>
        <v>0</v>
      </c>
      <c r="G14" s="9"/>
      <c r="H14" s="9"/>
      <c r="I14" s="9"/>
      <c r="J14" s="9"/>
      <c r="K14" s="9"/>
      <c r="L14" s="9"/>
      <c r="M14" s="9"/>
    </row>
    <row r="16" customFormat="false" ht="15" hidden="false" customHeight="false" outlineLevel="0" collapsed="false">
      <c r="A16" s="12" t="s">
        <v>164</v>
      </c>
      <c r="D16" s="22" t="n">
        <f aca="false">F14*8</f>
        <v>0</v>
      </c>
      <c r="E16" s="16" t="s">
        <v>165</v>
      </c>
    </row>
    <row r="17" customFormat="false" ht="15" hidden="false" customHeight="false" outlineLevel="0" collapsed="false">
      <c r="A17" s="12" t="s">
        <v>166</v>
      </c>
      <c r="D17" s="23" t="n">
        <v>0</v>
      </c>
      <c r="E17" s="16" t="s">
        <v>167</v>
      </c>
    </row>
    <row r="18" customFormat="false" ht="15" hidden="false" customHeight="false" outlineLevel="0" collapsed="false">
      <c r="A18" s="12" t="s">
        <v>168</v>
      </c>
      <c r="D18" s="24" t="n">
        <v>0.13</v>
      </c>
      <c r="E18" s="16" t="s">
        <v>682</v>
      </c>
    </row>
    <row r="19" customFormat="false" ht="15" hidden="false" customHeight="false" outlineLevel="0" collapsed="false">
      <c r="A19" s="12" t="s">
        <v>170</v>
      </c>
      <c r="D19" s="22" t="n">
        <f aca="false">(B14-D17)*(1-D18)</f>
        <v>4308.24</v>
      </c>
      <c r="E19" s="16" t="s">
        <v>171</v>
      </c>
    </row>
    <row r="20" customFormat="false" ht="15" hidden="false" customHeight="false" outlineLevel="0" collapsed="false">
      <c r="A20" s="12" t="s">
        <v>172</v>
      </c>
      <c r="D20" s="22" t="n">
        <f aca="false">D19*4</f>
        <v>17232.96</v>
      </c>
      <c r="E20" s="16" t="s">
        <v>173</v>
      </c>
    </row>
    <row r="21" customFormat="false" ht="15" hidden="false" customHeight="false" outlineLevel="0" collapsed="false">
      <c r="A21" s="12" t="s">
        <v>174</v>
      </c>
      <c r="D21" s="23" t="n">
        <v>0</v>
      </c>
    </row>
    <row r="22" customFormat="false" ht="15" hidden="false" customHeight="false" outlineLevel="0" collapsed="false">
      <c r="A22" s="12" t="s">
        <v>175</v>
      </c>
      <c r="D22" s="23" t="n">
        <v>4952</v>
      </c>
      <c r="E22" s="16" t="s">
        <v>176</v>
      </c>
    </row>
    <row r="23" customFormat="false" ht="15" hidden="false" customHeight="false" outlineLevel="0" collapsed="false">
      <c r="A23" s="12" t="s">
        <v>177</v>
      </c>
      <c r="D23" s="23" t="n">
        <v>0</v>
      </c>
    </row>
    <row r="24" customFormat="false" ht="15" hidden="false" customHeight="false" outlineLevel="0" collapsed="false">
      <c r="A24" s="12" t="s">
        <v>178</v>
      </c>
      <c r="D24" s="23" t="n">
        <v>0</v>
      </c>
      <c r="E24" s="16" t="s">
        <v>179</v>
      </c>
    </row>
    <row r="25" customFormat="false" ht="15" hidden="false" customHeight="true" outlineLevel="0" collapsed="false">
      <c r="A25" s="25" t="s">
        <v>683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</row>
  </sheetData>
  <mergeCells count="1">
    <mergeCell ref="A25:M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10" min="9" style="0" width="9"/>
    <col collapsed="false" customWidth="true" hidden="false" outlineLevel="0" max="11" min="11" style="0" width="46"/>
    <col collapsed="false" customWidth="true" hidden="false" outlineLevel="0" max="12" min="12" style="0" width="17"/>
    <col collapsed="false" customWidth="true" hidden="false" outlineLevel="0" max="13" min="13" style="0" width="54"/>
  </cols>
  <sheetData>
    <row r="1" customFormat="false" ht="16.15" hidden="false" customHeight="false" outlineLevel="0" collapsed="false">
      <c r="A1" s="14" t="s">
        <v>684</v>
      </c>
    </row>
    <row r="2" customFormat="false" ht="15" hidden="false" customHeight="false" outlineLevel="0" collapsed="false">
      <c r="A2" s="15" t="s">
        <v>685</v>
      </c>
    </row>
    <row r="3" customFormat="false" ht="15" hidden="false" customHeight="false" outlineLevel="0" collapsed="false">
      <c r="A3" s="16" t="s">
        <v>686</v>
      </c>
    </row>
    <row r="5" customFormat="false" ht="22.35" hidden="false" customHeight="false" outlineLevel="0" collapsed="false">
      <c r="A5" s="4" t="s">
        <v>102</v>
      </c>
      <c r="B5" s="4" t="s">
        <v>103</v>
      </c>
      <c r="C5" s="4" t="s">
        <v>104</v>
      </c>
      <c r="D5" s="4" t="s">
        <v>105</v>
      </c>
      <c r="E5" s="4" t="s">
        <v>106</v>
      </c>
      <c r="F5" s="4" t="s">
        <v>107</v>
      </c>
      <c r="G5" s="4" t="s">
        <v>108</v>
      </c>
      <c r="H5" s="4" t="s">
        <v>109</v>
      </c>
      <c r="I5" s="4" t="s">
        <v>110</v>
      </c>
      <c r="J5" s="4" t="s">
        <v>16</v>
      </c>
      <c r="K5" s="4" t="s">
        <v>111</v>
      </c>
      <c r="L5" s="4" t="s">
        <v>112</v>
      </c>
      <c r="M5" s="4" t="s">
        <v>113</v>
      </c>
    </row>
    <row r="6" customFormat="false" ht="22.35" hidden="false" customHeight="false" outlineLevel="0" collapsed="false">
      <c r="A6" s="17" t="s">
        <v>687</v>
      </c>
      <c r="B6" s="18" t="n">
        <v>231</v>
      </c>
      <c r="C6" s="20" t="s">
        <v>128</v>
      </c>
      <c r="D6" s="8" t="n">
        <v>0</v>
      </c>
      <c r="E6" s="18" t="n">
        <f aca="false">ROUND(B6*D6,1)</f>
        <v>0</v>
      </c>
      <c r="F6" s="18" t="n">
        <f aca="false">B6-E6</f>
        <v>231</v>
      </c>
      <c r="G6" s="5" t="s">
        <v>69</v>
      </c>
      <c r="H6" s="5" t="s">
        <v>188</v>
      </c>
      <c r="I6" s="8" t="s">
        <v>189</v>
      </c>
      <c r="J6" s="5" t="n">
        <v>0</v>
      </c>
      <c r="K6" s="17" t="s">
        <v>190</v>
      </c>
      <c r="L6" s="5" t="s">
        <v>191</v>
      </c>
      <c r="M6" s="17" t="s">
        <v>688</v>
      </c>
    </row>
    <row r="7" customFormat="false" ht="22.35" hidden="false" customHeight="false" outlineLevel="0" collapsed="false">
      <c r="A7" s="17" t="s">
        <v>689</v>
      </c>
      <c r="B7" s="18" t="n">
        <v>209</v>
      </c>
      <c r="C7" s="20" t="s">
        <v>128</v>
      </c>
      <c r="D7" s="8" t="n">
        <v>0</v>
      </c>
      <c r="E7" s="18" t="n">
        <f aca="false">ROUND(B7*D7,1)</f>
        <v>0</v>
      </c>
      <c r="F7" s="18" t="n">
        <f aca="false">B7-E7</f>
        <v>209</v>
      </c>
      <c r="G7" s="5" t="s">
        <v>69</v>
      </c>
      <c r="H7" s="5" t="s">
        <v>188</v>
      </c>
      <c r="I7" s="8" t="s">
        <v>189</v>
      </c>
      <c r="J7" s="5" t="n">
        <v>0</v>
      </c>
      <c r="K7" s="17" t="s">
        <v>190</v>
      </c>
      <c r="L7" s="5" t="s">
        <v>191</v>
      </c>
      <c r="M7" s="17" t="s">
        <v>690</v>
      </c>
    </row>
    <row r="8" customFormat="false" ht="32.8" hidden="false" customHeight="false" outlineLevel="0" collapsed="false">
      <c r="A8" s="17" t="s">
        <v>290</v>
      </c>
      <c r="B8" s="18" t="n">
        <v>209</v>
      </c>
      <c r="C8" s="20" t="s">
        <v>128</v>
      </c>
      <c r="D8" s="8" t="n">
        <v>0</v>
      </c>
      <c r="E8" s="18" t="n">
        <f aca="false">ROUND(B8*D8,1)</f>
        <v>0</v>
      </c>
      <c r="F8" s="18" t="n">
        <f aca="false">B8-E8</f>
        <v>209</v>
      </c>
      <c r="G8" s="5" t="s">
        <v>30</v>
      </c>
      <c r="H8" s="5" t="s">
        <v>188</v>
      </c>
      <c r="I8" s="8" t="s">
        <v>189</v>
      </c>
      <c r="J8" s="5" t="n">
        <v>0</v>
      </c>
      <c r="K8" s="17" t="s">
        <v>691</v>
      </c>
      <c r="L8" s="5" t="s">
        <v>191</v>
      </c>
      <c r="M8" s="17" t="s">
        <v>692</v>
      </c>
    </row>
    <row r="9" customFormat="false" ht="32.8" hidden="false" customHeight="false" outlineLevel="0" collapsed="false">
      <c r="A9" s="17" t="s">
        <v>321</v>
      </c>
      <c r="B9" s="18" t="n">
        <v>209</v>
      </c>
      <c r="C9" s="20" t="s">
        <v>128</v>
      </c>
      <c r="D9" s="8" t="n">
        <v>0</v>
      </c>
      <c r="E9" s="18" t="n">
        <f aca="false">ROUND(B9*D9,1)</f>
        <v>0</v>
      </c>
      <c r="F9" s="18" t="n">
        <f aca="false">B9-E9</f>
        <v>209</v>
      </c>
      <c r="G9" s="5" t="s">
        <v>30</v>
      </c>
      <c r="H9" s="5" t="s">
        <v>188</v>
      </c>
      <c r="I9" s="8" t="s">
        <v>189</v>
      </c>
      <c r="J9" s="5" t="n">
        <v>0</v>
      </c>
      <c r="K9" s="17" t="s">
        <v>693</v>
      </c>
      <c r="L9" s="5" t="s">
        <v>191</v>
      </c>
      <c r="M9" s="17" t="s">
        <v>694</v>
      </c>
    </row>
    <row r="10" customFormat="false" ht="22.35" hidden="false" customHeight="false" outlineLevel="0" collapsed="false">
      <c r="A10" s="17" t="s">
        <v>695</v>
      </c>
      <c r="B10" s="18" t="n">
        <v>215</v>
      </c>
      <c r="C10" s="20" t="s">
        <v>128</v>
      </c>
      <c r="D10" s="8" t="n">
        <v>0</v>
      </c>
      <c r="E10" s="18" t="n">
        <f aca="false">ROUND(B10*D10,1)</f>
        <v>0</v>
      </c>
      <c r="F10" s="18" t="n">
        <f aca="false">B10-E10</f>
        <v>215</v>
      </c>
      <c r="G10" s="5" t="s">
        <v>69</v>
      </c>
      <c r="H10" s="5" t="s">
        <v>188</v>
      </c>
      <c r="I10" s="8" t="s">
        <v>189</v>
      </c>
      <c r="J10" s="5" t="n">
        <v>0</v>
      </c>
      <c r="K10" s="17" t="s">
        <v>190</v>
      </c>
      <c r="L10" s="5" t="s">
        <v>191</v>
      </c>
      <c r="M10" s="17" t="s">
        <v>696</v>
      </c>
    </row>
    <row r="11" customFormat="false" ht="15" hidden="false" customHeight="false" outlineLevel="0" collapsed="false">
      <c r="A11" s="9" t="s">
        <v>163</v>
      </c>
      <c r="B11" s="10" t="n">
        <f aca="false">SUM(B6:B10)</f>
        <v>1073</v>
      </c>
      <c r="C11" s="9"/>
      <c r="D11" s="11" t="n">
        <f aca="false">IF(B11=0,0,E11/B11)</f>
        <v>0</v>
      </c>
      <c r="E11" s="10" t="n">
        <f aca="false">SUM(E6:E10)</f>
        <v>0</v>
      </c>
      <c r="F11" s="10" t="n">
        <f aca="false">SUM(F6:F10)</f>
        <v>1073</v>
      </c>
      <c r="G11" s="9"/>
      <c r="H11" s="9"/>
      <c r="I11" s="9"/>
      <c r="J11" s="9"/>
      <c r="K11" s="9"/>
      <c r="L11" s="9"/>
      <c r="M11" s="9"/>
    </row>
    <row r="13" customFormat="false" ht="15" hidden="false" customHeight="false" outlineLevel="0" collapsed="false">
      <c r="A13" s="12" t="s">
        <v>164</v>
      </c>
      <c r="D13" s="22" t="n">
        <f aca="false">F11*8</f>
        <v>8584</v>
      </c>
      <c r="E13" s="16" t="s">
        <v>165</v>
      </c>
    </row>
    <row r="14" customFormat="false" ht="15" hidden="false" customHeight="false" outlineLevel="0" collapsed="false">
      <c r="A14" s="12" t="s">
        <v>166</v>
      </c>
      <c r="D14" s="23" t="n">
        <v>0</v>
      </c>
      <c r="E14" s="16" t="s">
        <v>167</v>
      </c>
    </row>
    <row r="15" customFormat="false" ht="15" hidden="false" customHeight="false" outlineLevel="0" collapsed="false">
      <c r="A15" s="12" t="s">
        <v>168</v>
      </c>
      <c r="D15" s="24" t="n">
        <v>0.28</v>
      </c>
      <c r="E15" s="16" t="s">
        <v>609</v>
      </c>
    </row>
    <row r="16" customFormat="false" ht="15" hidden="false" customHeight="false" outlineLevel="0" collapsed="false">
      <c r="A16" s="12" t="s">
        <v>170</v>
      </c>
      <c r="D16" s="22" t="n">
        <f aca="false">(B11-D14)*(1-D15)</f>
        <v>772.56</v>
      </c>
      <c r="E16" s="16" t="s">
        <v>171</v>
      </c>
    </row>
    <row r="17" customFormat="false" ht="15" hidden="false" customHeight="false" outlineLevel="0" collapsed="false">
      <c r="A17" s="12" t="s">
        <v>172</v>
      </c>
      <c r="D17" s="22" t="n">
        <f aca="false">D16*4</f>
        <v>3090.24</v>
      </c>
      <c r="E17" s="16" t="s">
        <v>173</v>
      </c>
    </row>
    <row r="18" customFormat="false" ht="15" hidden="false" customHeight="false" outlineLevel="0" collapsed="false">
      <c r="A18" s="12" t="s">
        <v>174</v>
      </c>
      <c r="D18" s="23" t="n">
        <v>0</v>
      </c>
    </row>
    <row r="19" customFormat="false" ht="15" hidden="false" customHeight="false" outlineLevel="0" collapsed="false">
      <c r="A19" s="12" t="s">
        <v>175</v>
      </c>
      <c r="D19" s="23" t="n">
        <v>0</v>
      </c>
      <c r="E19" s="16" t="s">
        <v>176</v>
      </c>
    </row>
    <row r="20" customFormat="false" ht="15" hidden="false" customHeight="false" outlineLevel="0" collapsed="false">
      <c r="A20" s="12" t="s">
        <v>177</v>
      </c>
      <c r="D20" s="23" t="n">
        <v>0</v>
      </c>
    </row>
    <row r="21" customFormat="false" ht="15" hidden="false" customHeight="false" outlineLevel="0" collapsed="false">
      <c r="A21" s="12" t="s">
        <v>178</v>
      </c>
      <c r="D21" s="23" t="n">
        <v>1073</v>
      </c>
      <c r="E21" s="16" t="s">
        <v>179</v>
      </c>
    </row>
    <row r="22" customFormat="false" ht="15" hidden="false" customHeight="true" outlineLevel="0" collapsed="false">
      <c r="A22" s="25" t="s">
        <v>610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</row>
  </sheetData>
  <mergeCells count="1">
    <mergeCell ref="A22:M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2026-08-19T12:43:21Z</dcterms:created>
  <dc:creator>openpyxl</dc:creator>
  <dc:description/>
  <dc:language>en-US</dc:language>
  <cp:lastModifiedBy/>
  <dcterms:modified xsi:type="dcterms:W3CDTF">2026-08-19T12:43:21Z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