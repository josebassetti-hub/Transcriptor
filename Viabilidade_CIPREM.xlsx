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DRE_PVV_2025" sheetId="3" state="visible" r:id="rId3"/>
    <sheet name="Producao_Receita" sheetId="4" state="visible" r:id="rId4"/>
    <sheet name="Custos" sheetId="5" state="visible" r:id="rId5"/>
    <sheet name="FNE_SAC" sheetId="6" state="visible" r:id="rId6"/>
    <sheet name="DRE_Projetada" sheetId="7" state="visible" r:id="rId7"/>
    <sheet name="Fluxo_Indicadores" sheetId="8" state="visible" r:id="rId8"/>
    <sheet name="Capacidade_BNB" sheetId="9" state="visible" r:id="rId9"/>
    <sheet name="Sensibilida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B7791F"/>
      <sz val="10"/>
    </font>
    <font>
      <name val="Arial"/>
      <b val="1"/>
      <color rgb="002E7D46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3" t="inlineStr"/>
    </row>
    <row r="4">
      <c r="A4" s="4" t="inlineStr">
        <is>
          <t>COMO USAR: edite SOMENTE as células AZUIS da aba "Premissas" (as amarelas são as premissas-chave a validar).</t>
        </is>
      </c>
    </row>
    <row r="5">
      <c r="A5" s="3" t="inlineStr">
        <is>
          <t>Todas as demais abas recalculam automaticamente. Não edite células pretas (fórmulas) nem verdes (links entre abas).</t>
        </is>
      </c>
    </row>
    <row r="6">
      <c r="A6" s="3" t="inlineStr"/>
    </row>
    <row r="7">
      <c r="A7" s="4" t="inlineStr">
        <is>
          <t>ABAS: Premissas → entradas | DRE_PVV_2025 → benchmark real | Producao_Receita / Custos / DRE_Projetada → projeção 12 anos</t>
        </is>
      </c>
    </row>
    <row r="8">
      <c r="A8" s="3" t="inlineStr">
        <is>
          <t>FNE_SAC → financiamento | Fluxo_Indicadores → TIR, VPL, payback, DSCR | Capacidade_BNB → janela 30-50% (motor oficial)</t>
        </is>
      </c>
    </row>
    <row r="9">
      <c r="A9" s="3" t="inlineStr">
        <is>
          <t>Sensibilidade → resumo dos cenários prontos.</t>
        </is>
      </c>
    </row>
    <row r="10">
      <c r="A10" s="3" t="inlineStr"/>
    </row>
    <row r="11">
      <c r="A11" s="4" t="inlineStr">
        <is>
          <t>TRÊS AVISOS IMPORTANTES:</t>
        </is>
      </c>
    </row>
    <row r="12">
      <c r="A12" s="3" t="inlineStr">
        <is>
          <t>1) CUSTO PADRÃO BNB: calculado da DRE real da PVV = 68,62% (tabela indústria BNB: 67,77%). VALIDAR com o analista antes do protocolo.</t>
        </is>
      </c>
    </row>
    <row r="13">
      <c r="A13" s="3" t="inlineStr">
        <is>
          <t>2) CAPACIDADE: com receita-base e 12 anos, o pleito integral de R$ 24,29 mi NÃO passa na janela de 50% (comprometimento 63,9%).</t>
        </is>
      </c>
    </row>
    <row r="14">
      <c r="A14" s="3" t="inlineStr">
        <is>
          <t xml:space="preserve">   Caminhos que passam: 15 anos/4 carência + preço médio R$ 82/t (42,7%) OU reduzir pleito a ~R$ 20 mi em 12 anos.</t>
        </is>
      </c>
    </row>
    <row r="15">
      <c r="A15" s="3" t="inlineStr">
        <is>
          <t>3) LASTRO DE RESERVA: a reserva medida no PAE (480.591 m³) esgota no ano 8 do ramp. O platô de 216 mil t/ano exige nova cubagem</t>
        </is>
      </c>
    </row>
    <row r="16">
      <c r="A16" s="3" t="inlineStr">
        <is>
          <t xml:space="preserve">   (ver relatório de verificação de licenças, §4). O cenário "reserva_atual" da aba Sensibilidade mostra o efeito de não resolver.</t>
        </is>
      </c>
    </row>
    <row r="17">
      <c r="A17" s="3" t="inlineStr"/>
    </row>
    <row r="18">
      <c r="A18" s="4" t="inlineStr">
        <is>
          <t>FONTES: DRE 2025 PVV (BI + Wshare), DADOS_PARA_CIPREM.xlsx (produção/vendas/preços/custos/insumos/pessoal),</t>
        </is>
      </c>
    </row>
    <row r="19">
      <c r="A19" s="3" t="inlineStr">
        <is>
          <t>plano de produção e pesquisa de preços ES desta consultoria (SINAPI-ES 06/2026, DER-ES), orçamento de implantação 19/06/2026.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SUMPRODUCT(B5:B9,C5:C9)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12</v>
      </c>
      <c r="C31" s="2" t="inlineStr">
        <is>
          <t>testar 15 na Capacidade_BNB</t>
        </is>
      </c>
    </row>
    <row r="32">
      <c r="A32" s="3" t="inlineStr">
        <is>
          <t>Carência (anos)</t>
        </is>
      </c>
      <c r="B32" s="12" t="n">
        <v>3</v>
      </c>
    </row>
    <row r="33">
      <c r="A33" s="3" t="inlineStr">
        <is>
          <t>Juros (% a.a., pós-bônus)</t>
        </is>
      </c>
      <c r="B33" s="9" t="n">
        <v>0.09</v>
      </c>
      <c r="C33" s="2" t="inlineStr">
        <is>
          <t>confirmar taxa FNE vigente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180000</v>
      </c>
      <c r="F38" s="8" t="n">
        <v>216000</v>
      </c>
      <c r="G38" s="8" t="n">
        <v>216000</v>
      </c>
      <c r="H38" s="8" t="n">
        <v>216000</v>
      </c>
      <c r="I38" s="8" t="n">
        <v>216000</v>
      </c>
      <c r="J38" s="8" t="n">
        <v>216000</v>
      </c>
      <c r="K38" s="8" t="n">
        <v>216000</v>
      </c>
      <c r="L38" s="8" t="n">
        <v>216000</v>
      </c>
      <c r="M38" s="8" t="n">
        <v>216000</v>
      </c>
      <c r="N38" s="8" t="n">
        <v>216000</v>
      </c>
    </row>
    <row r="39">
      <c r="A39" s="2" t="inlineStr">
        <is>
          <t>Nota: platô 216.000 t/ano = 82% da licença (LI 8.000 m³/mês). Ano 1 começa em 3.000 t/mês.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IRR(B5:N5)</f>
        <v/>
      </c>
    </row>
    <row r="12">
      <c r="A12" s="3" t="inlineStr">
        <is>
          <t>TIR do acionista (% a.a.)</t>
        </is>
      </c>
      <c r="B12" s="22">
        <f>IRR(B6:N6)</f>
        <v/>
      </c>
    </row>
    <row r="13">
      <c r="A13" s="3" t="inlineStr">
        <is>
          <t>VPL do projeto @ TMA (R$)</t>
        </is>
      </c>
      <c r="B13" s="23">
        <f>NPV(Premissas!$B$34,C5:N5)+B5</f>
        <v/>
      </c>
    </row>
    <row r="14">
      <c r="A14" s="3" t="inlineStr">
        <is>
          <t>Payback (anos)</t>
        </is>
      </c>
      <c r="B14" s="24">
        <f>COUNTIF(B7:N7,"&lt;0")</f>
        <v/>
      </c>
    </row>
    <row r="15">
      <c r="A15" s="3" t="inlineStr">
        <is>
          <t>DSCR mínimo (anos de amortização)</t>
        </is>
      </c>
      <c r="B15" s="25">
        <f>MIN(F8:N8)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12 anos / 3 carência · receita-base</t>
        </is>
      </c>
      <c r="B5" s="15" t="n">
        <v>0.6386693237419049</v>
      </c>
      <c r="C5" s="26" t="inlineStr">
        <is>
          <t>NÃO PASSA</t>
        </is>
      </c>
      <c r="D5" s="2" t="inlineStr">
        <is>
          <t>acima da janela de 50%</t>
        </is>
      </c>
    </row>
    <row r="6">
      <c r="A6" s="3" t="inlineStr">
        <is>
          <t>Pleito R$ 24,29 mi · 15 anos / 4 carência · receita-base</t>
        </is>
      </c>
      <c r="B6" s="15" t="n">
        <v>0.5199774623199154</v>
      </c>
      <c r="C6" s="27" t="inlineStr">
        <is>
          <t>LIMITE</t>
        </is>
      </c>
      <c r="D6" s="2" t="inlineStr">
        <is>
          <t>52% — praticamente na janela</t>
        </is>
      </c>
    </row>
    <row r="7">
      <c r="A7" s="3" t="inlineStr">
        <is>
          <t>Pleito R$ 24,29 mi · 15 anos / 4 carência · preço R$ 82/t</t>
        </is>
      </c>
      <c r="B7" s="15" t="n">
        <v>0.4267746983765545</v>
      </c>
      <c r="C7" s="28" t="inlineStr">
        <is>
          <t>PASSA</t>
        </is>
      </c>
      <c r="D7" s="2" t="inlineStr">
        <is>
          <t>42,7% — dentro da janela</t>
        </is>
      </c>
    </row>
    <row r="8">
      <c r="A8" s="3" t="inlineStr">
        <is>
          <t>Pleito R$ 24,29 mi · 15a/4c · preço 82 + teto da licença</t>
        </is>
      </c>
      <c r="B8" s="15" t="n">
        <v>0.3340595507889639</v>
      </c>
      <c r="C8" s="28" t="inlineStr">
        <is>
          <t>PASSA</t>
        </is>
      </c>
      <c r="D8" s="2" t="inlineStr">
        <is>
          <t>33,4% — folga</t>
        </is>
      </c>
    </row>
    <row r="10">
      <c r="A10" s="4" t="inlineStr">
        <is>
          <t>FINANCIAMENTO MÁXIMO QUE PASSA (≤50%)</t>
        </is>
      </c>
    </row>
    <row r="11">
      <c r="A11" s="3" t="inlineStr">
        <is>
          <t>12 anos / 3 carência · receita-base</t>
        </is>
      </c>
      <c r="B11" s="14" t="n">
        <v>20062332.39690118</v>
      </c>
    </row>
    <row r="12">
      <c r="A12" s="3" t="inlineStr">
        <is>
          <t>15 anos / 4 carência · receita-base</t>
        </is>
      </c>
      <c r="B12" s="14" t="n">
        <v>23573707.46353081</v>
      </c>
    </row>
    <row r="13">
      <c r="A13" s="3" t="inlineStr">
        <is>
          <t>15 anos / 4 carência · preço R$ 82/t</t>
        </is>
      </c>
      <c r="B13" s="14" t="n">
        <v>27512383.80803625</v>
      </c>
    </row>
    <row r="15">
      <c r="A15" s="2" t="inlineStr">
        <is>
          <t>Formulas sem cache: o Excel recalcula ao abrir. Nota: valores estáticos (o algoritmo do banco não é replicável em fórmula de planilha). Para recalcular após mudar premissas, rodar o script capacidade_pagamento.py da skill do consultor.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3" t="inlineStr">
        <is>
          <t>BASE (preço 68,50 · 12a/3c)</t>
        </is>
      </c>
      <c r="B4" s="14" t="n">
        <v>17452800</v>
      </c>
      <c r="C4" s="14" t="n">
        <v>6467040</v>
      </c>
      <c r="D4" s="14" t="n">
        <v>1617350.7508</v>
      </c>
      <c r="E4" s="17" t="n">
        <v>0.3628904223838094</v>
      </c>
      <c r="F4" s="15" t="n">
        <v>0.1357531417410779</v>
      </c>
      <c r="G4" s="14" t="n">
        <v>2345299.887343785</v>
      </c>
      <c r="H4" s="3" t="inlineStr">
        <is>
          <t>63,9% ✗</t>
        </is>
      </c>
    </row>
    <row r="5">
      <c r="A5" s="3" t="inlineStr">
        <is>
          <t>CONSERVADOR (preço −15% · ramp +6m)</t>
        </is>
      </c>
      <c r="B5" s="14" t="n">
        <v>15233400</v>
      </c>
      <c r="C5" s="14" t="n">
        <v>4536162</v>
      </c>
      <c r="D5" s="14" t="n">
        <v>-245169.7291999997</v>
      </c>
      <c r="E5" s="17" t="n">
        <v>-0.1933564539104353</v>
      </c>
      <c r="F5" s="15" t="n">
        <v>0.06083644203130134</v>
      </c>
      <c r="G5" s="14" t="n">
        <v>-8078531.973660741</v>
      </c>
      <c r="H5" s="3" t="inlineStr">
        <is>
          <t>—</t>
        </is>
      </c>
    </row>
    <row r="6">
      <c r="A6" s="3" t="inlineStr">
        <is>
          <t>ESTRESSE (conservador + juros 10%)</t>
        </is>
      </c>
      <c r="B6" s="14" t="n">
        <v>15233400</v>
      </c>
      <c r="C6" s="14" t="n">
        <v>4383828</v>
      </c>
      <c r="D6" s="14" t="n">
        <v>-640408.5080000001</v>
      </c>
      <c r="E6" s="17" t="n">
        <v>-0.1862707733603469</v>
      </c>
      <c r="F6" s="15" t="n">
        <v>0.05458978611840293</v>
      </c>
      <c r="G6" s="14" t="n">
        <v>-8837722.548969323</v>
      </c>
      <c r="H6" s="3" t="inlineStr">
        <is>
          <t>—</t>
        </is>
      </c>
    </row>
    <row r="7">
      <c r="A7" s="3" t="inlineStr">
        <is>
          <t>RESERVA ATUAL (platô 9.200 t/mês)</t>
        </is>
      </c>
      <c r="B7" s="14" t="n">
        <v>9146640</v>
      </c>
      <c r="C7" s="14" t="n">
        <v>2019324</v>
      </c>
      <c r="D7" s="14" t="n">
        <v>-2574535.5212</v>
      </c>
      <c r="E7" s="17" t="n">
        <v>0.3606093833557695</v>
      </c>
      <c r="F7" s="15" t="n">
        <v>-0.03311555848232023</v>
      </c>
      <c r="G7" s="14" t="n">
        <v>-15540268.75834021</v>
      </c>
      <c r="H7" s="3" t="inlineStr">
        <is>
          <t>—</t>
        </is>
      </c>
    </row>
    <row r="8">
      <c r="A8" s="3" t="inlineStr">
        <is>
          <t>UPSIDE (preço 82 — ref. PVV)</t>
        </is>
      </c>
      <c r="B8" s="14" t="n">
        <v>20368800</v>
      </c>
      <c r="C8" s="14" t="n">
        <v>9003960</v>
      </c>
      <c r="D8" s="14" t="n">
        <v>4064457.950800001</v>
      </c>
      <c r="E8" s="17" t="n">
        <v>0.6893739127119133</v>
      </c>
      <c r="F8" s="15" t="n">
        <v>0.2093424394212383</v>
      </c>
      <c r="G8" s="14" t="n">
        <v>14671595.34553619</v>
      </c>
      <c r="H8" s="3" t="inlineStr">
        <is>
          <t>42,7% ✓ (15a/4c)</t>
        </is>
      </c>
    </row>
    <row r="10">
      <c r="A10" s="2" t="inlineStr">
        <is>
          <t>Recomendação: estruturar o pleito em 15 anos/4 carência e defender preço médio ≥ R$ 82/t (PVV realiza R$ 116/t bruto blended), OU reduzir o pleito a ~R$ 20 mi em 12 anos.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2026-08-02T17:28:18Z</dcterms:created>
  <dcterms:modified xsi:type="dcterms:W3CDTF">2026-08-02T17:28:18Z</dcterms:modified>
</cp:coreProperties>
</file>