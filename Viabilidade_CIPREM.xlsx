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DRE_PVV_2025" sheetId="3" state="visible" r:id="rId3"/>
    <sheet xmlns:r="http://schemas.openxmlformats.org/officeDocument/2006/relationships" name="Mix_Produtos" sheetId="4" state="visible" r:id="rId4"/>
    <sheet xmlns:r="http://schemas.openxmlformats.org/officeDocument/2006/relationships" name="Producao_Receita" sheetId="5" state="visible" r:id="rId5"/>
    <sheet xmlns:r="http://schemas.openxmlformats.org/officeDocument/2006/relationships" name="Custos" sheetId="6" state="visible" r:id="rId6"/>
    <sheet xmlns:r="http://schemas.openxmlformats.org/officeDocument/2006/relationships" name="FNE_SAC" sheetId="7" state="visible" r:id="rId7"/>
    <sheet xmlns:r="http://schemas.openxmlformats.org/officeDocument/2006/relationships" name="DRE_Projetada" sheetId="8" state="visible" r:id="rId8"/>
    <sheet xmlns:r="http://schemas.openxmlformats.org/officeDocument/2006/relationships" name="Fluxo_Indicadores" sheetId="9" state="visible" r:id="rId9"/>
    <sheet xmlns:r="http://schemas.openxmlformats.org/officeDocument/2006/relationships" name="Capacidade_BNB" sheetId="10" state="visible" r:id="rId10"/>
    <sheet xmlns:r="http://schemas.openxmlformats.org/officeDocument/2006/relationships" name="Sensibilidad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;-"/>
    <numFmt numFmtId="166" formatCode="R$ #,##0;(R$ #,##0);-"/>
    <numFmt numFmtId="167" formatCode="R$ #,##0.00"/>
    <numFmt numFmtId="168" formatCode="R$ 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0" pivotButton="0" quotePrefix="0" xfId="0"/>
    <xf numFmtId="0" fontId="4" fillId="4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5" fontId="4" fillId="4" borderId="0" pivotButton="0" quotePrefix="0" xfId="0"/>
    <xf numFmtId="164" fontId="4" fillId="4" borderId="0" pivotButton="0" quotePrefix="0" xfId="0"/>
    <xf numFmtId="167" fontId="4" fillId="2" borderId="0" pivotButton="0" quotePrefix="0" xfId="0"/>
    <xf numFmtId="168" fontId="4" fillId="4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horizont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3" t="inlineStr"/>
    </row>
    <row r="4">
      <c r="A4" s="4" t="inlineStr">
        <is>
          <t>COMO USAR: edite SOMENTE as células AZUIS da aba "Premissas" (as amarelas são as premissas-chave a validar).</t>
        </is>
      </c>
    </row>
    <row r="5">
      <c r="A5" s="3" t="inlineStr">
        <is>
          <t>Todas as demais abas recalculam automaticamente. Não edite células pretas (fórmulas) nem verdes (links entre abas).</t>
        </is>
      </c>
    </row>
    <row r="6">
      <c r="A6" s="3" t="inlineStr"/>
    </row>
    <row r="7">
      <c r="A7" s="4" t="inlineStr">
        <is>
          <t>ABAS: Premissas → entradas | DRE_PVV_2025 → benchmark real | Producao_Receita / Custos / DRE_Projetada → projeção 12 anos</t>
        </is>
      </c>
    </row>
    <row r="8">
      <c r="A8" s="3" t="inlineStr">
        <is>
          <t>FNE_SAC → financiamento | Fluxo_Indicadores → TIR, VPL, payback, DSCR | Capacidade_BNB → janela 30-50% (motor oficial)</t>
        </is>
      </c>
    </row>
    <row r="9">
      <c r="A9" s="3" t="inlineStr">
        <is>
          <t>Sensibilidade → resumo dos cenários prontos (inclui 95% da licença) + produção necessária por ano (DSCR 1,0/1,2/1,3).</t>
        </is>
      </c>
    </row>
    <row r="10">
      <c r="A10" s="3" t="inlineStr"/>
    </row>
    <row r="11">
      <c r="A11" s="4" t="inlineStr">
        <is>
          <t>TRÊS AVISOS IMPORTANTES:</t>
        </is>
      </c>
    </row>
    <row r="12">
      <c r="A12" s="3" t="inlineStr">
        <is>
          <t>1) CUSTO PADRÃO BNB: calculado da DRE real da PVV = 68,62% (tabela indústria BNB: 67,77%). VALIDAR com o analista antes do protocolo.</t>
        </is>
      </c>
    </row>
    <row r="13">
      <c r="A13" s="3" t="inlineStr">
        <is>
          <t>2) CAPACIDADE: prazo de 14 anos (condição FNE Mulher) montado como 2 de carência + 12 de amortização: o pleito integral</t>
        </is>
      </c>
    </row>
    <row r="14">
      <c r="A14" s="3" t="inlineStr">
        <is>
          <t xml:space="preserve">   na taxa real (10,3493%) a receita ultra-conservadora fica em 51,0% (1 p.p. fora da janela): o pleito fecha com preço R$ 74/t (46,5%),</t>
        </is>
      </c>
    </row>
    <row r="15">
      <c r="A15" s="3" t="inlineStr">
        <is>
          <t xml:space="preserve">   R$ 82/t (41,3%), platô antecipado ao ano 3 (49,8%) ou 95% da licença (42,0%). Colchões não contados: bônus de adimplência (48,2%) e custo padrão tabela (49,1%).</t>
        </is>
      </c>
    </row>
    <row r="16">
      <c r="A16" s="3" t="inlineStr">
        <is>
          <t>3) LASTRO DE RESERVA: a reserva medida no PAE (480.591 m³) esgota no ano 8 do ramp. O platô de 216 mil t/ano exige nova cubagem</t>
        </is>
      </c>
    </row>
    <row r="17">
      <c r="A17" s="3" t="inlineStr">
        <is>
          <t xml:space="preserve">   (ver relatório de verificação de licenças, §4). O cenário "reserva_atual" da aba Sensibilidade mostra o efeito de não resolver.</t>
        </is>
      </c>
    </row>
    <row r="18">
      <c r="A18" s="3" t="inlineStr"/>
    </row>
    <row r="19">
      <c r="A19" s="4" t="inlineStr">
        <is>
          <t>FONTES: DRE 2025 PVV (BI + Wshare), DADOS_PARA_CIPREM.xlsx (produção/vendas/preços/custos/insumos/pessoal),</t>
        </is>
      </c>
    </row>
    <row r="20">
      <c r="A20" s="3" t="inlineStr">
        <is>
          <t>plano de produção e pesquisa de preços ES desta consultoria (SINAPI-ES 06/2026, DER-ES), orçamento de implantação 19/06/2026.</t>
        </is>
      </c>
    </row>
    <row r="21">
      <c r="A21" s="3" t="inlineStr">
        <is>
          <t>Mix_Produtos → de onde vem o R$/t: mix real da PVV linha a linha, reconciliação até o caso-base (R$ 68,50) e verificação produto a produto da carta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a.a.)</t>
        </is>
      </c>
      <c r="B33" s="9" t="n">
        <v>0.103493</v>
      </c>
      <c r="C33" s="2" t="inlineStr">
        <is>
          <t>taxa FNE informada ago/2026; bônus de adimplência não contado (colchão)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  <c r="O38" s="8" t="n">
        <v>216000</v>
      </c>
      <c r="P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0" customWidth="1" min="3" max="3"/>
    <col width="14" customWidth="1" min="4" max="4"/>
    <col width="12" customWidth="1" min="5" max="5"/>
    <col width="14" customWidth="1" min="6" max="6"/>
    <col width="15" customWidth="1" min="7" max="7"/>
    <col width="40" customWidth="1" min="8" max="8"/>
  </cols>
  <sheetData>
    <row r="1">
      <c r="A1" s="1" t="inlineStr">
        <is>
          <t>MIX DE PRODUTOS — DE ONDE VEM O PREÇO MÉDIO POR TONELADA</t>
        </is>
      </c>
    </row>
    <row r="2">
      <c r="A2" s="2" t="inlineStr">
        <is>
          <t>A britagem gera vários produtos com preços muito diferentes; o modelo NÃO usa preço de um produto único: usa a média ponderada do mix real vendido pela pedreira-modelo (PVV) em 2025, reconciliada abaixo. Azul = dado de documento · preto = fórmula · verde = link entre abas.</t>
        </is>
      </c>
    </row>
    <row r="4">
      <c r="A4" s="29" t="inlineStr">
        <is>
          <t>A · O QUE A PEDREIRA-MODELO (PVV) VENDEU EM 2025 — na pedreira, FOB (sem frete)</t>
        </is>
      </c>
    </row>
    <row r="5">
      <c r="A5" s="13" t="inlineStr">
        <is>
          <t>Produto</t>
        </is>
      </c>
      <c r="B5" s="13" t="inlineStr">
        <is>
          <t>t vendidas</t>
        </is>
      </c>
      <c r="C5" s="13" t="inlineStr">
        <is>
          <t>% do mix</t>
        </is>
      </c>
      <c r="D5" s="13" t="inlineStr">
        <is>
          <t>Preço tabela (R$/t)</t>
        </is>
      </c>
      <c r="E5" s="13" t="inlineStr">
        <is>
          <t>Desconto médio</t>
        </is>
      </c>
      <c r="F5" s="13" t="inlineStr">
        <is>
          <t>Preço líquido (R$/t)</t>
        </is>
      </c>
      <c r="G5" s="13" t="inlineStr">
        <is>
          <t>Receita FOB (R$)</t>
        </is>
      </c>
      <c r="H5" s="13" t="inlineStr">
        <is>
          <t>Observação</t>
        </is>
      </c>
    </row>
    <row r="6">
      <c r="A6" s="3" t="inlineStr">
        <is>
          <t>BRITA 1</t>
        </is>
      </c>
      <c r="B6" s="8" t="n">
        <v>24949.64</v>
      </c>
      <c r="C6" s="15">
        <f>B6/$B$14</f>
        <v/>
      </c>
      <c r="D6" s="30" t="n">
        <v>98</v>
      </c>
      <c r="E6" s="5" t="n">
        <v>0.05</v>
      </c>
      <c r="F6" s="31">
        <f>D6*(1-E6)</f>
        <v/>
      </c>
      <c r="G6" s="32">
        <f>B6*F6</f>
        <v/>
      </c>
      <c r="H6" s="2" t="inlineStr">
        <is>
          <t>na carta CIPREM: brita 1</t>
        </is>
      </c>
    </row>
    <row r="7">
      <c r="A7" s="3" t="inlineStr">
        <is>
          <t>PÓ DE PEDRA</t>
        </is>
      </c>
      <c r="B7" s="8" t="n">
        <v>16312.55</v>
      </c>
      <c r="C7" s="15">
        <f>B7/$B$14</f>
        <v/>
      </c>
      <c r="D7" s="30" t="n">
        <v>25</v>
      </c>
      <c r="E7" s="5" t="n">
        <v>0.15</v>
      </c>
      <c r="F7" s="31">
        <f>D7*(1-E7)</f>
        <v/>
      </c>
      <c r="G7" s="32">
        <f>B7*F7</f>
        <v/>
      </c>
      <c r="H7" s="2" t="inlineStr">
        <is>
          <t>na carta: pó de pedra — 22% do mix na pedreira; sobe a 29% no consolidado</t>
        </is>
      </c>
    </row>
    <row r="8">
      <c r="A8" s="3" t="inlineStr">
        <is>
          <t>BRITA 0</t>
        </is>
      </c>
      <c r="B8" s="8" t="n">
        <v>13608.91</v>
      </c>
      <c r="C8" s="15">
        <f>B8/$B$14</f>
        <v/>
      </c>
      <c r="D8" s="30" t="n">
        <v>120</v>
      </c>
      <c r="E8" s="5" t="n">
        <v>0.06</v>
      </c>
      <c r="F8" s="31">
        <f>D8*(1-E8)</f>
        <v/>
      </c>
      <c r="G8" s="32">
        <f>B8*F8</f>
        <v/>
      </c>
      <c r="H8" s="2" t="inlineStr">
        <is>
          <t>na carta: brita 0</t>
        </is>
      </c>
    </row>
    <row r="9">
      <c r="A9" s="3" t="inlineStr">
        <is>
          <t>PULMÃO (rachão)</t>
        </is>
      </c>
      <c r="B9" s="8" t="n">
        <v>6640.27</v>
      </c>
      <c r="C9" s="15">
        <f>B9/$B$14</f>
        <v/>
      </c>
      <c r="D9" s="30" t="n">
        <v>85</v>
      </c>
      <c r="E9" s="5" t="n">
        <v>0.1</v>
      </c>
      <c r="F9" s="31">
        <f>D9*(1-E9)</f>
        <v/>
      </c>
      <c r="G9" s="32">
        <f>B9*F9</f>
        <v/>
      </c>
      <c r="H9" s="2" t="inlineStr">
        <is>
          <t>não listado na carta; PAE prevê "sob demanda"</t>
        </is>
      </c>
    </row>
    <row r="10">
      <c r="A10" s="3" t="inlineStr">
        <is>
          <t>BRITA GRADUADA (BGS)</t>
        </is>
      </c>
      <c r="B10" s="8" t="n">
        <v>4562.89</v>
      </c>
      <c r="C10" s="15">
        <f>B10/$B$14</f>
        <v/>
      </c>
      <c r="D10" s="30" t="n">
        <v>85</v>
      </c>
      <c r="E10" s="5" t="n">
        <v>0.17</v>
      </c>
      <c r="F10" s="31">
        <f>D10*(1-E10)</f>
        <v/>
      </c>
      <c r="G10" s="32">
        <f>B10*F10</f>
        <v/>
      </c>
      <c r="H10" s="2" t="inlineStr">
        <is>
          <t>na carta: BGS/solo-brita — mistura de pó + britas</t>
        </is>
      </c>
    </row>
    <row r="11">
      <c r="A11" s="3" t="inlineStr">
        <is>
          <t>PEDRISCO</t>
        </is>
      </c>
      <c r="B11" s="8" t="n">
        <v>4279.26</v>
      </c>
      <c r="C11" s="15">
        <f>B11/$B$14</f>
        <v/>
      </c>
      <c r="D11" s="30" t="n">
        <v>80</v>
      </c>
      <c r="E11" s="5" t="n">
        <v>0.11</v>
      </c>
      <c r="F11" s="31">
        <f>D11*(1-E11)</f>
        <v/>
      </c>
      <c r="G11" s="32">
        <f>B11*F11</f>
        <v/>
      </c>
      <c r="H11" s="2" t="inlineStr">
        <is>
          <t>na carta: gravilinha (nome regional)</t>
        </is>
      </c>
    </row>
    <row r="12">
      <c r="A12" s="3" t="inlineStr">
        <is>
          <t>BRITA 2</t>
        </is>
      </c>
      <c r="B12" s="8" t="n">
        <v>4253.52</v>
      </c>
      <c r="C12" s="15">
        <f>B12/$B$14</f>
        <v/>
      </c>
      <c r="D12" s="30" t="n">
        <v>98</v>
      </c>
      <c r="E12" s="5" t="n">
        <v>0.07000000000000001</v>
      </c>
      <c r="F12" s="31">
        <f>D12*(1-E12)</f>
        <v/>
      </c>
      <c r="G12" s="32">
        <f>B12*F12</f>
        <v/>
      </c>
      <c r="H12" s="2" t="inlineStr">
        <is>
          <t>na carta: brita 2</t>
        </is>
      </c>
    </row>
    <row r="13">
      <c r="A13" s="3" t="inlineStr">
        <is>
          <t>MARROADA</t>
        </is>
      </c>
      <c r="B13" s="8" t="n">
        <v>582.2</v>
      </c>
      <c r="C13" s="15">
        <f>B13/$B$14</f>
        <v/>
      </c>
      <c r="D13" s="30" t="n">
        <v>87</v>
      </c>
      <c r="E13" s="5" t="n">
        <v>0.06</v>
      </c>
      <c r="F13" s="31">
        <f>D13*(1-E13)</f>
        <v/>
      </c>
      <c r="G13" s="32">
        <f>B13*F13</f>
        <v/>
      </c>
      <c r="H13" s="2" t="inlineStr">
        <is>
          <t>não listada na carta; venda eventual</t>
        </is>
      </c>
    </row>
    <row r="14">
      <c r="A14" s="29" t="inlineStr">
        <is>
          <t>TOTAL / PREÇO MÉDIO PONDERADO FOB PEDREIRA</t>
        </is>
      </c>
      <c r="B14" s="33">
        <f>SUM(B6:B13)</f>
        <v/>
      </c>
      <c r="C14" s="34">
        <f>SUM(C6:C13)</f>
        <v/>
      </c>
      <c r="F14" s="35">
        <f>G14/B14</f>
        <v/>
      </c>
      <c r="G14" s="36">
        <f>SUM(G6:G13)</f>
        <v/>
      </c>
      <c r="H14" s="37" t="inlineStr">
        <is>
          <t>≈ R$ 76,80/t — nenhum produto isolado: é a tonelada média do mix inteiro</t>
        </is>
      </c>
    </row>
    <row r="16">
      <c r="A16" s="29" t="inlineStr">
        <is>
          <t>B · DA OPERAÇÃO REAL AO PREÇO DO MODELO — RECONCILIAÇÃO</t>
        </is>
      </c>
    </row>
    <row r="17">
      <c r="A17" s="3" t="inlineStr">
        <is>
          <t>Preço médio FOB pedreira (mix real, seção A)</t>
        </is>
      </c>
      <c r="F17" s="31">
        <f>F14</f>
        <v/>
      </c>
    </row>
    <row r="18">
      <c r="A18" s="3" t="inlineStr">
        <is>
          <t>Preço médio realizado consolidado 2025 (pedreira + filiais Porto Seguro e Trancoso)</t>
        </is>
      </c>
      <c r="F18" s="30" t="n">
        <v>116.135488216766</v>
      </c>
      <c r="H18" s="2" t="inlineStr">
        <is>
          <t>ver aba DRE_PVV_2025 — inclui preços de varejo das filiais e a logística até elas</t>
        </is>
      </c>
    </row>
    <row r="19">
      <c r="A19" s="3" t="inlineStr">
        <is>
          <t>Logística/estrutura de filiais embutida no consolidado</t>
        </is>
      </c>
      <c r="F19" s="5" t="n">
        <v>0.3621264721735005</v>
      </c>
    </row>
    <row r="20">
      <c r="A20" s="4" t="inlineStr">
        <is>
          <t>FOB-EQUIVALENTE (consolidado × (1 − logística)) — o número-âncora</t>
        </is>
      </c>
      <c r="F20" s="35">
        <f>F18*(1-F19)</f>
        <v/>
      </c>
      <c r="H20" s="2" t="inlineStr">
        <is>
          <t>≈ R$ 74,08/t — o que a tonelada média rende tirando o custo de levá-la às filiais</t>
        </is>
      </c>
    </row>
    <row r="21">
      <c r="A21" s="4" t="inlineStr">
        <is>
          <t>PREÇO DO CASO-BASE DO MODELO (aba Premissas)</t>
        </is>
      </c>
      <c r="F21" s="30" t="n">
        <v>68.5</v>
      </c>
    </row>
    <row r="22">
      <c r="A22" s="3" t="inlineStr">
        <is>
          <t>Margem de prudência adotada sobre o FOB-equivalente</t>
        </is>
      </c>
      <c r="F22" s="15">
        <f>1-F21/F20</f>
        <v/>
      </c>
    </row>
    <row r="23">
      <c r="A23" s="2" t="inlineStr">
        <is>
          <t>Sensibilidade (aba Sensibilidade): a R$ 74/t o comprometimento cai a 46,5%; a R$ 82/t, a 41,3%.</t>
        </is>
      </c>
    </row>
    <row r="24">
      <c r="A24" s="2" t="inlineStr">
        <is>
          <t>Nas filiais o pó de pedra NÃO sai a R$ 25: tabela Porto Seguro R$ 56,71/t · Trancoso R$ 64,47/t.</t>
        </is>
      </c>
    </row>
    <row r="26">
      <c r="A26" s="29" t="inlineStr">
        <is>
          <t>C · MIX DE PROJETO DA CIPREM — tabela de produtos do PAE (planta a 20.000 t/mês)</t>
        </is>
      </c>
    </row>
    <row r="27">
      <c r="A27" s="13" t="inlineStr">
        <is>
          <t>Produto (nome no PAE)</t>
        </is>
      </c>
      <c r="B27" s="13" t="inlineStr">
        <is>
          <t>Equivalente comercial</t>
        </is>
      </c>
      <c r="C27" s="13" t="inlineStr">
        <is>
          <t>Faixa</t>
        </is>
      </c>
      <c r="D27" s="13" t="inlineStr">
        <is>
          <t>% da produção</t>
        </is>
      </c>
      <c r="E27" s="13" t="inlineStr">
        <is>
          <t>t/mês</t>
        </is>
      </c>
      <c r="H27" s="13" t="inlineStr">
        <is>
          <t>Observação</t>
        </is>
      </c>
    </row>
    <row r="28">
      <c r="A28" s="3" t="inlineStr">
        <is>
          <t>Brita 19 mm (¾")</t>
        </is>
      </c>
      <c r="B28" s="3" t="inlineStr">
        <is>
          <t>brita 1</t>
        </is>
      </c>
      <c r="C28" s="3" t="inlineStr">
        <is>
          <t>19–12,5 mm</t>
        </is>
      </c>
      <c r="D28" s="5" t="n">
        <v>0.35</v>
      </c>
      <c r="E28" s="28">
        <f>D28*20000</f>
        <v/>
      </c>
      <c r="H28" s="2" t="inlineStr">
        <is>
          <t>produto de maior giro</t>
        </is>
      </c>
    </row>
    <row r="29">
      <c r="A29" s="3" t="inlineStr">
        <is>
          <t>Brita 12,5 mm (½") — "Gravilhão"</t>
        </is>
      </c>
      <c r="B29" s="3" t="inlineStr">
        <is>
          <t>brita 0 / gravilinha</t>
        </is>
      </c>
      <c r="C29" s="3" t="inlineStr">
        <is>
          <t>12,5–4,8 mm</t>
        </is>
      </c>
      <c r="D29" s="5" t="n">
        <v>0.25</v>
      </c>
      <c r="E29" s="28">
        <f>D29*20000</f>
        <v/>
      </c>
      <c r="H29" s="2" t="inlineStr"/>
    </row>
    <row r="30">
      <c r="A30" s="3" t="inlineStr">
        <is>
          <t>Brita 4,8 mm (pó de pedra)</t>
        </is>
      </c>
      <c r="B30" s="3" t="inlineStr">
        <is>
          <t>pó de pedra</t>
        </is>
      </c>
      <c r="C30" s="3" t="inlineStr">
        <is>
          <t>&lt; 4,8 mm</t>
        </is>
      </c>
      <c r="D30" s="5" t="n">
        <v>0.4</v>
      </c>
      <c r="E30" s="28">
        <f>D30*20000</f>
        <v/>
      </c>
      <c r="H30" s="2" t="inlineStr">
        <is>
          <t>fração crítica — ver seção D</t>
        </is>
      </c>
    </row>
    <row r="31">
      <c r="A31" s="3" t="inlineStr">
        <is>
          <t>Brita 76/38 mm (3"/2") e rachão</t>
        </is>
      </c>
      <c r="B31" s="3" t="inlineStr">
        <is>
          <t>brita 2 / rachão</t>
        </is>
      </c>
      <c r="D31" s="2" t="inlineStr">
        <is>
          <t>sob demanda</t>
        </is>
      </c>
    </row>
    <row r="32">
      <c r="A32" s="3" t="inlineStr">
        <is>
          <t>Brita graduada (BGS)</t>
        </is>
      </c>
      <c r="B32" s="3" t="inlineStr">
        <is>
          <t>BGS/solo-brita</t>
        </is>
      </c>
      <c r="D32" s="2" t="inlineStr">
        <is>
          <t>recombinação de pó + britas (não é massa nova)</t>
        </is>
      </c>
    </row>
    <row r="33">
      <c r="A33" s="2" t="inlineStr">
        <is>
          <t>Fonte: PAE CIPREM, parte 2 — "Produtos do processo de britagem": 7.000 + 5.000 + 8.000 = 20.000 t/mês (35% + 25% + 40%).</t>
        </is>
      </c>
    </row>
    <row r="35">
      <c r="A35" s="29" t="inlineStr">
        <is>
          <t>D · TESTE DE ESTRESSE DO MIX — e se o pó só valer o preço mínimo?</t>
        </is>
      </c>
    </row>
    <row r="36">
      <c r="A36" s="3" t="inlineStr">
        <is>
          <t>Piso: mix de projeto (35/25/40), fração ½" valendo como PEDRISCO e pó a tabela mínima da pedreira</t>
        </is>
      </c>
      <c r="F36" s="31">
        <f>0.35*F6+0.25*F11+0.40*F7</f>
        <v/>
      </c>
    </row>
    <row r="37">
      <c r="A37" s="3" t="inlineStr">
        <is>
          <t>Mesmo piso, com a fração ½" valendo como BRITA 0</t>
        </is>
      </c>
      <c r="F37" s="31">
        <f>0.35*F6+0.25*F8+0.40*F7</f>
        <v/>
      </c>
    </row>
    <row r="38">
      <c r="A38" s="2" t="inlineStr">
        <is>
          <t>Leitura: o caso-base (R$ 68,50) está dentro da banda do piso estressado (F36–F37) e ABAIXO do realizado da operação gêmea (R$ 74–77).</t>
        </is>
      </c>
    </row>
    <row r="39">
      <c r="A39" s="2" t="inlineStr">
        <is>
          <t>Mitigações que elevam a média de volta: pó misturado em BGS (vende a R$ 85/t) · câmara F-Sand do HP350e (converte fina em areia de brita) · consumo cativo (premoldados da CIPREM + Concreto Britaki) · nas filiais o pó já realiza R$ 57–64/t.</t>
        </is>
      </c>
    </row>
    <row r="41">
      <c r="A41" s="29" t="inlineStr">
        <is>
          <t>E · PRODUTOS DA CARTA CONSULTA × O QUE A PVV REALMENTE VENDE</t>
        </is>
      </c>
    </row>
    <row r="42">
      <c r="A42" s="13" t="inlineStr">
        <is>
          <t>Produto na carta consulta (CIPREM)</t>
        </is>
      </c>
      <c r="B42" s="13" t="inlineStr">
        <is>
          <t>PVV vende?</t>
        </is>
      </c>
      <c r="D42" s="13" t="inlineStr">
        <is>
          <t>SKU na PVV</t>
        </is>
      </c>
      <c r="H42" s="13" t="inlineStr">
        <is>
          <t>Observação</t>
        </is>
      </c>
    </row>
    <row r="43">
      <c r="A43" s="3" t="inlineStr">
        <is>
          <t>brita 0</t>
        </is>
      </c>
      <c r="B43" s="38" t="inlineStr">
        <is>
          <t>Sim</t>
        </is>
      </c>
      <c r="D43" s="3" t="inlineStr">
        <is>
          <t>BRITA 0</t>
        </is>
      </c>
      <c r="H43" s="2" t="inlineStr">
        <is>
          <t>mesmo produto</t>
        </is>
      </c>
    </row>
    <row r="44">
      <c r="A44" s="3" t="inlineStr">
        <is>
          <t>brita 1</t>
        </is>
      </c>
      <c r="B44" s="38" t="inlineStr">
        <is>
          <t>Sim</t>
        </is>
      </c>
      <c r="D44" s="3" t="inlineStr">
        <is>
          <t>BRITA 1</t>
        </is>
      </c>
      <c r="H44" s="2" t="inlineStr">
        <is>
          <t>mesmo produto — maior giro da PVV (31% do vendido)</t>
        </is>
      </c>
    </row>
    <row r="45">
      <c r="A45" s="3" t="inlineStr">
        <is>
          <t>brita 2</t>
        </is>
      </c>
      <c r="B45" s="38" t="inlineStr">
        <is>
          <t>Sim</t>
        </is>
      </c>
      <c r="D45" s="3" t="inlineStr">
        <is>
          <t>BRITA 2</t>
        </is>
      </c>
      <c r="H45" s="2" t="inlineStr">
        <is>
          <t>PAE produz "sob demanda" (4% do vendido na PVV)</t>
        </is>
      </c>
    </row>
    <row r="46">
      <c r="A46" s="3" t="inlineStr">
        <is>
          <t>gravilinha</t>
        </is>
      </c>
      <c r="B46" s="38" t="inlineStr">
        <is>
          <t>Sim</t>
        </is>
      </c>
      <c r="D46" s="3" t="inlineStr">
        <is>
          <t>PEDRISCO</t>
        </is>
      </c>
      <c r="H46" s="2" t="inlineStr">
        <is>
          <t>mesmo produto, nome regional diferente</t>
        </is>
      </c>
    </row>
    <row r="47">
      <c r="A47" s="3" t="inlineStr">
        <is>
          <t>pó de pedra</t>
        </is>
      </c>
      <c r="B47" s="38" t="inlineStr">
        <is>
          <t>Sim</t>
        </is>
      </c>
      <c r="D47" s="3" t="inlineStr">
        <is>
          <t>PÓ</t>
        </is>
      </c>
      <c r="H47" s="2" t="inlineStr">
        <is>
          <t>mesma fração; na PVV é 29% do vendido consolidado</t>
        </is>
      </c>
    </row>
    <row r="48">
      <c r="A48" s="3" t="inlineStr">
        <is>
          <t>BGS/solo-brita</t>
        </is>
      </c>
      <c r="B48" s="38" t="inlineStr">
        <is>
          <t>Sim</t>
        </is>
      </c>
      <c r="D48" s="3" t="inlineStr">
        <is>
          <t>BRITA GRADUADA</t>
        </is>
      </c>
      <c r="H48" s="2" t="inlineStr">
        <is>
          <t>mesma mistura (pó + britas), nome diferente</t>
        </is>
      </c>
    </row>
    <row r="49">
      <c r="A49" s="3" t="inlineStr">
        <is>
          <t>— (não listados na carta)</t>
        </is>
      </c>
      <c r="B49" s="38" t="inlineStr">
        <is>
          <t>—</t>
        </is>
      </c>
      <c r="D49" s="3" t="inlineStr">
        <is>
          <t>MARROADA · PULMÃO/RACHÃO</t>
        </is>
      </c>
      <c r="H49" s="2" t="inlineStr">
        <is>
          <t>a PVV vende e o PAE prevê "sob demanda" — upside não contado no modelo</t>
        </is>
      </c>
    </row>
    <row r="50">
      <c r="A50" s="39" t="inlineStr">
        <is>
          <t>VEREDITO: o portfólio da carta é o mesmo que a pedreira-modelo pratica há anos — só muda nomenclatura regional (gravilinha=pedrisco; BGS=brita graduada). Nenhum produto da carta é sem precedente real no grupo.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 car + 12 amort · receita ultra-conservadora</t>
        </is>
      </c>
      <c r="B5" s="15" t="n">
        <v>0.5095582712098438</v>
      </c>
      <c r="C5" s="26" t="inlineStr">
        <is>
          <t>NÃO PASSA</t>
        </is>
      </c>
      <c r="D5" s="2" t="inlineStr">
        <is>
          <t>51,0% — 1 p.p. fora; fecha com preço R$ 74/t (46,5%), platô antecipado (49,8%) ou 95% (42,0%)</t>
        </is>
      </c>
    </row>
    <row r="6">
      <c r="A6" s="3" t="inlineStr">
        <is>
          <t>Pleito R$ 24,29 mi · 14a · 2 car + 12 amort · preço R$ 82/t</t>
        </is>
      </c>
      <c r="B6" s="15" t="n">
        <v>0.413330734071942</v>
      </c>
      <c r="C6" s="27" t="inlineStr">
        <is>
          <t>PASSA</t>
        </is>
      </c>
      <c r="D6" s="2" t="inlineStr">
        <is>
          <t>41,3% — colchão</t>
        </is>
      </c>
    </row>
    <row r="7">
      <c r="A7" s="3" t="inlineStr">
        <is>
          <t>Pleito R$ 24,29 mi · 14a · 2 car + 12 amort · produção 95% da licença</t>
        </is>
      </c>
      <c r="B7" s="15" t="n">
        <v>0.4195555249059341</v>
      </c>
      <c r="C7" s="27" t="inlineStr">
        <is>
          <t>PASSA</t>
        </is>
      </c>
      <c r="D7" s="2" t="inlineStr">
        <is>
          <t>42,0% — colchão</t>
        </is>
      </c>
    </row>
    <row r="8">
      <c r="A8" s="3" t="inlineStr">
        <is>
          <t>Pleito R$ 24,29 mi · 14a · 3 car + 11 amort · receita-base</t>
        </is>
      </c>
      <c r="B8" s="15" t="n">
        <v>0.5449953606863867</v>
      </c>
      <c r="C8" s="26" t="inlineStr">
        <is>
          <t>NÃO PASSA</t>
        </is>
      </c>
      <c r="D8" s="2" t="inlineStr">
        <is>
          <t>54,5%</t>
        </is>
      </c>
    </row>
    <row r="9">
      <c r="A9" s="3" t="inlineStr">
        <is>
          <t>Pleito R$ 24,29 mi · 14a · 4 car + 10 amort · receita-base</t>
        </is>
      </c>
      <c r="B9" s="15" t="n">
        <v>0.6010854034324153</v>
      </c>
      <c r="C9" s="26" t="inlineStr">
        <is>
          <t>NÃO PASSA</t>
        </is>
      </c>
      <c r="D9" s="2" t="inlineStr">
        <is>
          <t>60,1%</t>
        </is>
      </c>
    </row>
    <row r="10">
      <c r="A10" s="3" t="inlineStr">
        <is>
          <t>Pleito R$ 24,29 mi · 12a/3c · receita-base (sem condição Mulher)</t>
        </is>
      </c>
      <c r="B10" s="15" t="n">
        <v>0.6700428550535171</v>
      </c>
      <c r="C10" s="26" t="inlineStr">
        <is>
          <t>NÃO PASSA</t>
        </is>
      </c>
      <c r="D10" s="2" t="inlineStr">
        <is>
          <t>67,0% — referência</t>
        </is>
      </c>
    </row>
    <row r="12">
      <c r="A12" s="4" t="inlineStr">
        <is>
          <t>FINANCIAMENTO MÁXIMO QUE PASSA (≤50%)</t>
        </is>
      </c>
    </row>
    <row r="13">
      <c r="A13" s="3" t="inlineStr">
        <is>
          <t>14a · 2c+12a · receita-base</t>
        </is>
      </c>
      <c r="B13" s="14" t="n">
        <v>23964142.38999998</v>
      </c>
    </row>
    <row r="14">
      <c r="A14" s="3" t="inlineStr">
        <is>
          <t>14a · 2c+12a · preço R$ 82/t</t>
        </is>
      </c>
      <c r="B14" s="14" t="n">
        <v>27958836.32254746</v>
      </c>
    </row>
    <row r="15">
      <c r="A15" s="3" t="inlineStr">
        <is>
          <t>14a · 2c+12a · produção 95% da licença</t>
        </is>
      </c>
      <c r="B15" s="14" t="n">
        <v>27660200.76147405</v>
      </c>
    </row>
    <row r="16">
      <c r="A16" s="3" t="inlineStr">
        <is>
          <t>14a · 4c+10a · receita-base (comparação)</t>
        </is>
      </c>
      <c r="B16" s="14" t="n">
        <v>21200497.68732259</v>
      </c>
    </row>
    <row r="18">
      <c r="A18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14a 2c+12a · taxa 10,3493%)</t>
        </is>
      </c>
      <c r="B4" s="14" t="n">
        <v>17452800</v>
      </c>
      <c r="C4" s="14" t="n">
        <v>6467040</v>
      </c>
      <c r="D4" s="14" t="n">
        <v>1499090.53503473</v>
      </c>
      <c r="E4" s="17" t="n">
        <v>1.050930705812949</v>
      </c>
      <c r="F4" s="15" t="n">
        <v>0.1494322271217648</v>
      </c>
      <c r="G4" s="14" t="n">
        <v>4927889.77581582</v>
      </c>
      <c r="H4" s="3" t="inlineStr">
        <is>
          <t>51,0% ✗ (1 p.p.)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-363429.9449652701</v>
      </c>
      <c r="E5" s="17" t="n">
        <v>0.7089153059117655</v>
      </c>
      <c r="F5" s="15" t="n">
        <v>0.07908943923859313</v>
      </c>
      <c r="G5" s="14" t="n">
        <v>-6303892.299403776</v>
      </c>
      <c r="H5" s="3" t="inlineStr">
        <is>
          <t>—</t>
        </is>
      </c>
    </row>
    <row r="6">
      <c r="A6" s="3" t="inlineStr">
        <is>
          <t>ESTRESSE (conservador + juros 11,35%)</t>
        </is>
      </c>
      <c r="B6" s="14" t="n">
        <v>15233400</v>
      </c>
      <c r="C6" s="14" t="n">
        <v>4383828</v>
      </c>
      <c r="D6" s="14" t="n">
        <v>-738426.65886527</v>
      </c>
      <c r="E6" s="17" t="n">
        <v>0.6455742570145453</v>
      </c>
      <c r="F6" s="15" t="n">
        <v>0.07325198415876433</v>
      </c>
      <c r="G6" s="14" t="n">
        <v>-7129164.450326623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-2692795.73696527</v>
      </c>
      <c r="E7" s="17" t="n">
        <v>0.4069684272780721</v>
      </c>
      <c r="F7" s="15" t="n">
        <v>-0.009372448266384226</v>
      </c>
      <c r="G7" s="14" t="n">
        <v>-14776093.99485386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3946197.735034729</v>
      </c>
      <c r="E8" s="17" t="n">
        <v>1.500294004953189</v>
      </c>
      <c r="F8" s="15" t="n">
        <v>0.2194947337644882</v>
      </c>
      <c r="G8" s="14" t="n">
        <v>18315725.66144409</v>
      </c>
      <c r="H8" s="3" t="inlineStr">
        <is>
          <t>41,3% ✓</t>
        </is>
      </c>
    </row>
    <row r="9">
      <c r="A9" s="3" t="inlineStr">
        <is>
          <t>95% DA LICENÇA (20.892 t/mês do ano 3)</t>
        </is>
      </c>
      <c r="B9" s="14" t="n">
        <v>19830366.5</v>
      </c>
      <c r="C9" s="14" t="n">
        <v>7876051.855</v>
      </c>
      <c r="D9" s="14" t="n">
        <v>2834873.34183473</v>
      </c>
      <c r="E9" s="17" t="n">
        <v>1.644723685727977</v>
      </c>
      <c r="F9" s="15" t="n">
        <v>0.1892432140057955</v>
      </c>
      <c r="G9" s="14" t="n">
        <v>12340507.25206514</v>
      </c>
      <c r="H9" s="3" t="inlineStr">
        <is>
          <t>42,0% ✓</t>
        </is>
      </c>
    </row>
    <row r="11">
      <c r="A11" s="2" t="inlineStr">
        <is>
          <t>Recomendação: 14 anos = 2 carência + 12 amortização (condição FNE Mulher) segue sendo a melhor montagem. Na taxa real (10,3493%), a receita ultra-conservadora fica 1 p.p. fora da janela (51,0%) — o pleito fecha com preço ≥ R$ 74/t (46,5%; é o FOB real do grupo), platô antecipado ao ano 3 (49,8%) ou 95% da licença (42,0%); colchões não contados: bônus de adimplência (48,2%) e custo padrão tabela (49,1%). DSCR do ano 3: 1,05 no SAC constante — negociar amortização equalizada/crescente.</t>
        </is>
      </c>
    </row>
    <row r="13">
      <c r="A13" s="4" t="inlineStr">
        <is>
          <t>PRODUÇÃO NECESSÁRIA POR ANO (solver sobre o motor · preço R$ 68,50/t · valores em t/mês; % = fração da licença de 8.000 m³ in situ)</t>
        </is>
      </c>
    </row>
    <row r="14">
      <c r="A14" s="21" t="inlineStr">
        <is>
          <t>Ano</t>
        </is>
      </c>
      <c r="B14" s="21" t="inlineStr">
        <is>
          <t>Serviço da dívida (R$)</t>
        </is>
      </c>
      <c r="C14" s="21" t="inlineStr">
        <is>
          <t>Mínimo (DSCR 1,0)</t>
        </is>
      </c>
      <c r="D14" s="21" t="inlineStr">
        <is>
          <t>Conforto (DSCR 1,2)</t>
        </is>
      </c>
      <c r="E14" s="21" t="inlineStr">
        <is>
          <t>Recomendado (DSCR 1,3)</t>
        </is>
      </c>
      <c r="F14" s="21" t="inlineStr">
        <is>
          <t>% licença (recom.)</t>
        </is>
      </c>
      <c r="G14" s="21" t="inlineStr">
        <is>
          <t>Plano atual (t/mês)</t>
        </is>
      </c>
    </row>
    <row r="15">
      <c r="A15" s="28" t="n">
        <v>1</v>
      </c>
      <c r="B15" s="14" t="n">
        <v>2513894.42723484</v>
      </c>
      <c r="C15" s="28" t="n">
        <v>8908</v>
      </c>
      <c r="D15" s="28" t="n">
        <v>9977</v>
      </c>
      <c r="E15" s="28" t="n">
        <v>10511</v>
      </c>
      <c r="F15" s="15" t="n">
        <v>0.478</v>
      </c>
      <c r="G15" s="28" t="n">
        <v>5250</v>
      </c>
    </row>
    <row r="16">
      <c r="A16" s="28" t="n">
        <v>2</v>
      </c>
      <c r="B16" s="14" t="n">
        <v>2513894.42723484</v>
      </c>
      <c r="C16" s="28" t="n">
        <v>9652</v>
      </c>
      <c r="D16" s="28" t="n">
        <v>10721</v>
      </c>
      <c r="E16" s="28" t="n">
        <v>11256</v>
      </c>
      <c r="F16" s="15" t="n">
        <v>0.512</v>
      </c>
      <c r="G16" s="28" t="n">
        <v>10500</v>
      </c>
    </row>
    <row r="17">
      <c r="A17" s="28" t="n">
        <v>3</v>
      </c>
      <c r="B17" s="14" t="n">
        <v>4538100.91723484</v>
      </c>
      <c r="C17" s="28" t="n">
        <v>14515</v>
      </c>
      <c r="D17" s="28" t="n">
        <v>16465</v>
      </c>
      <c r="E17" s="28" t="n">
        <v>17460</v>
      </c>
      <c r="F17" s="15" t="n">
        <v>0.794</v>
      </c>
      <c r="G17" s="28" t="n">
        <v>15000</v>
      </c>
    </row>
    <row r="18">
      <c r="A18" s="28" t="n">
        <v>4</v>
      </c>
      <c r="B18" s="14" t="n">
        <v>4328609.71496527</v>
      </c>
      <c r="C18" s="28" t="n">
        <v>14522</v>
      </c>
      <c r="D18" s="28" t="n">
        <v>16356</v>
      </c>
      <c r="E18" s="28" t="n">
        <v>17293</v>
      </c>
      <c r="F18" s="15" t="n">
        <v>0.7859999999999999</v>
      </c>
      <c r="G18" s="28" t="n">
        <v>18000</v>
      </c>
    </row>
    <row r="19">
      <c r="A19" s="28" t="n">
        <v>5</v>
      </c>
      <c r="B19" s="14" t="n">
        <v>4119118.5126957</v>
      </c>
      <c r="C19" s="28" t="n">
        <v>14088</v>
      </c>
      <c r="D19" s="28" t="n">
        <v>15812</v>
      </c>
      <c r="E19" s="28" t="n">
        <v>16704</v>
      </c>
      <c r="F19" s="15" t="n">
        <v>0.76</v>
      </c>
      <c r="G19" s="28" t="n">
        <v>18000</v>
      </c>
    </row>
    <row r="20">
      <c r="A20" s="28" t="n">
        <v>6</v>
      </c>
      <c r="B20" s="14" t="n">
        <v>3909627.31042613</v>
      </c>
      <c r="C20" s="28" t="n">
        <v>13653</v>
      </c>
      <c r="D20" s="28" t="n">
        <v>15274</v>
      </c>
      <c r="E20" s="28" t="n">
        <v>16114</v>
      </c>
      <c r="F20" s="15" t="n">
        <v>0.733</v>
      </c>
      <c r="G20" s="28" t="n">
        <v>18000</v>
      </c>
    </row>
    <row r="21">
      <c r="A21" s="28" t="n">
        <v>7</v>
      </c>
      <c r="B21" s="14" t="n">
        <v>3700136.10815656</v>
      </c>
      <c r="C21" s="28" t="n">
        <v>13219</v>
      </c>
      <c r="D21" s="28" t="n">
        <v>14753</v>
      </c>
      <c r="E21" s="28" t="n">
        <v>15524</v>
      </c>
      <c r="F21" s="15" t="n">
        <v>0.706</v>
      </c>
      <c r="G21" s="28" t="n">
        <v>18000</v>
      </c>
    </row>
    <row r="22">
      <c r="A22" s="28" t="n">
        <v>8</v>
      </c>
      <c r="B22" s="14" t="n">
        <v>3490644.90588699</v>
      </c>
      <c r="C22" s="28" t="n">
        <v>12785</v>
      </c>
      <c r="D22" s="28" t="n">
        <v>14232</v>
      </c>
      <c r="E22" s="28" t="n">
        <v>14956</v>
      </c>
      <c r="F22" s="15" t="n">
        <v>0.68</v>
      </c>
      <c r="G22" s="28" t="n">
        <v>18000</v>
      </c>
    </row>
    <row r="23">
      <c r="A23" s="28" t="n">
        <v>9</v>
      </c>
      <c r="B23" s="14" t="n">
        <v>3281153.70361742</v>
      </c>
      <c r="C23" s="28" t="n">
        <v>12350</v>
      </c>
      <c r="D23" s="28" t="n">
        <v>13711</v>
      </c>
      <c r="E23" s="28" t="n">
        <v>14391</v>
      </c>
      <c r="F23" s="15" t="n">
        <v>0.654</v>
      </c>
      <c r="G23" s="28" t="n">
        <v>18000</v>
      </c>
    </row>
    <row r="24">
      <c r="A24" s="28" t="n">
        <v>10</v>
      </c>
      <c r="B24" s="14" t="n">
        <v>3071662.50134785</v>
      </c>
      <c r="C24" s="28" t="n">
        <v>11916</v>
      </c>
      <c r="D24" s="28" t="n">
        <v>13190</v>
      </c>
      <c r="E24" s="28" t="n">
        <v>13826</v>
      </c>
      <c r="F24" s="15" t="n">
        <v>0.629</v>
      </c>
      <c r="G24" s="28" t="n">
        <v>18000</v>
      </c>
    </row>
    <row r="25">
      <c r="A25" s="28" t="n">
        <v>11</v>
      </c>
      <c r="B25" s="14" t="n">
        <v>2862171.29907828</v>
      </c>
      <c r="C25" s="28" t="n">
        <v>11482</v>
      </c>
      <c r="D25" s="28" t="n">
        <v>12668</v>
      </c>
      <c r="E25" s="28" t="n">
        <v>13262</v>
      </c>
      <c r="F25" s="15" t="n">
        <v>0.603</v>
      </c>
      <c r="G25" s="28" t="n">
        <v>18000</v>
      </c>
    </row>
    <row r="26">
      <c r="A26" s="28" t="n">
        <v>12</v>
      </c>
      <c r="B26" s="14" t="n">
        <v>2652680.09680871</v>
      </c>
      <c r="C26" s="28" t="n">
        <v>11047</v>
      </c>
      <c r="D26" s="28" t="n">
        <v>12147</v>
      </c>
      <c r="E26" s="28" t="n">
        <v>12697</v>
      </c>
      <c r="F26" s="15" t="n">
        <v>0.5770000000000001</v>
      </c>
      <c r="G26" s="28" t="n">
        <v>18000</v>
      </c>
    </row>
    <row r="27">
      <c r="A27" s="28" t="n">
        <v>13</v>
      </c>
      <c r="B27" s="14" t="n">
        <v>2443188.89453914</v>
      </c>
      <c r="C27" s="28" t="n">
        <v>10613</v>
      </c>
      <c r="D27" s="28" t="n">
        <v>11626</v>
      </c>
      <c r="E27" s="28" t="n">
        <v>12133</v>
      </c>
      <c r="F27" s="15" t="n">
        <v>0.552</v>
      </c>
      <c r="G27" s="28" t="n">
        <v>18000</v>
      </c>
    </row>
    <row r="28">
      <c r="A28" s="28" t="n">
        <v>14</v>
      </c>
      <c r="B28" s="14" t="n">
        <v>2233697.69226957</v>
      </c>
      <c r="C28" s="28" t="n">
        <v>10179</v>
      </c>
      <c r="D28" s="28" t="n">
        <v>11105</v>
      </c>
      <c r="E28" s="28" t="n">
        <v>11568</v>
      </c>
      <c r="F28" s="15" t="n">
        <v>0.526</v>
      </c>
      <c r="G28" s="28" t="n">
        <v>18000</v>
      </c>
    </row>
    <row r="29">
      <c r="A29" s="2" t="inlineStr">
        <is>
          <t>Leitura (taxa 10,3493%): ano 3 é o pico (recomendado 17.460 t/mês = 79% da licença); anos 1–2 (carência) o mínimo cobre só juros — gap de ~R$ 1,7 mi no usos e fontes. Cenário 95% da licença: comprometimento 42,0%, DSCR mín 1,64 (1,17 a preço −15%), máx financiável R$ 27,7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2026-08-05T00:07:15Z</dcterms:created>
  <dcterms:modified xmlns:dcterms="http://purl.org/dc/terms/" xmlns:xsi="http://www.w3.org/2001/XMLSchema-instance" xsi:type="dcterms:W3CDTF">2026-08-05T14:00:23Z</dcterms:modified>
</cp:coreProperties>
</file>