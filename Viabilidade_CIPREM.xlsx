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Frete" sheetId="5" state="visible" r:id="rId5"/>
    <sheet xmlns:r="http://schemas.openxmlformats.org/officeDocument/2006/relationships" name="Producao_Receita" sheetId="6" state="visible" r:id="rId6"/>
    <sheet xmlns:r="http://schemas.openxmlformats.org/officeDocument/2006/relationships" name="Custos" sheetId="7" state="visible" r:id="rId7"/>
    <sheet xmlns:r="http://schemas.openxmlformats.org/officeDocument/2006/relationships" name="FNE_SAC" sheetId="8" state="visible" r:id="rId8"/>
    <sheet xmlns:r="http://schemas.openxmlformats.org/officeDocument/2006/relationships" name="DRE_Projetada" sheetId="9" state="visible" r:id="rId9"/>
    <sheet xmlns:r="http://schemas.openxmlformats.org/officeDocument/2006/relationships" name="Fluxo_Indicadores" sheetId="10" state="visible" r:id="rId10"/>
    <sheet xmlns:r="http://schemas.openxmlformats.org/officeDocument/2006/relationships" name="Capacidade_BNB" sheetId="11" state="visible" r:id="rId11"/>
    <sheet xmlns:r="http://schemas.openxmlformats.org/officeDocument/2006/relationships" name="Sensibilidad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;-"/>
    <numFmt numFmtId="166" formatCode="R$ #,##0;(R$ #,##0);-"/>
    <numFmt numFmtId="167" formatCode="R$ #,##0.00"/>
    <numFmt numFmtId="168" formatCode="R$ #,##0"/>
    <numFmt numFmtId="169" formatCode="#,##0.0&quot; km&quot;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  <font>
      <b val="1"/>
      <sz val="14"/>
    </font>
    <font>
      <i val="1"/>
      <color rgb="00595959"/>
      <sz val="9"/>
    </font>
    <font>
      <b val="1"/>
      <sz val="10"/>
    </font>
    <font>
      <b val="1"/>
      <color rgb="00FFFFFF"/>
      <sz val="10"/>
    </font>
    <font>
      <sz val="10"/>
    </font>
    <font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4" borderId="0" pivotButton="0" quotePrefix="0" xfId="0"/>
    <xf numFmtId="0" fontId="0" fillId="4" borderId="0" pivotButton="0" quotePrefix="0" xfId="0"/>
    <xf numFmtId="0" fontId="13" fillId="3" borderId="0" pivotButton="0" quotePrefix="0" xfId="0"/>
    <xf numFmtId="0" fontId="12" fillId="0" borderId="0" pivotButton="0" quotePrefix="0" xfId="0"/>
    <xf numFmtId="167" fontId="12" fillId="2" borderId="0" pivotButton="0" quotePrefix="0" xfId="0"/>
    <xf numFmtId="0" fontId="14" fillId="0" borderId="0" pivotButton="0" quotePrefix="0" xfId="0"/>
    <xf numFmtId="167" fontId="14" fillId="0" borderId="0" pivotButton="0" quotePrefix="0" xfId="0"/>
    <xf numFmtId="169" fontId="14" fillId="0" borderId="0" pivotButton="0" quotePrefix="0" xfId="0"/>
    <xf numFmtId="169" fontId="15" fillId="0" borderId="0" pivotButton="0" quotePrefix="0" xfId="0"/>
    <xf numFmtId="0" fontId="11" fillId="0" borderId="0" pivotButton="0" quotePrefix="0" xfId="0"/>
    <xf numFmtId="164" fontId="14" fillId="0" borderId="0" pivotButton="0" quotePrefix="0" xfId="0"/>
    <xf numFmtId="165" fontId="14" fillId="0" borderId="0" pivotButton="0" quotePrefix="0" xfId="0"/>
    <xf numFmtId="167" fontId="12" fillId="0" borderId="0" pivotButton="0" quotePrefix="0" xfId="0"/>
    <xf numFmtId="4" fontId="14" fillId="0" borderId="0" pivotButton="0" quotePrefix="0" xfId="0"/>
    <xf numFmtId="165" fontId="12" fillId="0" borderId="0" pivotButton="0" quotePrefix="0" xfId="0"/>
    <xf numFmtId="164" fontId="12" fillId="0" borderId="0" pivotButton="0" quotePrefix="0" xfId="0"/>
    <xf numFmtId="169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26" t="inlineStr">
        <is>
          <t>USO INTERNO — ferramenta de trabalho da consultoria (contém dados de benchmark de outra empresa do grupo). NÃO anexar ao processo BNB: os documentos entregues ao banco não citam esta base de comparação.</t>
        </is>
      </c>
    </row>
    <row r="4">
      <c r="A4" s="3" t="inlineStr"/>
    </row>
    <row r="5">
      <c r="A5" s="4" t="inlineStr">
        <is>
          <t>COMO USAR: edite SOMENTE as células AZUIS da aba "Premissas" (as amarelas são as premissas-chave a validar).</t>
        </is>
      </c>
    </row>
    <row r="6">
      <c r="A6" s="3" t="inlineStr">
        <is>
          <t>Todas as demais abas recalculam automaticamente. Não edite células pretas (fórmulas) nem verdes (links entre abas).</t>
        </is>
      </c>
    </row>
    <row r="7">
      <c r="A7" s="3" t="inlineStr"/>
    </row>
    <row r="8">
      <c r="A8" s="4" t="inlineStr">
        <is>
          <t>ABAS: Premissas → entradas | DRE_PVV_2025 → benchmark real | Mix_Produtos → de onde vem o preço/t | Frete → de onde vem o R$/t de frete | Producao_Receita / Custos / DRE_Projetada → projeção 12 anos</t>
        </is>
      </c>
    </row>
    <row r="9">
      <c r="A9" s="3" t="inlineStr">
        <is>
          <t>FNE_SAC → financiamento | Fluxo_Indicadores → TIR, VPL, payback, DSCR | Capacidade_BNB → janela 30-50% (motor oficial)</t>
        </is>
      </c>
    </row>
    <row r="10">
      <c r="A10" s="3" t="inlineStr">
        <is>
          <t>Sensibilidade → resumo dos cenários prontos (inclui 95% da licença) + produção necessária por ano (DSCR 1,0/1,2/1,3).</t>
        </is>
      </c>
    </row>
    <row r="11">
      <c r="A11" s="3" t="inlineStr"/>
    </row>
    <row r="12">
      <c r="A12" s="4" t="inlineStr">
        <is>
          <t>QUATRO AVISOS IMPORTANTES:</t>
        </is>
      </c>
    </row>
    <row r="13">
      <c r="A13" s="3" t="inlineStr">
        <is>
          <t>1) CUSTO PADRÃO BNB: calculado da DRE real da PVV = 68,62% (tabela indústria BNB: 67,77%). VALIDAR com o analista antes do protocolo.</t>
        </is>
      </c>
    </row>
    <row r="14">
      <c r="A14" s="3" t="inlineStr">
        <is>
          <t>2) CAPACIDADE: prazo de 14 anos (condição FNE Mulher) em 2 carência + 12 amortização,</t>
        </is>
      </c>
    </row>
    <row r="15">
      <c r="A15" s="3" t="inlineStr">
        <is>
          <t xml:space="preserve">   com platô de 237.516 t/ano (90% da licença) alcançado no ANO 3: comprometimento 44,6%</t>
        </is>
      </c>
    </row>
    <row r="16">
      <c r="A16" s="3" t="inlineStr">
        <is>
          <t xml:space="preserve">   e máximo financiável R$ 26,40 mi, contra o pleito de R$ 24,29 mi. O platô anterior</t>
        </is>
      </c>
    </row>
    <row r="17">
      <c r="A17" s="3" t="inlineStr">
        <is>
          <t xml:space="preserve">   (216.000 t no ano 4) dava 51,0% e NÃO passava — o gargalo é o ano 3, não o nível.</t>
        </is>
      </c>
    </row>
    <row r="18">
      <c r="A18" s="3" t="inlineStr">
        <is>
          <t>3) RENDIMENTO DE BRITAGEM — RESOLVIDO: a verificação do processo produtivo afastou a perda.</t>
        </is>
      </c>
    </row>
    <row r="19">
      <c r="A19" s="3" t="inlineStr">
        <is>
          <t xml:space="preserve">   A britagem conserva massa; o escalpe vira bica corrida (8% do mix); não há circuito de</t>
        </is>
      </c>
    </row>
    <row r="20">
      <c r="A20" s="3" t="inlineStr">
        <is>
          <t xml:space="preserve">   lavagem; pó de pedra e areia F-Sand são produtos. A diferença de 19.895 t entre desmonte</t>
        </is>
      </c>
    </row>
    <row r="21">
      <c r="A21" s="3" t="inlineStr">
        <is>
          <t xml:space="preserve">   e britados da unidade do grupo em 2025 corresponde a pilha de ROM na virada do ano. O</t>
        </is>
      </c>
    </row>
    <row r="22">
      <c r="A22" s="3" t="inlineStr">
        <is>
          <t xml:space="preserve">   modelo segue sem fator de rendimento; a linha de 217.517 t fica como teste de estresse.</t>
        </is>
      </c>
    </row>
    <row r="23">
      <c r="A23" s="3" t="inlineStr">
        <is>
          <t>4) MIX DE PRODUTOS — PENDÊNCIA: o PAE declara 40% de pó de pedra; este modelo adota 27%.</t>
        </is>
      </c>
    </row>
    <row r="24">
      <c r="A24" s="3" t="inlineStr">
        <is>
          <t xml:space="preserve">   O mix do PAE daria R$ 66,25/t em vez de R$ 68,54 — comprometimento 46,4% (e não 44,6%)</t>
        </is>
      </c>
    </row>
    <row r="25">
      <c r="A25" s="3" t="inlineStr">
        <is>
          <t xml:space="preserve">   e folga de R$ 1,36 mi sobre o pleito (e não R$ 2,11 mi). Passa nas duas hipóteses.</t>
        </is>
      </c>
    </row>
    <row r="26">
      <c r="A26" s="3" t="inlineStr">
        <is>
          <t xml:space="preserve">   Pedir ao fabricante a curva granulométrica garantida do circuito antes do protocolo.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ROUND(SUMPRODUCT(B5:B9,C5:C9),1)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237516</v>
      </c>
      <c r="F38" s="8" t="n">
        <v>237516</v>
      </c>
      <c r="G38" s="8" t="n">
        <v>237516</v>
      </c>
      <c r="H38" s="8" t="n">
        <v>237516</v>
      </c>
      <c r="I38" s="8" t="n">
        <v>237516</v>
      </c>
      <c r="J38" s="8" t="n">
        <v>237516</v>
      </c>
      <c r="K38" s="8" t="n">
        <v>237516</v>
      </c>
      <c r="L38" s="8" t="n">
        <v>237516</v>
      </c>
      <c r="M38" s="8" t="n">
        <v>237516</v>
      </c>
      <c r="N38" s="8" t="n">
        <v>237516</v>
      </c>
      <c r="O38" s="8" t="n">
        <v>237516</v>
      </c>
      <c r="P38" s="8" t="n">
        <v>237516</v>
      </c>
    </row>
    <row r="39">
      <c r="A39" s="2" t="inlineStr">
        <is>
          <t>Nota: platô 237.516 t/ano = 7.200 m³ in situ/mês = 90% da licença (LI IEMA 000478/2025-D, 8.000 m³/mês) e ≈ o realizado 2025 da PVV (236.280 t desmontadas). Ano 1 começa em 5.250 t/mês; platô a partir do ano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mercado local de intertravado: pó no assentamento e na fabricação de blocos (artefatos próprios: opção futura, fora do escopo)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22" customWidth="1" min="3" max="3"/>
    <col width="14" customWidth="1" min="4" max="4"/>
    <col width="13" customWidth="1" min="5" max="5"/>
    <col width="14" customWidth="1" min="6" max="6"/>
    <col width="13" customWidth="1" min="7" max="7"/>
    <col width="46" customWidth="1" min="8" max="8"/>
  </cols>
  <sheetData>
    <row r="1">
      <c r="A1" s="40" t="inlineStr">
        <is>
          <t>FRETE — DE ONDE VEM O R$/t, E AS DUAS CONTAS EM QUE ELE ENTRA</t>
        </is>
      </c>
    </row>
    <row r="2" ht="46" customHeight="1">
      <c r="A2" s="41" t="inlineStr">
        <is>
          <t>O frete aparece em duas contas distintas do pacote, com a mesma taxa e sentidos diferentes: na régua de vantagem competitiva do Estudo de Mercado (uma diferença entre distâncias, que mede posição frente ao concorrente) e na receita de frete deste modelo (um valor absoluto, que mede o que se cobra para entregar). Esta aba reúne as duas, a origem da taxa e as conferências. Não há número novo aqui: as células puxam Premissas e Mix_Produtos por referência.</t>
        </is>
      </c>
    </row>
    <row r="4">
      <c r="A4" s="42" t="inlineStr">
        <is>
          <t>A · A TAXA E SUA ORIGEM</t>
        </is>
      </c>
      <c r="B4" s="43" t="n"/>
      <c r="C4" s="43" t="n"/>
      <c r="D4" s="43" t="n"/>
      <c r="E4" s="43" t="n"/>
      <c r="F4" s="43" t="n"/>
      <c r="G4" s="43" t="n"/>
      <c r="H4" s="43" t="n"/>
    </row>
    <row r="5">
      <c r="A5" s="44" t="inlineStr">
        <is>
          <t>Modalidade</t>
        </is>
      </c>
      <c r="B5" s="44" t="inlineStr">
        <is>
          <t>R$/t·km</t>
        </is>
      </c>
      <c r="C5" s="44" t="inlineStr">
        <is>
          <t>Natureza</t>
        </is>
      </c>
      <c r="D5" s="44" t="inlineStr"/>
      <c r="E5" s="44" t="inlineStr"/>
      <c r="F5" s="44" t="inlineStr"/>
      <c r="G5" s="44" t="inlineStr"/>
      <c r="H5" s="44" t="inlineStr">
        <is>
          <t>Fonte</t>
        </is>
      </c>
    </row>
    <row r="6" ht="44" customHeight="1">
      <c r="A6" s="45" t="inlineStr">
        <is>
          <t>Carreta — ADOTADA em todo o pacote</t>
        </is>
      </c>
      <c r="B6" s="46" t="n">
        <v>0.91</v>
      </c>
      <c r="C6" s="47" t="inlineStr">
        <is>
          <t>preço praticado</t>
        </is>
      </c>
      <c r="H6" s="41" t="inlineStr">
        <is>
          <t>Tabela de preços da unidade do grupo em operação (PVV/BA), linha literal "Carreta 0,91 X volume (T) x KM", sob o cabeçalho "VER FRETE MÉDIO SAINDO DA PEDREIRA". É a regra comercial que o grupo já cobra — não é estimativa nem tabela pública.</t>
        </is>
      </c>
    </row>
    <row r="7" ht="28" customHeight="1">
      <c r="A7" s="47" t="inlineStr">
        <is>
          <t>Truck</t>
        </is>
      </c>
      <c r="B7" s="48" t="n">
        <v>0.99</v>
      </c>
      <c r="C7" s="47" t="inlineStr">
        <is>
          <t>preço praticado</t>
        </is>
      </c>
      <c r="H7" s="41" t="inlineStr">
        <is>
          <t>Mesma tabela, linha "Truck: 0,99 X Volume (T) x KM". Adotou-se a carreta por ser a menor das duas, e por ser o equipamento orçado no investimento.</t>
        </is>
      </c>
    </row>
    <row r="8" ht="28" customHeight="1">
      <c r="A8" s="47" t="inlineStr">
        <is>
          <t>SICRO/DNIT — referência externa</t>
        </is>
      </c>
      <c r="B8" s="48" t="n">
        <v>0.78</v>
      </c>
      <c r="C8" s="47" t="inlineStr">
        <is>
          <t>CUSTO, não preço</t>
        </is>
      </c>
      <c r="H8" s="41" t="inlineStr">
        <is>
          <t>Referência oficial de custo rodoviário em pista pavimentada. A diferença para 0,91 é a margem do transportador. Ver sensibilidade na seção F.</t>
        </is>
      </c>
    </row>
    <row r="10">
      <c r="A10" s="42" t="inlineStr">
        <is>
          <t>B · USO 1 — RÉGUA DE VANTAGEM COMPETITIVA (Estudo de Mercado, item 4)</t>
        </is>
      </c>
      <c r="B10" s="43" t="n"/>
      <c r="C10" s="43" t="n"/>
      <c r="D10" s="43" t="n"/>
      <c r="E10" s="43" t="n"/>
      <c r="F10" s="43" t="n"/>
      <c r="G10" s="43" t="n"/>
      <c r="H10" s="43" t="n"/>
    </row>
    <row r="11" ht="30" customHeight="1">
      <c r="A11" s="41" t="inlineStr">
        <is>
          <t>vantagem (R$/t) = coeficiente × (km do concorrente − km da CIPREM). É uma DIFERENÇA entre distâncias: mede quanto a pedra da CIPREM chega mais barata que a do concorrente na mesma praça. Não é custo de ninguém, e não entra na projeção financeira — serve para delimitar o mercado-base e os pesos de captura.</t>
        </is>
      </c>
    </row>
    <row r="12">
      <c r="A12" s="44" t="inlineStr">
        <is>
          <t>Praça</t>
        </is>
      </c>
      <c r="B12" s="44" t="inlineStr">
        <is>
          <t>km CIPREM</t>
        </is>
      </c>
      <c r="C12" s="44" t="inlineStr">
        <is>
          <t>Concorrente</t>
        </is>
      </c>
      <c r="D12" s="44" t="inlineStr">
        <is>
          <t>km conc.</t>
        </is>
      </c>
      <c r="E12" s="44" t="inlineStr">
        <is>
          <t>Vantagem</t>
        </is>
      </c>
      <c r="F12" s="44" t="inlineStr"/>
      <c r="G12" s="44" t="inlineStr"/>
      <c r="H12" s="44" t="inlineStr">
        <is>
          <t>Observação</t>
        </is>
      </c>
    </row>
    <row r="13">
      <c r="A13" s="47" t="inlineStr">
        <is>
          <t>São Mateus sede + Guriri</t>
        </is>
      </c>
      <c r="B13" s="49" t="n">
        <v>40.7</v>
      </c>
      <c r="C13" s="47" t="inlineStr">
        <is>
          <t>MCL (Nova Venécia)</t>
        </is>
      </c>
      <c r="D13" s="49" t="n">
        <v>75.5</v>
      </c>
      <c r="E13" s="48">
        <f>ROUND($B$6*(D13-B13),1)</f>
        <v/>
      </c>
      <c r="H13" s="41" t="inlineStr">
        <is>
          <t>ambas medidas</t>
        </is>
      </c>
    </row>
    <row r="14">
      <c r="A14" s="47" t="inlineStr">
        <is>
          <t>São Mateus sede + Guriri</t>
        </is>
      </c>
      <c r="B14" s="49" t="n">
        <v>40.7</v>
      </c>
      <c r="C14" s="47" t="inlineStr">
        <is>
          <t>Mattar (Pinheiros)</t>
        </is>
      </c>
      <c r="D14" s="49" t="n">
        <v>66.8</v>
      </c>
      <c r="E14" s="48">
        <f>ROUND($B$6*(D14-B14),1)</f>
        <v/>
      </c>
      <c r="H14" s="41" t="inlineStr">
        <is>
          <t>concorrente de VOLUME mais próximo — referência adotada no pacote</t>
        </is>
      </c>
    </row>
    <row r="15">
      <c r="A15" s="47" t="inlineStr">
        <is>
          <t>São Mateus sede + Guriri</t>
        </is>
      </c>
      <c r="B15" s="49" t="n">
        <v>40.7</v>
      </c>
      <c r="C15" s="47" t="inlineStr">
        <is>
          <t>Usibrita (Jaguaré)</t>
        </is>
      </c>
      <c r="D15" s="49" t="n">
        <v>57.1</v>
      </c>
      <c r="E15" s="48">
        <f>ROUND($B$6*(D15-B15),1)</f>
        <v/>
      </c>
      <c r="H15" s="41" t="inlineStr">
        <is>
          <t>produtor mais próximo de qualquer porte; ~5 mil t/ano, sem escala para volume</t>
        </is>
      </c>
    </row>
    <row r="16">
      <c r="A16" s="47" t="inlineStr">
        <is>
          <t>Boa Esperança</t>
        </is>
      </c>
      <c r="B16" s="49" t="n">
        <v>27.9</v>
      </c>
      <c r="C16" s="47" t="inlineStr">
        <is>
          <t>Mattar (Pinheiros)</t>
        </is>
      </c>
      <c r="D16" s="49" t="n">
        <v>22.3</v>
      </c>
      <c r="E16" s="48">
        <f>ROUND($B$6*(D16-B16),1)</f>
        <v/>
      </c>
      <c r="H16" s="41" t="inlineStr">
        <is>
          <t>praça-base, paridade</t>
        </is>
      </c>
    </row>
    <row r="17">
      <c r="A17" s="47" t="inlineStr">
        <is>
          <t>Conceição da Barra</t>
        </is>
      </c>
      <c r="B17" s="49" t="n">
        <v>73.2</v>
      </c>
      <c r="C17" s="47" t="inlineStr">
        <is>
          <t>Mattar (Pinheiros)</t>
        </is>
      </c>
      <c r="D17" s="49" t="n">
        <v>67.5</v>
      </c>
      <c r="E17" s="48">
        <f>ROUND($B$6*(D17-B17),1)</f>
        <v/>
      </c>
      <c r="H17" s="41" t="inlineStr">
        <is>
          <t>praça-base, paridade</t>
        </is>
      </c>
    </row>
    <row r="18">
      <c r="A18" s="47" t="inlineStr">
        <is>
          <t>Franja norte (Montanha)</t>
        </is>
      </c>
      <c r="B18" s="49" t="n">
        <v>90.3</v>
      </c>
      <c r="C18" s="47" t="inlineStr">
        <is>
          <t>Mattar</t>
        </is>
      </c>
      <c r="D18" s="49" t="n">
        <v>60</v>
      </c>
      <c r="E18" s="48">
        <f>ROUND($B$6*(D18-B18),1)</f>
        <v/>
      </c>
      <c r="H18" s="41" t="inlineStr">
        <is>
          <t>fora do raio econômico</t>
        </is>
      </c>
    </row>
    <row r="19">
      <c r="A19" s="47" t="inlineStr">
        <is>
          <t>Jaguaré sede</t>
        </is>
      </c>
      <c r="B19" s="49" t="n">
        <v>39.6</v>
      </c>
      <c r="C19" s="47" t="inlineStr">
        <is>
          <t>Usibrita local</t>
        </is>
      </c>
      <c r="D19" s="49" t="n">
        <v>8</v>
      </c>
      <c r="E19" s="48">
        <f>ROUND($B$6*(D19-B19),1)</f>
        <v/>
      </c>
      <c r="H19" s="41" t="inlineStr">
        <is>
          <t>praça disputada — produtor instalado</t>
        </is>
      </c>
    </row>
    <row r="20">
      <c r="A20" s="47" t="inlineStr">
        <is>
          <t>Nova Venécia sede</t>
        </is>
      </c>
      <c r="B20" s="49" t="n">
        <v>37.3</v>
      </c>
      <c r="C20" s="47" t="inlineStr">
        <is>
          <t>MCL local</t>
        </is>
      </c>
      <c r="D20" s="49" t="n">
        <v>5</v>
      </c>
      <c r="E20" s="48">
        <f>ROUND($B$6*(D20-B20),1)</f>
        <v/>
      </c>
      <c r="H20" s="41" t="inlineStr">
        <is>
          <t>praça-sede de concorrente</t>
        </is>
      </c>
    </row>
    <row r="21">
      <c r="A21" s="47" t="inlineStr">
        <is>
          <t>Pedro Canário</t>
        </is>
      </c>
      <c r="B21" s="49" t="n">
        <v>88.3</v>
      </c>
      <c r="C21" s="47" t="inlineStr">
        <is>
          <t>Mattar</t>
        </is>
      </c>
      <c r="D21" s="49" t="n">
        <v>50</v>
      </c>
      <c r="E21" s="48">
        <f>ROUND($B$6*(D21-B21),1)</f>
        <v/>
      </c>
      <c r="H21" s="41" t="inlineStr">
        <is>
          <t>fora do raio econômico</t>
        </is>
      </c>
    </row>
    <row r="22">
      <c r="A22" s="47" t="inlineStr">
        <is>
          <t>Pinheiros sede</t>
        </is>
      </c>
      <c r="B22" s="49" t="n">
        <v>45.9</v>
      </c>
      <c r="C22" s="47" t="inlineStr">
        <is>
          <t>Mattar local</t>
        </is>
      </c>
      <c r="D22" s="49" t="n">
        <v>5</v>
      </c>
      <c r="E22" s="48">
        <f>ROUND($B$6*(D22-B22),1)</f>
        <v/>
      </c>
      <c r="H22" s="41" t="inlineStr">
        <is>
          <t>praça-sede de concorrente</t>
        </is>
      </c>
    </row>
    <row r="23" ht="26" customHeight="1">
      <c r="A23" s="41" t="inlineStr">
        <is>
          <t>Distâncias medidas em roteirizador (ago/2026) a partir da coordenada do empreendimento registrada no PAE (GPS -18,67144 / -40,17303). Estimadas apenas as distâncias internas dos concorrentes às próprias sedes (linhas com 'local').</t>
        </is>
      </c>
    </row>
    <row r="25">
      <c r="A25" s="42" t="inlineStr">
        <is>
          <t>C · USO 2 — RECEITA DE FRETE CIF NESTE MODELO (aba Premissas)</t>
        </is>
      </c>
      <c r="B25" s="43" t="n"/>
      <c r="C25" s="43" t="n"/>
      <c r="D25" s="43" t="n"/>
      <c r="E25" s="43" t="n"/>
      <c r="F25" s="43" t="n"/>
      <c r="G25" s="43" t="n"/>
      <c r="H25" s="43" t="n"/>
    </row>
    <row r="26">
      <c r="A26" s="41" t="inlineStr">
        <is>
          <t>Aqui o frete é RECEITA, não vantagem: a CIPREM vende FOB (cliente busca) e CIF (a CIPREM entrega). Nas vendas CIF ela cobra o frete e o executa com frota própria.</t>
        </is>
      </c>
    </row>
    <row r="27">
      <c r="A27" s="47" t="inlineStr">
        <is>
          <t>Raio médio de entrega adotado (km)</t>
        </is>
      </c>
      <c r="B27" s="50" t="n">
        <v>45</v>
      </c>
      <c r="H27" s="51" t="inlineStr">
        <is>
          <t>premissa — validada na seção D</t>
        </is>
      </c>
    </row>
    <row r="28">
      <c r="A28" s="47" t="inlineStr">
        <is>
          <t>Coeficiente aplicado (R$/t·km)</t>
        </is>
      </c>
      <c r="B28" s="48">
        <f>B6</f>
        <v/>
      </c>
    </row>
    <row r="29">
      <c r="A29" s="47" t="inlineStr">
        <is>
          <t>Frete médio CIF derivado (R$/t)</t>
        </is>
      </c>
      <c r="B29" s="48">
        <f>ROUND(B27*B28,0)</f>
        <v/>
      </c>
    </row>
    <row r="30">
      <c r="A30" s="47" t="inlineStr">
        <is>
          <t>Frete médio CIF em uso no modelo (Premissas!B15)</t>
        </is>
      </c>
      <c r="B30" s="46">
        <f>Premissas!B15</f>
        <v/>
      </c>
      <c r="C30" s="47">
        <f>IF(ROUND(B29,0)=ROUND(B30,0),"confere","DIVERGE — verificar")</f>
        <v/>
      </c>
    </row>
    <row r="31">
      <c r="A31" s="47" t="inlineStr">
        <is>
          <t>% das vendas entregues (CIF)</t>
        </is>
      </c>
      <c r="B31" s="52">
        <f>Premissas!B13</f>
        <v/>
      </c>
    </row>
    <row r="32">
      <c r="A32" s="47" t="inlineStr">
        <is>
          <t>Capacidade da frota própria (t/ano)</t>
        </is>
      </c>
      <c r="B32" s="53">
        <f>Premissas!B14</f>
        <v/>
      </c>
      <c r="H32" s="41" t="inlineStr">
        <is>
          <t>2 conjuntos Actros+Rossetti, ~30,7 t líquidas por viagem — teto do programa CIF</t>
        </is>
      </c>
    </row>
    <row r="33">
      <c r="A33" s="47" t="inlineStr">
        <is>
          <t>Custo do frete próprio (% da receita de frete)</t>
        </is>
      </c>
      <c r="B33" s="52">
        <f>Premissas!B16</f>
        <v/>
      </c>
    </row>
    <row r="34">
      <c r="A34" s="47" t="inlineStr">
        <is>
          <t>Margem logística resultante (R$/t)</t>
        </is>
      </c>
      <c r="B34" s="54">
        <f>ROUND(B30*(1-B33),2)</f>
        <v/>
      </c>
    </row>
    <row r="36">
      <c r="A36" s="45" t="inlineStr">
        <is>
          <t>CADEIA DE CÁLCULO, como roda no modelo:</t>
        </is>
      </c>
    </row>
    <row r="37">
      <c r="A37" s="47" t="inlineStr">
        <is>
          <t>Vendas CIF (t)  =  MIN( vendas totais × % CIF ;  capacidade da frota )</t>
        </is>
      </c>
      <c r="H37" s="51" t="inlineStr">
        <is>
          <t>aba Producao_Receita, linha 5</t>
        </is>
      </c>
    </row>
    <row r="38">
      <c r="A38" s="47" t="inlineStr">
        <is>
          <t>Receita de frete (R$)  =  vendas CIF (t) × frete médio CIF</t>
        </is>
      </c>
      <c r="H38" s="51" t="inlineStr">
        <is>
          <t>aba Producao_Receita, linha 7</t>
        </is>
      </c>
    </row>
    <row r="39">
      <c r="A39" s="47" t="inlineStr">
        <is>
          <t>Custo do frete próprio (R$)  =  receita de frete × 72%</t>
        </is>
      </c>
      <c r="H39" s="51" t="inlineStr">
        <is>
          <t>aba Custos, linha 5</t>
        </is>
      </c>
    </row>
    <row r="41">
      <c r="A41" s="42" t="inlineStr">
        <is>
          <t>D · VALIDAÇÃO DO RAIO DE 45 km — média das distâncias medidas, ponderada pela captura</t>
        </is>
      </c>
      <c r="B41" s="43" t="n"/>
      <c r="C41" s="43" t="n"/>
      <c r="D41" s="43" t="n"/>
      <c r="E41" s="43" t="n"/>
      <c r="F41" s="43" t="n"/>
      <c r="G41" s="43" t="n"/>
      <c r="H41" s="43" t="n"/>
    </row>
    <row r="42" ht="30" customHeight="1">
      <c r="A42" s="41" t="inlineStr">
        <is>
          <t>A captura por praça vem do item 8 do Estudo (pesos de penetração × demanda do item 6). As obras públicas ficam em São Mateus. A coluna de km é medida, salvo a de São Mateus, que é mistura de sede (40,7), Guriri (além da sede) e corredor (12,3) — editável em azul.</t>
        </is>
      </c>
    </row>
    <row r="43">
      <c r="A43" s="44" t="inlineStr">
        <is>
          <t>Praça de entrega</t>
        </is>
      </c>
      <c r="B43" s="44" t="inlineStr">
        <is>
          <t>km</t>
        </is>
      </c>
      <c r="C43" s="44" t="inlineStr">
        <is>
          <t>Captura t/ano</t>
        </is>
      </c>
      <c r="D43" s="44" t="inlineStr">
        <is>
          <t>Participação</t>
        </is>
      </c>
      <c r="E43" s="44" t="inlineStr">
        <is>
          <t>km × part.</t>
        </is>
      </c>
      <c r="F43" s="44" t="inlineStr"/>
      <c r="G43" s="44" t="inlineStr"/>
      <c r="H43" s="44" t="inlineStr">
        <is>
          <t>Origem da captura</t>
        </is>
      </c>
    </row>
    <row r="44">
      <c r="A44" s="47" t="inlineStr">
        <is>
          <t>São Mateus (sede, Guriri, corredor) + obras</t>
        </is>
      </c>
      <c r="B44" s="50" t="n">
        <v>45</v>
      </c>
      <c r="C44" s="53" t="n">
        <v>205835</v>
      </c>
      <c r="D44" s="52">
        <f>C44/$C$49</f>
        <v/>
      </c>
      <c r="E44" s="55">
        <f>B44*D44</f>
        <v/>
      </c>
      <c r="H44" s="41" t="inlineStr">
        <is>
          <t>134.423 hab × 1,669 × 65%  +  100 mil t de obras × 60%</t>
        </is>
      </c>
    </row>
    <row r="45">
      <c r="A45" s="47" t="inlineStr">
        <is>
          <t>Conceição da Barra</t>
        </is>
      </c>
      <c r="B45" s="49" t="n">
        <v>73.2</v>
      </c>
      <c r="C45" s="53" t="n">
        <v>12068</v>
      </c>
      <c r="D45" s="52">
        <f>C45/$C$49</f>
        <v/>
      </c>
      <c r="E45" s="55">
        <f>B45*D45</f>
        <v/>
      </c>
      <c r="H45" s="41" t="inlineStr">
        <is>
          <t>28.923 hab × 1,669 × 25%</t>
        </is>
      </c>
    </row>
    <row r="46">
      <c r="A46" s="47" t="inlineStr">
        <is>
          <t>Boa Esperança</t>
        </is>
      </c>
      <c r="B46" s="49" t="n">
        <v>27.9</v>
      </c>
      <c r="C46" s="53" t="n">
        <v>3519</v>
      </c>
      <c r="D46" s="52">
        <f>C46/$C$49</f>
        <v/>
      </c>
      <c r="E46" s="55">
        <f>B46*D46</f>
        <v/>
      </c>
      <c r="H46" s="41" t="inlineStr">
        <is>
          <t>14.054 hab × 1,669 × 15%</t>
        </is>
      </c>
    </row>
    <row r="47">
      <c r="A47" s="47" t="inlineStr">
        <is>
          <t>Jaguaré</t>
        </is>
      </c>
      <c r="B47" s="49" t="n">
        <v>39.6</v>
      </c>
      <c r="C47" s="53" t="n">
        <v>10532</v>
      </c>
      <c r="D47" s="52">
        <f>C47/$C$49</f>
        <v/>
      </c>
      <c r="E47" s="55">
        <f>B47*D47</f>
        <v/>
      </c>
      <c r="H47" s="41" t="inlineStr">
        <is>
          <t>31.551 hab × 1,669 × 20%</t>
        </is>
      </c>
    </row>
    <row r="48">
      <c r="A48" s="47" t="inlineStr">
        <is>
          <t>Nova Venécia + Pinheiros</t>
        </is>
      </c>
      <c r="B48" s="49" t="n">
        <v>41.6</v>
      </c>
      <c r="C48" s="53" t="n">
        <v>12868</v>
      </c>
      <c r="D48" s="52">
        <f>C48/$C$49</f>
        <v/>
      </c>
      <c r="E48" s="55">
        <f>B48*D48</f>
        <v/>
      </c>
      <c r="H48" s="41" t="inlineStr">
        <is>
          <t>77.100 hab × 1,669 × 10%</t>
        </is>
      </c>
    </row>
    <row r="49">
      <c r="A49" s="45" t="inlineStr">
        <is>
          <t>TOTAL / RAIO PONDERADO</t>
        </is>
      </c>
      <c r="C49" s="56">
        <f>SUM(C44:C48)</f>
        <v/>
      </c>
      <c r="D49" s="57">
        <f>SUM(D44:D48)</f>
        <v/>
      </c>
      <c r="E49" s="58">
        <f>SUM(E44:E48)</f>
        <v/>
      </c>
    </row>
    <row r="50" ht="26" customHeight="1">
      <c r="A50" s="47" t="inlineStr">
        <is>
          <t>Frete correspondente ao raio ponderado (R$/t)</t>
        </is>
      </c>
      <c r="B50" s="54">
        <f>ROUND(E49*$B$6,2)</f>
        <v/>
      </c>
      <c r="C50" s="47">
        <f>IF(ABS(B50-B30)&lt;=1,"confere com a premissa","DIVERGE — revisar o raio")</f>
        <v/>
      </c>
      <c r="H50" s="41" t="inlineStr">
        <is>
          <t>As medições do cliente validam a premissa: o raio ponderado dá praticamente os 45 km adotados, e o frete derivado praticamente os R$ 41/t.</t>
        </is>
      </c>
    </row>
    <row r="52">
      <c r="A52" s="42" t="inlineStr">
        <is>
          <t>E · CONFERÊNCIA CONTRA A OPERAÇÃO REAL DO GRUPO (PVV 2025)</t>
        </is>
      </c>
      <c r="B52" s="43" t="n"/>
      <c r="C52" s="43" t="n"/>
      <c r="D52" s="43" t="n"/>
      <c r="E52" s="43" t="n"/>
      <c r="F52" s="43" t="n"/>
      <c r="G52" s="43" t="n"/>
      <c r="H52" s="43" t="n"/>
    </row>
    <row r="53">
      <c r="A53" s="41" t="inlineStr">
        <is>
          <t>A premissa não se apoia só na aritmética: a unidade em operação mostra quanto a entrega efetivamente agrega por tonelada.</t>
        </is>
      </c>
    </row>
    <row r="54" ht="26" customHeight="1">
      <c r="A54" s="47" t="inlineStr">
        <is>
          <t>Preço médio realizado 2025, consolidado (R$/t)</t>
        </is>
      </c>
      <c r="B54" s="48">
        <f>Mix_Produtos!F18</f>
        <v/>
      </c>
      <c r="H54" s="41" t="inlineStr">
        <is>
          <t>receita bruta 17.137.603 ÷ 147.565 t — inclui varejo das filiais e a logística até elas</t>
        </is>
      </c>
    </row>
    <row r="55">
      <c r="A55" s="47" t="inlineStr">
        <is>
          <t>(−) Logística/estrutura de filiais embutida</t>
        </is>
      </c>
      <c r="B55" s="52">
        <f>Mix_Produtos!F19</f>
        <v/>
      </c>
    </row>
    <row r="56">
      <c r="A56" s="47" t="inlineStr">
        <is>
          <t>(=) FOB-equivalente, na porteira (R$/t)</t>
        </is>
      </c>
      <c r="B56" s="48">
        <f>Mix_Produtos!F20</f>
        <v/>
      </c>
    </row>
    <row r="57">
      <c r="A57" s="45" t="inlineStr">
        <is>
          <t>DIFERENÇA — o que a entrega agrega por tonelada, na prática</t>
        </is>
      </c>
      <c r="B57" s="46">
        <f>ROUND(B54-B56,2)</f>
        <v/>
      </c>
    </row>
    <row r="58">
      <c r="A58" s="47" t="inlineStr">
        <is>
          <t>Adotado neste modelo (R$/t)</t>
        </is>
      </c>
      <c r="B58" s="48">
        <f>B30</f>
        <v/>
      </c>
    </row>
    <row r="59">
      <c r="A59" s="47" t="inlineStr">
        <is>
          <t>Folga de prudência do modelo</t>
        </is>
      </c>
      <c r="B59" s="48">
        <f>ROUND(B57-B58,2)</f>
        <v/>
      </c>
      <c r="H59" s="41" t="inlineStr">
        <is>
          <t>positivo = o modelo cobra menos do que a operação real agrega</t>
        </is>
      </c>
    </row>
    <row r="60" ht="30" customHeight="1">
      <c r="A60" s="41" t="inlineStr">
        <is>
          <t>RESSALVA: os R$ 42/t da PVV incluem a estrutura de filiais, que a CIPREM não terá — a comparação é de ORDEM DE GRANDEZA, não igualdade exata. O que ela mostra é que R$ 41/t de frete numa operação de brita não é número inventado: é o que o próprio grupo já realiza.</t>
        </is>
      </c>
    </row>
    <row r="61" ht="26" customHeight="1">
      <c r="A61" s="47" t="inlineStr">
        <is>
          <t>Corroboração cruzada — preço FOB pelo mix real de produtos (R$/t)</t>
        </is>
      </c>
      <c r="B61" s="48">
        <f>Mix_Produtos!F14</f>
        <v/>
      </c>
      <c r="H61" s="41" t="inlineStr">
        <is>
          <t>dois caminhos independentes para a mesma grandeza: R$ 76,80/t pelo mix de 8 produtos e R$ 74,08/t pela via da receita consolidada</t>
        </is>
      </c>
    </row>
    <row r="63">
      <c r="A63" s="42" t="inlineStr">
        <is>
          <t>F · SENSIBILIDADE AO COEFICIENTE</t>
        </is>
      </c>
      <c r="B63" s="43" t="n"/>
      <c r="C63" s="43" t="n"/>
      <c r="D63" s="43" t="n"/>
      <c r="E63" s="43" t="n"/>
      <c r="F63" s="43" t="n"/>
      <c r="G63" s="43" t="n"/>
      <c r="H63" s="43" t="n"/>
    </row>
    <row r="64">
      <c r="A64" s="44" t="inlineStr">
        <is>
          <t>Cenário</t>
        </is>
      </c>
      <c r="B64" s="44" t="inlineStr">
        <is>
          <t>R$/t·km</t>
        </is>
      </c>
      <c r="C64" s="44" t="inlineStr">
        <is>
          <t>Vantagem em São Mateus</t>
        </is>
      </c>
      <c r="D64" s="44" t="inlineStr">
        <is>
          <t>vs Mattar</t>
        </is>
      </c>
      <c r="E64" s="44" t="inlineStr"/>
      <c r="F64" s="44" t="inlineStr"/>
      <c r="G64" s="44" t="inlineStr"/>
      <c r="H64" s="44" t="inlineStr">
        <is>
          <t>Efeito</t>
        </is>
      </c>
    </row>
    <row r="65">
      <c r="A65" s="47" t="inlineStr">
        <is>
          <t>Adotado — preço do grupo (carreta)</t>
        </is>
      </c>
      <c r="B65" s="48">
        <f>B6</f>
        <v/>
      </c>
      <c r="D65" s="48">
        <f>ROUND(B65*(66.8-40.7),1)</f>
        <v/>
      </c>
      <c r="H65" s="51" t="inlineStr">
        <is>
          <t>base do pacote</t>
        </is>
      </c>
    </row>
    <row r="66" ht="26" customHeight="1">
      <c r="A66" s="47" t="inlineStr">
        <is>
          <t>SICRO/DNIT — referência de custo</t>
        </is>
      </c>
      <c r="B66" s="48">
        <f>B8</f>
        <v/>
      </c>
      <c r="D66" s="48">
        <f>ROUND(B66*(66.8-40.7),1)</f>
        <v/>
      </c>
      <c r="H66" s="41">
        <f>CONCATENATE("régua encolhe ",TEXT(1-B66/B65,"0%")," — a ordem das praças e a "    "classificação de todas elas ficam inalteradas")</f>
        <v/>
      </c>
    </row>
    <row r="68" ht="32" customHeight="1">
      <c r="A68" s="41" t="inlineStr">
        <is>
          <t>Nota sobre o modelo financeiro: um coeficiente maior AUMENTA a vantagem calculada na régua (seção B), porque ela é uma diferença multiplicada pela taxa — por isso a sensibilidade acima é declarada. Já na projeção (seção C) o efeito é de segunda ordem: receita e custo de frete se movem juntos, e só a margem logística de 28% varia.</t>
        </is>
      </c>
    </row>
  </sheetData>
  <mergeCells count="8">
    <mergeCell ref="A26:H26"/>
    <mergeCell ref="A53:H53"/>
    <mergeCell ref="A2:H2"/>
    <mergeCell ref="A42:H42"/>
    <mergeCell ref="A60:H60"/>
    <mergeCell ref="A68:H68"/>
    <mergeCell ref="A11:H11"/>
    <mergeCell ref="A23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2c+12a · platô 237.516 t/ano no ano 3 (BASE)</t>
        </is>
      </c>
      <c r="B5" s="15" t="n">
        <v>0.4463519561697299</v>
      </c>
      <c r="C5" s="26" t="inlineStr">
        <is>
          <t>PASSA</t>
        </is>
      </c>
      <c r="D5" s="2" t="inlineStr">
        <is>
          <t>44,6%</t>
        </is>
      </c>
    </row>
    <row r="6">
      <c r="A6" s="3" t="inlineStr">
        <is>
          <t>Pleito R$ 24,29 mi · 14a · 2c+12a · estresse de rendimento a 91,6% (217.517 t/ano)</t>
        </is>
      </c>
      <c r="B6" s="15" t="n">
        <v>0.494397092153865</v>
      </c>
      <c r="C6" s="26" t="inlineStr">
        <is>
          <t>PASSA</t>
        </is>
      </c>
      <c r="D6" s="2" t="inlineStr">
        <is>
          <t>49,4%</t>
        </is>
      </c>
    </row>
    <row r="7">
      <c r="A7" s="3" t="inlineStr">
        <is>
          <t>Pleito R$ 24,29 mi · 14a · 2c+12a · platô 216.000 t no ano 3</t>
        </is>
      </c>
      <c r="B7" s="15" t="n">
        <v>0.4984788064814632</v>
      </c>
      <c r="C7" s="26" t="inlineStr">
        <is>
          <t>PASSA</t>
        </is>
      </c>
      <c r="D7" s="2" t="inlineStr">
        <is>
          <t>49,8%</t>
        </is>
      </c>
    </row>
    <row r="8">
      <c r="A8" s="3" t="inlineStr">
        <is>
          <t>Pleito R$ 24,29 mi · 14a · 2c+12a · platô 216.000 t no ano 4 (versão anterior)</t>
        </is>
      </c>
      <c r="B8" s="15" t="n">
        <v>0.5095582689725452</v>
      </c>
      <c r="C8" s="26" t="inlineStr">
        <is>
          <t>NÃO PASSA</t>
        </is>
      </c>
      <c r="D8" s="2" t="inlineStr">
        <is>
          <t>51,0%</t>
        </is>
      </c>
    </row>
    <row r="9">
      <c r="A9" s="3" t="inlineStr">
        <is>
          <t>Pleito R$ 24,29 mi · 14a · 2c+12a · preço R$ 82/t (ref. PVV)</t>
        </is>
      </c>
      <c r="B9" s="15" t="n">
        <v>0.3640766220609473</v>
      </c>
      <c r="C9" s="26" t="inlineStr">
        <is>
          <t>PASSA</t>
        </is>
      </c>
      <c r="D9" s="2" t="inlineStr">
        <is>
          <t>36,4%</t>
        </is>
      </c>
    </row>
    <row r="10">
      <c r="A10" s="3" t="inlineStr">
        <is>
          <t>Pleito R$ 24,29 mi · 14a · 2c+12a · produção 95% da licença</t>
        </is>
      </c>
      <c r="B10" s="15" t="n">
        <v>0.4195555213384505</v>
      </c>
      <c r="C10" s="26" t="inlineStr">
        <is>
          <t>PASSA</t>
        </is>
      </c>
      <c r="D10" s="2" t="inlineStr">
        <is>
          <t>42,0%</t>
        </is>
      </c>
    </row>
    <row r="11">
      <c r="A11" s="3" t="inlineStr">
        <is>
          <t>Pleito R$ 24,29 mi · 14a · 3c+11a · platô 237.516 t no ano 3</t>
        </is>
      </c>
      <c r="B11" s="15" t="n">
        <v>0.4878939251758458</v>
      </c>
      <c r="C11" s="26" t="inlineStr">
        <is>
          <t>PASSA</t>
        </is>
      </c>
      <c r="D11" s="2" t="inlineStr">
        <is>
          <t>48,8%</t>
        </is>
      </c>
    </row>
    <row r="12">
      <c r="A12" s="3" t="inlineStr">
        <is>
          <t>Pleito R$ 24,29 mi · 14a · 4c+10a · platô 237.516 t no ano 3</t>
        </is>
      </c>
      <c r="B12" s="15" t="n">
        <v>0.5379606443360773</v>
      </c>
      <c r="C12" s="26" t="inlineStr">
        <is>
          <t>NÃO PASSA</t>
        </is>
      </c>
      <c r="D12" s="2" t="inlineStr">
        <is>
          <t>53,8%</t>
        </is>
      </c>
    </row>
    <row r="14">
      <c r="A14" s="3" t="inlineStr">
        <is>
          <t>FINANCIAMENTO MÁXIMO QUE PASSA (≤50%)</t>
        </is>
      </c>
    </row>
    <row r="15">
      <c r="A15" s="3" t="inlineStr">
        <is>
          <t>14a · 2c+12a · platô 237.516 t/ano no ano 3 (BASE)</t>
        </is>
      </c>
      <c r="B15" s="14" t="n">
        <v>26399654.68</v>
      </c>
    </row>
    <row r="16">
      <c r="A16" s="3" t="inlineStr">
        <is>
          <t>14a · 2c+12a · estresse de rendimento a 91,6% (217.517 t/ano)</t>
        </is>
      </c>
      <c r="B16" s="14" t="n">
        <v>24488818.6</v>
      </c>
    </row>
    <row r="17">
      <c r="A17" s="3" t="inlineStr">
        <is>
          <t>14a · 2c+12a · platô 216.000 t no ano 3</t>
        </is>
      </c>
      <c r="B17" s="14" t="n">
        <v>24343874.44</v>
      </c>
    </row>
    <row r="18">
      <c r="A18" s="3" t="inlineStr">
        <is>
          <t>14a · 2c+12a · platô 216.000 t no ano 4 (versão anterior)</t>
        </is>
      </c>
      <c r="B18" s="14" t="n">
        <v>23964142.39</v>
      </c>
    </row>
    <row r="19">
      <c r="A19" s="3" t="inlineStr">
        <is>
          <t>14a · 2c+12a · preço R$ 82/t (ref. PVV)</t>
        </is>
      </c>
      <c r="B19" s="14" t="n">
        <v>30872163.77</v>
      </c>
    </row>
    <row r="20">
      <c r="A20" s="3" t="inlineStr">
        <is>
          <t>14a · 2c+12a · produção 95% da licença</t>
        </is>
      </c>
      <c r="B20" s="14" t="n">
        <v>27660200.76</v>
      </c>
    </row>
    <row r="21">
      <c r="A21" s="3" t="inlineStr">
        <is>
          <t>14a · 3c+11a · platô 237.516 t no ano 3</t>
        </is>
      </c>
      <c r="B21" s="14" t="n">
        <v>24736529.56</v>
      </c>
    </row>
    <row r="22">
      <c r="A22" s="3" t="inlineStr">
        <is>
          <t>14a · 4c+10a · platô 237.516 t no ano 3</t>
        </is>
      </c>
      <c r="B22" s="14" t="n">
        <v>22990827.46</v>
      </c>
    </row>
    <row r="24">
      <c r="A24" s="3" t="inlineStr">
        <is>
          <t>Fórmulas sem cache: o Excel recalcula ao abrir. Rédito = Receita BRUTA × (1 − custo padrão 68,62%). Motor: capacidade_pagamento.py (réplica do VBA oficial do BNB), validado contra a âncora de 50,96% do platô anterior.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2"/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4" t="inlineStr">
        <is>
          <t>BASE (platô 237.516 t no ano 3 · preço 68,50 · 2c+12a · 10,3493%)</t>
        </is>
      </c>
      <c r="B4" s="14" t="n">
        <v>18926646</v>
      </c>
      <c r="C4" s="14" t="n">
        <v>7340482.02</v>
      </c>
      <c r="D4" s="14" t="n">
        <v>2327138.1</v>
      </c>
      <c r="E4" s="17" t="n">
        <v>1.534294510013358</v>
      </c>
      <c r="F4" s="15" t="n">
        <v>0.1769284914804515</v>
      </c>
      <c r="G4" s="14" t="n">
        <v>4927889.77581582</v>
      </c>
      <c r="H4" s="3" t="inlineStr">
        <is>
          <t>51,0% ✗ (1 p.p.)</t>
        </is>
      </c>
    </row>
    <row r="5">
      <c r="A5" s="4" t="inlineStr">
        <is>
          <t>ESTRESSE DE RENDIMENTO — hipótese de 91,6% (platô 217.517 t no ano 3)</t>
        </is>
      </c>
      <c r="B5" s="14" t="n">
        <v>17556714.5</v>
      </c>
      <c r="C5" s="14" t="n">
        <v>6528622.62</v>
      </c>
      <c r="D5" s="14" t="n">
        <v>1557472.58</v>
      </c>
      <c r="E5" s="17" t="n">
        <v>1.366897171643263</v>
      </c>
      <c r="F5" s="15" t="n">
        <v>0.15706795089973</v>
      </c>
      <c r="G5" s="14" t="n">
        <v>-6303892.299403776</v>
      </c>
      <c r="H5" s="3" t="inlineStr">
        <is>
          <t>—</t>
        </is>
      </c>
    </row>
    <row r="6">
      <c r="A6" s="4" t="inlineStr">
        <is>
          <t>UPSIDE (preço 82 — ref. PVV)</t>
        </is>
      </c>
      <c r="B6" s="14" t="n">
        <v>22133112</v>
      </c>
      <c r="C6" s="14" t="n">
        <v>10130107.44</v>
      </c>
      <c r="D6" s="14" t="n">
        <v>5018004.37</v>
      </c>
      <c r="E6" s="17" t="n">
        <v>2.127244362005543</v>
      </c>
      <c r="F6" s="15" t="n">
        <v>0.2498390626448713</v>
      </c>
      <c r="G6" s="14" t="n">
        <v>-7129164.450326623</v>
      </c>
      <c r="H6" s="3" t="inlineStr">
        <is>
          <t>—</t>
        </is>
      </c>
    </row>
    <row r="7">
      <c r="A7" s="4" t="inlineStr">
        <is>
          <t>95% DA LICENÇA (250.709 t/ano do ano 3)</t>
        </is>
      </c>
      <c r="B7" s="14" t="n">
        <v>19830366.5</v>
      </c>
      <c r="C7" s="14" t="n">
        <v>7876051.86</v>
      </c>
      <c r="D7" s="14" t="n">
        <v>2834873.34</v>
      </c>
      <c r="E7" s="17" t="n">
        <v>1.644723685727977</v>
      </c>
      <c r="F7" s="15" t="n">
        <v>0.1892432140057955</v>
      </c>
      <c r="G7" s="14" t="n">
        <v>-14776093.99485386</v>
      </c>
      <c r="H7" s="3" t="inlineStr">
        <is>
          <t>—</t>
        </is>
      </c>
    </row>
    <row r="8">
      <c r="A8" s="4" t="inlineStr">
        <is>
          <t>CONSERVADOR (preço −15% · platô adiado ao ano 4)</t>
        </is>
      </c>
      <c r="B8" s="14" t="n">
        <v>16486169.1</v>
      </c>
      <c r="C8" s="14" t="n">
        <v>5217267.12</v>
      </c>
      <c r="D8" s="14" t="n">
        <v>279089.88</v>
      </c>
      <c r="E8" s="17" t="n">
        <v>0.7089153059117655</v>
      </c>
      <c r="F8" s="15" t="n">
        <v>0.1036007927960775</v>
      </c>
      <c r="G8" s="14" t="n">
        <v>18315725.66144409</v>
      </c>
      <c r="H8" s="3" t="inlineStr">
        <is>
          <t>41,3% ✓</t>
        </is>
      </c>
    </row>
    <row r="9">
      <c r="A9" s="4" t="inlineStr">
        <is>
          <t>ESTRESSE (conservador + juros 11,35%)</t>
        </is>
      </c>
      <c r="B9" s="14" t="n">
        <v>16486169.1</v>
      </c>
      <c r="C9" s="14" t="n">
        <v>5217267.12</v>
      </c>
      <c r="D9" s="14" t="n">
        <v>56271.31</v>
      </c>
      <c r="E9" s="17" t="n">
        <v>0.6728740757698906</v>
      </c>
      <c r="F9" s="15" t="n">
        <v>0.1036007927960775</v>
      </c>
      <c r="G9" s="14" t="n">
        <v>12340507.25206514</v>
      </c>
      <c r="H9" s="3" t="inlineStr">
        <is>
          <t>42,0% ✓</t>
        </is>
      </c>
    </row>
    <row r="10">
      <c r="A10" s="4" t="inlineStr">
        <is>
          <t>REFERÊNCIA — platô anterior 216.000 t no ano 4</t>
        </is>
      </c>
      <c r="B10" s="14" t="n">
        <v>17452800</v>
      </c>
      <c r="C10" s="14" t="n">
        <v>6467040</v>
      </c>
      <c r="D10" s="14" t="n">
        <v>1499090.54</v>
      </c>
      <c r="E10" s="17" t="n">
        <v>1.050930705812949</v>
      </c>
      <c r="F10" s="15" t="n">
        <v>0.1494322271217648</v>
      </c>
      <c r="G10" s="14" t="n"/>
    </row>
    <row r="11">
      <c r="A11" s="4" t="inlineStr">
        <is>
          <t>RESERVA ATUAL (platô 9.200 t/mês — cubagem 2019)</t>
        </is>
      </c>
      <c r="B11" s="14" t="n">
        <v>9146640</v>
      </c>
      <c r="C11" s="14" t="n">
        <v>2019324</v>
      </c>
      <c r="D11" s="14" t="n">
        <v>-2692795.74</v>
      </c>
      <c r="E11" s="17" t="n">
        <v>0.4069684272780723</v>
      </c>
      <c r="F11" s="15" t="n">
        <v>-0.009372448266384115</v>
      </c>
      <c r="G11" s="14" t="n"/>
    </row>
    <row r="12"/>
    <row r="13">
      <c r="A13" s="2" t="inlineStr">
        <is>
          <t>Recomendação: 14 anos = 2 carência + 12 amortização, platô de 237.516 t/ano (90% da licença) alcançado no ano 3 — o gargalo do DSCR é o ano 3, não o nível do platô. A linha ESTRESSE DE RENDIMENTO é teste de sensibilidade, não hipótese de trabalho: a verificação do processo produtivo afastou a perda de britagem (circuito fechado, escalpe convertido em bica corrida, sem lavagem, finos comercializados). O modelo não aplica fator de rendimento.</t>
        </is>
      </c>
    </row>
    <row r="14"/>
    <row r="15">
      <c r="A15" s="4" t="inlineStr">
        <is>
          <t>PRODUÇÃO NECESSÁRIA POR ANO (solver sobre o motor · preço R$ 68,50/t · valores em t/mês; % = fração da licença de 8.000 m³ in situ)</t>
        </is>
      </c>
    </row>
    <row r="16">
      <c r="A16" s="21" t="inlineStr">
        <is>
          <t>Ano</t>
        </is>
      </c>
      <c r="B16" s="21" t="inlineStr">
        <is>
          <t>Serviço da dívida (R$)</t>
        </is>
      </c>
      <c r="C16" s="21" t="inlineStr">
        <is>
          <t>Mínimo (DSCR 1,0)</t>
        </is>
      </c>
      <c r="D16" s="21" t="inlineStr">
        <is>
          <t>Conforto (DSCR 1,2)</t>
        </is>
      </c>
      <c r="E16" s="21" t="inlineStr">
        <is>
          <t>Recomendado (DSCR 1,3)</t>
        </is>
      </c>
      <c r="F16" s="21" t="inlineStr">
        <is>
          <t>% licença (recom.)</t>
        </is>
      </c>
      <c r="G16" s="21" t="inlineStr">
        <is>
          <t>Plano atual (t/mês)</t>
        </is>
      </c>
    </row>
    <row r="17">
      <c r="A17" s="28" t="n">
        <v>1</v>
      </c>
      <c r="B17" s="14" t="n">
        <v>2513894.42723484</v>
      </c>
      <c r="C17" s="28" t="n">
        <v>8908</v>
      </c>
      <c r="D17" s="28" t="n">
        <v>9977</v>
      </c>
      <c r="E17" s="28" t="n">
        <v>10511</v>
      </c>
      <c r="F17" s="15" t="n">
        <v>0.478</v>
      </c>
      <c r="G17" s="28">
        <f>Premissas!C$38/12</f>
        <v/>
      </c>
    </row>
    <row r="18">
      <c r="A18" s="28" t="n">
        <v>2</v>
      </c>
      <c r="B18" s="14" t="n">
        <v>2513894.42723484</v>
      </c>
      <c r="C18" s="28" t="n">
        <v>9652</v>
      </c>
      <c r="D18" s="28" t="n">
        <v>10721</v>
      </c>
      <c r="E18" s="28" t="n">
        <v>11256</v>
      </c>
      <c r="F18" s="15" t="n">
        <v>0.512</v>
      </c>
      <c r="G18" s="28">
        <f>Premissas!D$38/12</f>
        <v/>
      </c>
    </row>
    <row r="19">
      <c r="A19" s="28" t="n">
        <v>3</v>
      </c>
      <c r="B19" s="14" t="n">
        <v>4538100.91723484</v>
      </c>
      <c r="C19" s="28" t="n">
        <v>14515</v>
      </c>
      <c r="D19" s="28" t="n">
        <v>16465</v>
      </c>
      <c r="E19" s="28" t="n">
        <v>17460</v>
      </c>
      <c r="F19" s="15" t="n">
        <v>0.794</v>
      </c>
      <c r="G19" s="28">
        <f>Premissas!E$38/12</f>
        <v/>
      </c>
    </row>
    <row r="20">
      <c r="A20" s="28" t="n">
        <v>4</v>
      </c>
      <c r="B20" s="14" t="n">
        <v>4328609.71496527</v>
      </c>
      <c r="C20" s="28" t="n">
        <v>14522</v>
      </c>
      <c r="D20" s="28" t="n">
        <v>16356</v>
      </c>
      <c r="E20" s="28" t="n">
        <v>17293</v>
      </c>
      <c r="F20" s="15" t="n">
        <v>0.7859999999999999</v>
      </c>
      <c r="G20" s="28">
        <f>Premissas!F$38/12</f>
        <v/>
      </c>
    </row>
    <row r="21">
      <c r="A21" s="28" t="n">
        <v>5</v>
      </c>
      <c r="B21" s="14" t="n">
        <v>4119118.5126957</v>
      </c>
      <c r="C21" s="28" t="n">
        <v>14088</v>
      </c>
      <c r="D21" s="28" t="n">
        <v>15812</v>
      </c>
      <c r="E21" s="28" t="n">
        <v>16704</v>
      </c>
      <c r="F21" s="15" t="n">
        <v>0.76</v>
      </c>
      <c r="G21" s="28">
        <f>Premissas!G$38/12</f>
        <v/>
      </c>
    </row>
    <row r="22">
      <c r="A22" s="28" t="n">
        <v>6</v>
      </c>
      <c r="B22" s="14" t="n">
        <v>3909627.31042613</v>
      </c>
      <c r="C22" s="28" t="n">
        <v>13653</v>
      </c>
      <c r="D22" s="28" t="n">
        <v>15274</v>
      </c>
      <c r="E22" s="28" t="n">
        <v>16114</v>
      </c>
      <c r="F22" s="15" t="n">
        <v>0.733</v>
      </c>
      <c r="G22" s="28">
        <f>Premissas!H$38/12</f>
        <v/>
      </c>
    </row>
    <row r="23">
      <c r="A23" s="28" t="n">
        <v>7</v>
      </c>
      <c r="B23" s="14" t="n">
        <v>3700136.10815656</v>
      </c>
      <c r="C23" s="28" t="n">
        <v>13219</v>
      </c>
      <c r="D23" s="28" t="n">
        <v>14753</v>
      </c>
      <c r="E23" s="28" t="n">
        <v>15524</v>
      </c>
      <c r="F23" s="15" t="n">
        <v>0.706</v>
      </c>
      <c r="G23" s="28">
        <f>Premissas!I$38/12</f>
        <v/>
      </c>
    </row>
    <row r="24">
      <c r="A24" s="28" t="n">
        <v>8</v>
      </c>
      <c r="B24" s="14" t="n">
        <v>3490644.90588699</v>
      </c>
      <c r="C24" s="28" t="n">
        <v>12785</v>
      </c>
      <c r="D24" s="28" t="n">
        <v>14232</v>
      </c>
      <c r="E24" s="28" t="n">
        <v>14956</v>
      </c>
      <c r="F24" s="15" t="n">
        <v>0.68</v>
      </c>
      <c r="G24" s="28">
        <f>Premissas!J$38/12</f>
        <v/>
      </c>
    </row>
    <row r="25">
      <c r="A25" s="28" t="n">
        <v>9</v>
      </c>
      <c r="B25" s="14" t="n">
        <v>3281153.70361742</v>
      </c>
      <c r="C25" s="28" t="n">
        <v>12350</v>
      </c>
      <c r="D25" s="28" t="n">
        <v>13711</v>
      </c>
      <c r="E25" s="28" t="n">
        <v>14391</v>
      </c>
      <c r="F25" s="15" t="n">
        <v>0.654</v>
      </c>
      <c r="G25" s="28">
        <f>Premissas!K$38/12</f>
        <v/>
      </c>
    </row>
    <row r="26">
      <c r="A26" s="28" t="n">
        <v>10</v>
      </c>
      <c r="B26" s="14" t="n">
        <v>3071662.50134785</v>
      </c>
      <c r="C26" s="28" t="n">
        <v>11916</v>
      </c>
      <c r="D26" s="28" t="n">
        <v>13190</v>
      </c>
      <c r="E26" s="28" t="n">
        <v>13826</v>
      </c>
      <c r="F26" s="15" t="n">
        <v>0.629</v>
      </c>
      <c r="G26" s="28">
        <f>Premissas!L$38/12</f>
        <v/>
      </c>
    </row>
    <row r="27">
      <c r="A27" s="28" t="n">
        <v>11</v>
      </c>
      <c r="B27" s="14" t="n">
        <v>2862171.29907828</v>
      </c>
      <c r="C27" s="28" t="n">
        <v>11482</v>
      </c>
      <c r="D27" s="28" t="n">
        <v>12668</v>
      </c>
      <c r="E27" s="28" t="n">
        <v>13262</v>
      </c>
      <c r="F27" s="15" t="n">
        <v>0.603</v>
      </c>
      <c r="G27" s="28">
        <f>Premissas!M$38/12</f>
        <v/>
      </c>
    </row>
    <row r="28">
      <c r="A28" s="28" t="n">
        <v>12</v>
      </c>
      <c r="B28" s="14" t="n">
        <v>2652680.09680871</v>
      </c>
      <c r="C28" s="28" t="n">
        <v>11047</v>
      </c>
      <c r="D28" s="28" t="n">
        <v>12147</v>
      </c>
      <c r="E28" s="28" t="n">
        <v>12697</v>
      </c>
      <c r="F28" s="15" t="n">
        <v>0.5770000000000001</v>
      </c>
      <c r="G28" s="28">
        <f>Premissas!N$38/12</f>
        <v/>
      </c>
    </row>
    <row r="29">
      <c r="A29" s="28" t="n">
        <v>13</v>
      </c>
      <c r="B29" s="14" t="n">
        <v>2443188.89453914</v>
      </c>
      <c r="C29" s="28" t="n">
        <v>10613</v>
      </c>
      <c r="D29" s="28" t="n">
        <v>11626</v>
      </c>
      <c r="E29" s="28" t="n">
        <v>12133</v>
      </c>
      <c r="F29" s="15" t="n">
        <v>0.552</v>
      </c>
      <c r="G29" s="28">
        <f>Premissas!O$38/12</f>
        <v/>
      </c>
    </row>
    <row r="30">
      <c r="A30" s="28" t="n">
        <v>14</v>
      </c>
      <c r="B30" s="14" t="n">
        <v>2233697.69226957</v>
      </c>
      <c r="C30" s="28" t="n">
        <v>10179</v>
      </c>
      <c r="D30" s="28" t="n">
        <v>11105</v>
      </c>
      <c r="E30" s="28" t="n">
        <v>11568</v>
      </c>
      <c r="F30" s="15" t="n">
        <v>0.526</v>
      </c>
      <c r="G30" s="28">
        <f>Premissas!P$38/12</f>
        <v/>
      </c>
    </row>
    <row r="31">
      <c r="A31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2026-08-18T16:51:01Z</dcterms:modified>
</cp:coreProperties>
</file>