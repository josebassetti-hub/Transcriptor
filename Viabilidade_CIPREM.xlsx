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DRE_PVV_2025" sheetId="3" state="visible" r:id="rId3"/>
    <sheet xmlns:r="http://schemas.openxmlformats.org/officeDocument/2006/relationships" name="Mix_Produtos" sheetId="4" state="visible" r:id="rId4"/>
    <sheet xmlns:r="http://schemas.openxmlformats.org/officeDocument/2006/relationships" name="Frete" sheetId="5" state="visible" r:id="rId5"/>
    <sheet xmlns:r="http://schemas.openxmlformats.org/officeDocument/2006/relationships" name="Producao_Receita" sheetId="6" state="visible" r:id="rId6"/>
    <sheet xmlns:r="http://schemas.openxmlformats.org/officeDocument/2006/relationships" name="Custos" sheetId="7" state="visible" r:id="rId7"/>
    <sheet xmlns:r="http://schemas.openxmlformats.org/officeDocument/2006/relationships" name="FNE_SAC" sheetId="8" state="visible" r:id="rId8"/>
    <sheet xmlns:r="http://schemas.openxmlformats.org/officeDocument/2006/relationships" name="DRE_Projetada" sheetId="9" state="visible" r:id="rId9"/>
    <sheet xmlns:r="http://schemas.openxmlformats.org/officeDocument/2006/relationships" name="Fluxo_Indicadores" sheetId="10" state="visible" r:id="rId10"/>
    <sheet xmlns:r="http://schemas.openxmlformats.org/officeDocument/2006/relationships" name="Capacidade_BNB" sheetId="11" state="visible" r:id="rId11"/>
    <sheet xmlns:r="http://schemas.openxmlformats.org/officeDocument/2006/relationships" name="Sensibil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;(#,##0);-"/>
    <numFmt numFmtId="166" formatCode="R$ #,##0;(R$ #,##0);-"/>
    <numFmt numFmtId="167" formatCode="R$ #,##0.00"/>
    <numFmt numFmtId="168" formatCode="R$ #,##0"/>
    <numFmt numFmtId="169" formatCode="#,##0.0&quot; km&quot;"/>
  </numFmts>
  <fonts count="1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C00000"/>
      <sz val="10"/>
    </font>
    <font>
      <name val="Arial"/>
      <b val="1"/>
      <color rgb="002E7D46"/>
      <sz val="10"/>
    </font>
    <font>
      <b val="1"/>
      <sz val="14"/>
    </font>
    <font>
      <i val="1"/>
      <color rgb="00595959"/>
      <sz val="9"/>
    </font>
    <font>
      <b val="1"/>
      <sz val="10"/>
    </font>
    <font>
      <b val="1"/>
      <color rgb="00FFFFFF"/>
      <sz val="10"/>
    </font>
    <font>
      <sz val="10"/>
    </font>
    <font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B5C"/>
      </patternFill>
    </fill>
    <fill>
      <patternFill patternType="solid">
        <fgColor rgb="00EDF2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2" fontId="3" fillId="2" borderId="0" pivotButton="0" quotePrefix="0" xfId="0"/>
    <xf numFmtId="165" fontId="5" fillId="0" borderId="0" pivotButton="0" quotePrefix="0" xfId="0"/>
    <xf numFmtId="164" fontId="5" fillId="2" borderId="0" pivotButton="0" quotePrefix="0" xfId="0"/>
    <xf numFmtId="166" fontId="5" fillId="0" borderId="0" pivotButton="0" quotePrefix="0" xfId="0"/>
    <xf numFmtId="166" fontId="5" fillId="2" borderId="0" pivotButton="0" quotePrefix="0" xfId="0"/>
    <xf numFmtId="165" fontId="5" fillId="2" borderId="0" pivotButton="0" quotePrefix="0" xfId="0"/>
    <xf numFmtId="0" fontId="6" fillId="3" borderId="0" applyAlignment="1" pivotButton="0" quotePrefix="0" xfId="0">
      <alignment horizontal="center"/>
    </xf>
    <xf numFmtId="166" fontId="3" fillId="0" borderId="0" pivotButton="0" quotePrefix="0" xfId="0"/>
    <xf numFmtId="164" fontId="3" fillId="0" borderId="0" pivotButton="0" quotePrefix="0" xfId="0"/>
    <xf numFmtId="164" fontId="3" fillId="2" borderId="0" pivotButton="0" quotePrefix="0" xfId="0"/>
    <xf numFmtId="2" fontId="3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4" fontId="7" fillId="0" borderId="0" pivotButton="0" quotePrefix="0" xfId="0"/>
    <xf numFmtId="0" fontId="6" fillId="3" borderId="0" pivotButton="0" quotePrefix="0" xfId="0"/>
    <xf numFmtId="164" fontId="3" fillId="4" borderId="0" pivotButton="0" quotePrefix="0" xfId="0"/>
    <xf numFmtId="166" fontId="3" fillId="4" borderId="0" pivotButton="0" quotePrefix="0" xfId="0"/>
    <xf numFmtId="165" fontId="3" fillId="4" borderId="0" pivotButton="0" quotePrefix="0" xfId="0"/>
    <xf numFmtId="2" fontId="3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3" fillId="0" borderId="0" pivotButton="0" quotePrefix="0" xfId="0"/>
    <xf numFmtId="0" fontId="4" fillId="4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5" fontId="4" fillId="4" borderId="0" pivotButton="0" quotePrefix="0" xfId="0"/>
    <xf numFmtId="164" fontId="4" fillId="4" borderId="0" pivotButton="0" quotePrefix="0" xfId="0"/>
    <xf numFmtId="167" fontId="4" fillId="2" borderId="0" pivotButton="0" quotePrefix="0" xfId="0"/>
    <xf numFmtId="168" fontId="4" fillId="4" borderId="0" pivotButton="0" quotePrefix="0" xfId="0"/>
    <xf numFmtId="0" fontId="2" fillId="4" borderId="0" pivotButton="0" quotePrefix="0" xfId="0"/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4" borderId="0" pivotButton="0" quotePrefix="0" xfId="0"/>
    <xf numFmtId="0" fontId="0" fillId="4" borderId="0" pivotButton="0" quotePrefix="0" xfId="0"/>
    <xf numFmtId="0" fontId="13" fillId="3" borderId="0" pivotButton="0" quotePrefix="0" xfId="0"/>
    <xf numFmtId="0" fontId="12" fillId="0" borderId="0" pivotButton="0" quotePrefix="0" xfId="0"/>
    <xf numFmtId="167" fontId="12" fillId="2" borderId="0" pivotButton="0" quotePrefix="0" xfId="0"/>
    <xf numFmtId="0" fontId="14" fillId="0" borderId="0" pivotButton="0" quotePrefix="0" xfId="0"/>
    <xf numFmtId="167" fontId="14" fillId="0" borderId="0" pivotButton="0" quotePrefix="0" xfId="0"/>
    <xf numFmtId="169" fontId="14" fillId="0" borderId="0" pivotButton="0" quotePrefix="0" xfId="0"/>
    <xf numFmtId="169" fontId="15" fillId="0" borderId="0" pivotButton="0" quotePrefix="0" xfId="0"/>
    <xf numFmtId="0" fontId="11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167" fontId="12" fillId="0" borderId="0" pivotButton="0" quotePrefix="0" xfId="0"/>
    <xf numFmtId="4" fontId="14" fillId="0" borderId="0" pivotButton="0" quotePrefix="0" xfId="0"/>
    <xf numFmtId="165" fontId="12" fillId="0" borderId="0" pivotButton="0" quotePrefix="0" xfId="0"/>
    <xf numFmtId="164" fontId="12" fillId="0" borderId="0" pivotButton="0" quotePrefix="0" xfId="0"/>
    <xf numFmtId="169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VIABILIDADE ECONÔMICO-FINANCEIRA — PEDREIRA CIPREM (São Mateus/ES)</t>
        </is>
      </c>
    </row>
    <row r="2">
      <c r="A2" s="2" t="inlineStr">
        <is>
          <t>Modelo construído sobre o benchmark real da Pedreira Vale Verde (PVV) 2025 · Agosto/2026</t>
        </is>
      </c>
    </row>
    <row r="3">
      <c r="A3" s="26" t="inlineStr">
        <is>
          <t>USO INTERNO — ferramenta de trabalho da consultoria (contém dados de benchmark de outra empresa do grupo). NÃO anexar ao processo BNB: os documentos entregues ao banco não citam esta base de comparação.</t>
        </is>
      </c>
    </row>
    <row r="4">
      <c r="A4" s="3" t="inlineStr"/>
    </row>
    <row r="5">
      <c r="A5" s="4" t="inlineStr">
        <is>
          <t>COMO USAR: edite SOMENTE as células AZUIS da aba "Premissas" (as amarelas são as premissas-chave a validar).</t>
        </is>
      </c>
    </row>
    <row r="6">
      <c r="A6" s="3" t="inlineStr">
        <is>
          <t>Todas as demais abas recalculam automaticamente. Não edite células pretas (fórmulas) nem verdes (links entre abas).</t>
        </is>
      </c>
    </row>
    <row r="7">
      <c r="A7" s="3" t="inlineStr"/>
    </row>
    <row r="8">
      <c r="A8" s="4" t="inlineStr">
        <is>
          <t>ABAS: Premissas → entradas | DRE_PVV_2025 → benchmark real | Mix_Produtos → de onde vem o preço/t | Frete → de onde vem o R$/t de frete | Producao_Receita / Custos / DRE_Projetada → projeção 12 anos</t>
        </is>
      </c>
    </row>
    <row r="9">
      <c r="A9" s="3" t="inlineStr">
        <is>
          <t>FNE_SAC → financiamento | Fluxo_Indicadores → TIR, VPL, payback, DSCR | Capacidade_BNB → janela 30-50% (motor oficial)</t>
        </is>
      </c>
    </row>
    <row r="10">
      <c r="A10" s="3" t="inlineStr">
        <is>
          <t>Sensibilidade → resumo dos cenários prontos (inclui 95% da licença) + produção necessária por ano (DSCR 1,0/1,2/1,3).</t>
        </is>
      </c>
    </row>
    <row r="11">
      <c r="A11" s="3" t="inlineStr"/>
    </row>
    <row r="12">
      <c r="A12" s="4" t="inlineStr">
        <is>
          <t>QUATRO AVISOS IMPORTANTES:</t>
        </is>
      </c>
    </row>
    <row r="13">
      <c r="A13" s="3" t="inlineStr">
        <is>
          <t>1) CUSTO PADRÃO BNB: calculado da DRE real da PVV = 68,62% (tabela indústria BNB: 67,77%). VALIDAR com o analista antes do protocolo.</t>
        </is>
      </c>
    </row>
    <row r="14">
      <c r="A14" s="3" t="inlineStr">
        <is>
          <t>2) CAPACIDADE: prazo de 14 anos (condição FNE Mulher) em 2 carência + 12 amortização,</t>
        </is>
      </c>
    </row>
    <row r="15">
      <c r="A15" s="3" t="inlineStr">
        <is>
          <t xml:space="preserve">   com platô de 237.516 t/ano (90% da licença) alcançado no ANO 3: comprometimento 44,6%</t>
        </is>
      </c>
    </row>
    <row r="16">
      <c r="A16" s="3" t="inlineStr">
        <is>
          <t xml:space="preserve">   e máximo financiável R$ 26,40 mi, contra o pleito de R$ 24,29 mi. O platô anterior</t>
        </is>
      </c>
    </row>
    <row r="17">
      <c r="A17" s="3" t="inlineStr">
        <is>
          <t xml:space="preserve">   (216.000 t no ano 4) dava 51,0% e NÃO passava — o gargalo é o ano 3, não o nível.</t>
        </is>
      </c>
    </row>
    <row r="18">
      <c r="A18" s="3" t="inlineStr">
        <is>
          <t>3) RENDIMENTO DE BRITAGEM — RESOLVIDO: a verificação do processo produtivo afastou a perda.</t>
        </is>
      </c>
    </row>
    <row r="19">
      <c r="A19" s="3" t="inlineStr">
        <is>
          <t xml:space="preserve">   A britagem conserva massa; o escalpe vira bica corrida (8% do mix); não há circuito de</t>
        </is>
      </c>
    </row>
    <row r="20">
      <c r="A20" s="3" t="inlineStr">
        <is>
          <t xml:space="preserve">   lavagem; pó de pedra e areia F-Sand são produtos. A diferença de 19.895 t entre desmonte</t>
        </is>
      </c>
    </row>
    <row r="21">
      <c r="A21" s="3" t="inlineStr">
        <is>
          <t xml:space="preserve">   e britados da unidade do grupo em 2025 corresponde a pilha de ROM na virada do ano. O</t>
        </is>
      </c>
    </row>
    <row r="22">
      <c r="A22" s="3" t="inlineStr">
        <is>
          <t xml:space="preserve">   modelo segue sem fator de rendimento; a linha de 217.517 t fica como teste de estresse.</t>
        </is>
      </c>
    </row>
    <row r="23">
      <c r="A23" s="3" t="inlineStr">
        <is>
          <t>4) MIX DE PRODUTOS — PENDÊNCIA: o PAE declara 40% de pó de pedra; este modelo adota 27%.</t>
        </is>
      </c>
    </row>
    <row r="24">
      <c r="A24" s="3" t="inlineStr">
        <is>
          <t xml:space="preserve">   O mix do PAE daria R$ 66,25/t em vez de R$ 68,54 — comprometimento 46,4% (e não 44,6%)</t>
        </is>
      </c>
    </row>
    <row r="25">
      <c r="A25" s="3" t="inlineStr">
        <is>
          <t xml:space="preserve">   e folga de R$ 1,36 mi sobre o pleito (e não R$ 2,11 mi). Passa nas duas hipóteses.</t>
        </is>
      </c>
    </row>
    <row r="26">
      <c r="A26" s="3" t="inlineStr">
        <is>
          <t xml:space="preserve">   Pedir ao fabricante a curva granulométrica garantida do circuito antes do protocolo.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PREMISSAS — edite as células azuis (amarelas = validar antes do protocolo)</t>
        </is>
      </c>
    </row>
    <row r="3">
      <c r="A3" s="4" t="inlineStr">
        <is>
          <t>MIX DE PRODUTOS E PREÇOS FOB (ES)</t>
        </is>
      </c>
    </row>
    <row r="4">
      <c r="A4" s="4" t="inlineStr">
        <is>
          <t>Produto</t>
        </is>
      </c>
      <c r="B4" s="4" t="inlineStr">
        <is>
          <t>% do mix</t>
        </is>
      </c>
      <c r="C4" s="4" t="inlineStr">
        <is>
          <t>Preço R$/t</t>
        </is>
      </c>
    </row>
    <row r="5">
      <c r="A5" s="3" t="inlineStr">
        <is>
          <t>Pó de pedra</t>
        </is>
      </c>
      <c r="B5" s="5" t="n">
        <v>0.27</v>
      </c>
      <c r="C5" s="6" t="n">
        <v>35</v>
      </c>
    </row>
    <row r="6">
      <c r="A6" s="3" t="inlineStr">
        <is>
          <t>Pedrisco/gravilha</t>
        </is>
      </c>
      <c r="B6" s="5" t="n">
        <v>0.14</v>
      </c>
      <c r="C6" s="6" t="n">
        <v>90</v>
      </c>
    </row>
    <row r="7">
      <c r="A7" s="3" t="inlineStr">
        <is>
          <t>Brita 1</t>
        </is>
      </c>
      <c r="B7" s="5" t="n">
        <v>0.33</v>
      </c>
      <c r="C7" s="6" t="n">
        <v>85</v>
      </c>
    </row>
    <row r="8">
      <c r="A8" s="3" t="inlineStr">
        <is>
          <t>Brita 2</t>
        </is>
      </c>
      <c r="B8" s="5" t="n">
        <v>0.18</v>
      </c>
      <c r="C8" s="6" t="n">
        <v>78</v>
      </c>
    </row>
    <row r="9">
      <c r="A9" s="3" t="inlineStr">
        <is>
          <t>Bica corrida/rachão</t>
        </is>
      </c>
      <c r="B9" s="5" t="n">
        <v>0.08</v>
      </c>
      <c r="C9" s="6" t="n">
        <v>55</v>
      </c>
    </row>
    <row r="10">
      <c r="A10" s="4" t="inlineStr">
        <is>
          <t>Preço FOB médio ponderado (R$/t)</t>
        </is>
      </c>
      <c r="B10" s="7">
        <f>ROUND(SUMPRODUCT(B5:B9,C5:C9),1)</f>
        <v/>
      </c>
    </row>
    <row r="12">
      <c r="A12" s="4" t="inlineStr">
        <is>
          <t>COMERCIAL / LOGÍSTICA</t>
        </is>
      </c>
    </row>
    <row r="13">
      <c r="A13" s="3" t="inlineStr">
        <is>
          <t>% das vendas entregues (CIF)</t>
        </is>
      </c>
      <c r="B13" s="5" t="n">
        <v>0.35</v>
      </c>
    </row>
    <row r="14">
      <c r="A14" s="3" t="inlineStr">
        <is>
          <t>Capacidade da frota própria (t/ano)</t>
        </is>
      </c>
      <c r="B14" s="8" t="n">
        <v>64800</v>
      </c>
      <c r="C14" s="2" t="inlineStr">
        <is>
          <t>2 conjuntos Actros+Rossetti ~30,7 t</t>
        </is>
      </c>
    </row>
    <row r="15">
      <c r="A15" s="3" t="inlineStr">
        <is>
          <t>Frete médio CIF (R$/t)</t>
        </is>
      </c>
      <c r="B15" s="6" t="n">
        <v>41</v>
      </c>
      <c r="C15" s="2" t="inlineStr">
        <is>
          <t>45 km × R$ 0,91/t/km (tabela PVV)</t>
        </is>
      </c>
    </row>
    <row r="16">
      <c r="A16" s="3" t="inlineStr">
        <is>
          <t>Custo do frete próprio (% da receita de frete)</t>
        </is>
      </c>
      <c r="B16" s="5" t="n">
        <v>0.72</v>
      </c>
    </row>
    <row r="17">
      <c r="A17" s="3" t="inlineStr">
        <is>
          <t>Deduções s/ receita bruta (ICMS efetivo+PIS+COFINS+devol.)</t>
        </is>
      </c>
      <c r="B17" s="9" t="n">
        <v>0.12</v>
      </c>
      <c r="C17" s="2" t="inlineStr">
        <is>
          <t>PVV real: 9,45% — validar ICMS-ES com contador</t>
        </is>
      </c>
    </row>
    <row r="18">
      <c r="A18" s="3" t="inlineStr">
        <is>
          <t>CFEM (% receita bruta)</t>
        </is>
      </c>
      <c r="B18" s="5" t="n">
        <v>0.01</v>
      </c>
    </row>
    <row r="20">
      <c r="A20" s="4" t="inlineStr">
        <is>
          <t>CUSTOS (benchmark PVV ajustado)</t>
        </is>
      </c>
    </row>
    <row r="21">
      <c r="A21" s="3" t="inlineStr">
        <is>
          <t>Custo variável de produção (R$/t vendida)</t>
        </is>
      </c>
      <c r="B21" s="2" t="inlineStr">
        <is>
          <t>por ano →</t>
        </is>
      </c>
      <c r="C21" s="6" t="n">
        <v>20</v>
      </c>
      <c r="D21" s="6" t="n">
        <v>20</v>
      </c>
      <c r="E21" s="6" t="n">
        <v>19.5</v>
      </c>
      <c r="F21" s="6" t="n">
        <v>19</v>
      </c>
      <c r="G21" s="6" t="n">
        <v>19</v>
      </c>
      <c r="H21" s="6" t="n">
        <v>19</v>
      </c>
      <c r="I21" s="6" t="n">
        <v>19</v>
      </c>
      <c r="J21" s="6" t="n">
        <v>19</v>
      </c>
      <c r="K21" s="6" t="n">
        <v>19</v>
      </c>
      <c r="L21" s="6" t="n">
        <v>19</v>
      </c>
      <c r="M21" s="6" t="n">
        <v>19</v>
      </c>
      <c r="N21" s="6" t="n">
        <v>19</v>
      </c>
      <c r="O21" s="6" t="n">
        <v>19</v>
      </c>
      <c r="P21" s="6" t="n">
        <v>19</v>
      </c>
    </row>
    <row r="22">
      <c r="A22" s="3" t="inlineStr">
        <is>
          <t>Custos fixos de produção (R$/ano)</t>
        </is>
      </c>
      <c r="C22" s="10" t="n">
        <v>700000</v>
      </c>
      <c r="D22" s="10" t="n">
        <v>850000</v>
      </c>
      <c r="E22" s="10" t="n">
        <v>1000000</v>
      </c>
      <c r="F22" s="10" t="n">
        <v>1100000</v>
      </c>
      <c r="G22" s="10" t="n">
        <v>1100000</v>
      </c>
      <c r="H22" s="10" t="n">
        <v>1100000</v>
      </c>
      <c r="I22" s="10" t="n">
        <v>1100000</v>
      </c>
      <c r="J22" s="10" t="n">
        <v>1100000</v>
      </c>
      <c r="K22" s="10" t="n">
        <v>1100000</v>
      </c>
      <c r="L22" s="10" t="n">
        <v>1100000</v>
      </c>
      <c r="M22" s="10" t="n">
        <v>1100000</v>
      </c>
      <c r="N22" s="10" t="n">
        <v>1100000</v>
      </c>
      <c r="O22" s="10" t="n">
        <v>1100000</v>
      </c>
      <c r="P22" s="10" t="n">
        <v>1100000</v>
      </c>
    </row>
    <row r="23">
      <c r="A23" s="3" t="inlineStr">
        <is>
          <t>Despesas adm/comercial/tributárias (R$/ano)</t>
        </is>
      </c>
      <c r="C23" s="10" t="n">
        <v>900000</v>
      </c>
      <c r="D23" s="10" t="n">
        <v>1100000</v>
      </c>
      <c r="E23" s="10" t="n">
        <v>1300000</v>
      </c>
      <c r="F23" s="10" t="n">
        <v>1500000</v>
      </c>
      <c r="G23" s="10" t="n">
        <v>1500000</v>
      </c>
      <c r="H23" s="10" t="n">
        <v>1500000</v>
      </c>
      <c r="I23" s="10" t="n">
        <v>1500000</v>
      </c>
      <c r="J23" s="10" t="n">
        <v>1500000</v>
      </c>
      <c r="K23" s="10" t="n">
        <v>1500000</v>
      </c>
      <c r="L23" s="10" t="n">
        <v>1500000</v>
      </c>
      <c r="M23" s="10" t="n">
        <v>1500000</v>
      </c>
      <c r="N23" s="10" t="n">
        <v>1500000</v>
      </c>
      <c r="O23" s="10" t="n">
        <v>1500000</v>
      </c>
      <c r="P23" s="10" t="n">
        <v>1500000</v>
      </c>
    </row>
    <row r="24">
      <c r="A24" s="3" t="inlineStr">
        <is>
          <t>Custeio de despesas do grupo (R$/ano)</t>
        </is>
      </c>
      <c r="B24" s="10" t="n">
        <v>100000</v>
      </c>
    </row>
    <row r="25">
      <c r="A25" s="3" t="inlineStr">
        <is>
          <t>Depreciação (R$/ano)</t>
        </is>
      </c>
      <c r="B25" s="10" t="n">
        <v>2150000</v>
      </c>
      <c r="C25" s="2" t="inlineStr">
        <is>
          <t>equip. R$19,4mi×10% + obras ~R$5,2mi×4%</t>
        </is>
      </c>
    </row>
    <row r="26">
      <c r="A26" s="3" t="inlineStr">
        <is>
          <t>Capital de giro incremental (% ΔReceita)</t>
        </is>
      </c>
      <c r="B26" s="5" t="n">
        <v>0.08</v>
      </c>
    </row>
    <row r="28">
      <c r="A28" s="4" t="inlineStr">
        <is>
          <t>INVESTIMENTO E FINANCIAMENTO (FNE)</t>
        </is>
      </c>
    </row>
    <row r="29">
      <c r="A29" s="3" t="inlineStr">
        <is>
          <t>Investimento total (CAPEX, R$)</t>
        </is>
      </c>
      <c r="B29" s="10" t="n">
        <v>25568924.08</v>
      </c>
    </row>
    <row r="30">
      <c r="A30" s="3" t="inlineStr">
        <is>
          <t>Financiamento FNE (R$)</t>
        </is>
      </c>
      <c r="B30" s="11" t="n">
        <v>24290477.88</v>
      </c>
    </row>
    <row r="31">
      <c r="A31" s="3" t="inlineStr">
        <is>
          <t>Prazo total (anos)</t>
        </is>
      </c>
      <c r="B31" s="12" t="n">
        <v>14</v>
      </c>
      <c r="C31" s="2" t="inlineStr">
        <is>
          <t>14 anos — condição FNE Mulher (adm. majoritariamente feminina); comprovar no contrato social</t>
        </is>
      </c>
    </row>
    <row r="32">
      <c r="A32" s="3" t="inlineStr">
        <is>
          <t>Carência (anos)</t>
        </is>
      </c>
      <c r="B32" s="12" t="n">
        <v>2</v>
      </c>
      <c r="C32" s="2" t="inlineStr">
        <is>
          <t>2+12 — montagem que passa na janela já na receita-base</t>
        </is>
      </c>
    </row>
    <row r="33">
      <c r="A33" s="3" t="inlineStr">
        <is>
          <t>Juros (% a.a.)</t>
        </is>
      </c>
      <c r="B33" s="9" t="n">
        <v>0.103493</v>
      </c>
      <c r="C33" s="2" t="inlineStr">
        <is>
          <t>taxa FNE informada ago/2026; bônus de adimplência não contado (colchão)</t>
        </is>
      </c>
    </row>
    <row r="34">
      <c r="A34" s="3" t="inlineStr">
        <is>
          <t>TMA / taxa de desconto (% a.a.)</t>
        </is>
      </c>
      <c r="B34" s="5" t="n">
        <v>0.12</v>
      </c>
    </row>
    <row r="36">
      <c r="A36" s="4" t="inlineStr">
        <is>
          <t>VENDAS (t/ano) — ramp do plano de produção</t>
        </is>
      </c>
    </row>
    <row r="37">
      <c r="C37" s="13" t="inlineStr">
        <is>
          <t>Ano 1</t>
        </is>
      </c>
      <c r="D37" s="13" t="inlineStr">
        <is>
          <t>Ano 2</t>
        </is>
      </c>
      <c r="E37" s="13" t="inlineStr">
        <is>
          <t>Ano 3</t>
        </is>
      </c>
      <c r="F37" s="13" t="inlineStr">
        <is>
          <t>Ano 4</t>
        </is>
      </c>
      <c r="G37" s="13" t="inlineStr">
        <is>
          <t>Ano 5</t>
        </is>
      </c>
      <c r="H37" s="13" t="inlineStr">
        <is>
          <t>Ano 6</t>
        </is>
      </c>
      <c r="I37" s="13" t="inlineStr">
        <is>
          <t>Ano 7</t>
        </is>
      </c>
      <c r="J37" s="13" t="inlineStr">
        <is>
          <t>Ano 8</t>
        </is>
      </c>
      <c r="K37" s="13" t="inlineStr">
        <is>
          <t>Ano 9</t>
        </is>
      </c>
      <c r="L37" s="13" t="inlineStr">
        <is>
          <t>Ano 10</t>
        </is>
      </c>
      <c r="M37" s="13" t="inlineStr">
        <is>
          <t>Ano 11</t>
        </is>
      </c>
      <c r="N37" s="13" t="inlineStr">
        <is>
          <t>Ano 12</t>
        </is>
      </c>
      <c r="O37" s="13" t="inlineStr">
        <is>
          <t>Ano 13</t>
        </is>
      </c>
      <c r="P37" s="13" t="inlineStr">
        <is>
          <t>Ano 14</t>
        </is>
      </c>
    </row>
    <row r="38">
      <c r="A38" s="3" t="inlineStr">
        <is>
          <t>Vendas (t)</t>
        </is>
      </c>
      <c r="C38" s="8" t="n">
        <v>63000</v>
      </c>
      <c r="D38" s="8" t="n">
        <v>126000</v>
      </c>
      <c r="E38" s="8" t="n">
        <v>237516</v>
      </c>
      <c r="F38" s="8" t="n">
        <v>237516</v>
      </c>
      <c r="G38" s="8" t="n">
        <v>237516</v>
      </c>
      <c r="H38" s="8" t="n">
        <v>237516</v>
      </c>
      <c r="I38" s="8" t="n">
        <v>237516</v>
      </c>
      <c r="J38" s="8" t="n">
        <v>237516</v>
      </c>
      <c r="K38" s="8" t="n">
        <v>237516</v>
      </c>
      <c r="L38" s="8" t="n">
        <v>237516</v>
      </c>
      <c r="M38" s="8" t="n">
        <v>237516</v>
      </c>
      <c r="N38" s="8" t="n">
        <v>237516</v>
      </c>
      <c r="O38" s="8" t="n">
        <v>237516</v>
      </c>
      <c r="P38" s="8" t="n">
        <v>237516</v>
      </c>
    </row>
    <row r="39">
      <c r="A39" s="2" t="inlineStr">
        <is>
          <t>Nota: platô 237.516 t/ano = 7.200 m³ in situ/mês = 90% da licença (LI IEMA 000478/2025-D, 8.000 m³/mês) e ≈ o realizado 2025 da PVV (236.280 t desmontadas). Ano 1 começa em 5.250 t/mês; platô a partir do ano 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40" customWidth="1" min="4" max="4"/>
  </cols>
  <sheetData>
    <row r="1">
      <c r="A1" s="1" t="inlineStr">
        <is>
          <t>BENCHMARK — DRE REAL PVV 2025 (BI do grupo, conciliada)</t>
        </is>
      </c>
    </row>
    <row r="2">
      <c r="A2" s="2" t="inlineStr">
        <is>
          <t>Vendas grupo 147.565 t (PVV 75.189 + Porto 44.783 + Trancoso 27.593) · produção 216.385 t · preços×volumes fecham com a receita líquida em 99,6%</t>
        </is>
      </c>
    </row>
    <row r="4">
      <c r="A4" s="4" t="inlineStr">
        <is>
          <t>Linha</t>
        </is>
      </c>
      <c r="B4" s="4" t="inlineStr">
        <is>
          <t>R$ 2025</t>
        </is>
      </c>
      <c r="C4" s="4" t="inlineStr">
        <is>
          <t>% RB</t>
        </is>
      </c>
      <c r="D4" s="4" t="inlineStr">
        <is>
          <t>Composição</t>
        </is>
      </c>
    </row>
    <row r="5">
      <c r="A5" s="3" t="inlineStr">
        <is>
          <t>Receita Bruta Operacional</t>
        </is>
      </c>
      <c r="B5" s="14" t="n">
        <v>17137603</v>
      </c>
      <c r="C5" s="15">
        <f>B5/$B$5</f>
        <v/>
      </c>
      <c r="D5" s="2" t="inlineStr">
        <is>
          <t>vendas 16.408.947 + serviços 728.655</t>
        </is>
      </c>
    </row>
    <row r="6">
      <c r="A6" s="3" t="inlineStr">
        <is>
          <t>(–) Deduções da receita</t>
        </is>
      </c>
      <c r="B6" s="14" t="n">
        <v>-1620318</v>
      </c>
      <c r="C6" s="15">
        <f>B6/$B$5</f>
        <v/>
      </c>
      <c r="D6" s="2" t="inlineStr">
        <is>
          <t>9,45% da bruta</t>
        </is>
      </c>
    </row>
    <row r="7">
      <c r="A7" s="4" t="inlineStr">
        <is>
          <t>(=) Receita Líquida</t>
        </is>
      </c>
      <c r="B7" s="14" t="n">
        <v>15517285</v>
      </c>
      <c r="C7" s="15">
        <f>B7/$B$5</f>
        <v/>
      </c>
      <c r="D7" s="2" t="inlineStr"/>
    </row>
    <row r="8">
      <c r="A8" s="3" t="inlineStr">
        <is>
          <t>(–) Custos dos produtos</t>
        </is>
      </c>
      <c r="B8" s="14" t="n">
        <v>-6515941</v>
      </c>
      <c r="C8" s="15">
        <f>B8/$B$5</f>
        <v/>
      </c>
      <c r="D8" s="2" t="inlineStr">
        <is>
          <t>direto pedra 4.274k · indireto 1.236k · depósitos 474k · CMV 530k</t>
        </is>
      </c>
    </row>
    <row r="9">
      <c r="A9" s="4" t="inlineStr">
        <is>
          <t>(=) Resultado Bruto</t>
        </is>
      </c>
      <c r="B9" s="14" t="n">
        <v>9001344</v>
      </c>
      <c r="C9" s="15">
        <f>B9/$B$5</f>
        <v/>
      </c>
      <c r="D9" s="2" t="inlineStr">
        <is>
          <t>58,0% da RL</t>
        </is>
      </c>
    </row>
    <row r="10">
      <c r="A10" s="3" t="inlineStr">
        <is>
          <t>(–) Despesas operacionais</t>
        </is>
      </c>
      <c r="B10" s="14" t="n">
        <v>-3451609</v>
      </c>
      <c r="C10" s="15">
        <f>B10/$B$5</f>
        <v/>
      </c>
      <c r="D10" s="2" t="inlineStr">
        <is>
          <t>adm 1.698k · comercial 749k · logística entrega 815k · tributárias 141k</t>
        </is>
      </c>
    </row>
    <row r="11">
      <c r="A11" s="4" t="inlineStr">
        <is>
          <t>(=) EBITDA</t>
        </is>
      </c>
      <c r="B11" s="14" t="n">
        <v>5549735</v>
      </c>
      <c r="C11" s="15">
        <f>B11/$B$5</f>
        <v/>
      </c>
      <c r="D11" s="2" t="inlineStr">
        <is>
          <t>35,8% da RL</t>
        </is>
      </c>
    </row>
    <row r="12">
      <c r="A12" s="3" t="inlineStr">
        <is>
          <t>(–) Custeio de despesas do grupo</t>
        </is>
      </c>
      <c r="B12" s="14" t="n">
        <v>-172646</v>
      </c>
      <c r="C12" s="15">
        <f>B12/$B$5</f>
        <v/>
      </c>
      <c r="D12" s="2" t="inlineStr"/>
    </row>
    <row r="13">
      <c r="A13" s="3" t="inlineStr">
        <is>
          <t>(+/-) Resultado não operacional</t>
        </is>
      </c>
      <c r="B13" s="14" t="n">
        <v>-106861</v>
      </c>
      <c r="C13" s="15">
        <f>B13/$B$5</f>
        <v/>
      </c>
      <c r="D13" s="2" t="inlineStr"/>
    </row>
    <row r="14">
      <c r="A14" s="3" t="inlineStr">
        <is>
          <t>(–) Depreciação e amortização</t>
        </is>
      </c>
      <c r="B14" s="14" t="n">
        <v>-2214601</v>
      </c>
      <c r="C14" s="15">
        <f>B14/$B$5</f>
        <v/>
      </c>
      <c r="D14" s="2" t="inlineStr">
        <is>
          <t>14,3% da RL</t>
        </is>
      </c>
    </row>
    <row r="15">
      <c r="A15" s="3" t="inlineStr">
        <is>
          <t>(+/-) Resultado financeiro</t>
        </is>
      </c>
      <c r="B15" s="14" t="n">
        <v>-478392</v>
      </c>
      <c r="C15" s="15">
        <f>B15/$B$5</f>
        <v/>
      </c>
      <c r="D15" s="2" t="inlineStr"/>
    </row>
    <row r="16">
      <c r="A16" s="3" t="inlineStr">
        <is>
          <t>(–) IR e CSLL</t>
        </is>
      </c>
      <c r="B16" s="14" t="n">
        <v>-541447</v>
      </c>
      <c r="C16" s="15">
        <f>B16/$B$5</f>
        <v/>
      </c>
      <c r="D16" s="2" t="inlineStr"/>
    </row>
    <row r="17">
      <c r="A17" s="4" t="inlineStr">
        <is>
          <t>(=) Lucro Líquido</t>
        </is>
      </c>
      <c r="B17" s="14" t="n">
        <v>2035788</v>
      </c>
      <c r="C17" s="15">
        <f>B17/$B$5</f>
        <v/>
      </c>
      <c r="D17" s="2" t="inlineStr">
        <is>
          <t>13,1% da RL · 11,9% da bruta</t>
        </is>
      </c>
    </row>
    <row r="19">
      <c r="A19" s="4" t="inlineStr">
        <is>
          <t>CUSTO PADRÃO BNB (real PVV) = (Deduções+Custos+Despesas+Custeio)/Receita Bruta</t>
        </is>
      </c>
      <c r="B19" s="16">
        <f>(-B6-B8-B10-B12)/B5</f>
        <v/>
      </c>
    </row>
    <row r="21">
      <c r="A21" s="4" t="inlineStr">
        <is>
          <t>UNIT ECONOMICS</t>
        </is>
      </c>
    </row>
    <row r="22">
      <c r="A22" s="3" t="inlineStr">
        <is>
          <t>Preço médio realizado (R$ bruto/t vendida)</t>
        </is>
      </c>
      <c r="B22" s="17">
        <f>B5/147565</f>
        <v/>
      </c>
    </row>
    <row r="23">
      <c r="A23" s="3" t="inlineStr">
        <is>
          <t>Custo produção (R$/t produzida)</t>
        </is>
      </c>
      <c r="B23" s="17">
        <f>-B8/216385</f>
        <v/>
      </c>
    </row>
    <row r="24">
      <c r="A24" s="3" t="inlineStr">
        <is>
          <t>EBITDA por t vendida (R$/t)</t>
        </is>
      </c>
      <c r="B24" s="17">
        <f>B11/147565</f>
        <v/>
      </c>
    </row>
    <row r="25">
      <c r="A25" s="2" t="inlineStr">
        <is>
          <t>Conciliação: produção 216.385 t − vendas 147.565 t − Δestoque −15.799 t ⇒ diferença de ~84 kt (transferências/graduada/uso interno) a confirmar com o cliente.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14" customWidth="1" min="4" max="4"/>
    <col width="12" customWidth="1" min="5" max="5"/>
    <col width="14" customWidth="1" min="6" max="6"/>
    <col width="15" customWidth="1" min="7" max="7"/>
    <col width="40" customWidth="1" min="8" max="8"/>
  </cols>
  <sheetData>
    <row r="1">
      <c r="A1" s="1" t="inlineStr">
        <is>
          <t>MIX DE PRODUTOS — DE ONDE VEM O PREÇO MÉDIO POR TONELADA</t>
        </is>
      </c>
    </row>
    <row r="2">
      <c r="A2" s="2" t="inlineStr">
        <is>
          <t>A britagem gera vários produtos com preços muito diferentes; o modelo NÃO usa preço de um produto único: usa a média ponderada do mix real vendido pela pedreira-modelo (PVV) em 2025, reconciliada abaixo. Azul = dado de documento · preto = fórmula · verde = link entre abas.</t>
        </is>
      </c>
    </row>
    <row r="4">
      <c r="A4" s="29" t="inlineStr">
        <is>
          <t>A · O QUE A PEDREIRA-MODELO (PVV) VENDEU EM 2025 — na pedreira, FOB (sem frete)</t>
        </is>
      </c>
    </row>
    <row r="5">
      <c r="A5" s="13" t="inlineStr">
        <is>
          <t>Produto</t>
        </is>
      </c>
      <c r="B5" s="13" t="inlineStr">
        <is>
          <t>t vendidas</t>
        </is>
      </c>
      <c r="C5" s="13" t="inlineStr">
        <is>
          <t>% do mix</t>
        </is>
      </c>
      <c r="D5" s="13" t="inlineStr">
        <is>
          <t>Preço tabela (R$/t)</t>
        </is>
      </c>
      <c r="E5" s="13" t="inlineStr">
        <is>
          <t>Desconto médio</t>
        </is>
      </c>
      <c r="F5" s="13" t="inlineStr">
        <is>
          <t>Preço líquido (R$/t)</t>
        </is>
      </c>
      <c r="G5" s="13" t="inlineStr">
        <is>
          <t>Receita FOB (R$)</t>
        </is>
      </c>
      <c r="H5" s="13" t="inlineStr">
        <is>
          <t>Observação</t>
        </is>
      </c>
    </row>
    <row r="6">
      <c r="A6" s="3" t="inlineStr">
        <is>
          <t>BRITA 1</t>
        </is>
      </c>
      <c r="B6" s="8" t="n">
        <v>24949.64</v>
      </c>
      <c r="C6" s="15">
        <f>B6/$B$14</f>
        <v/>
      </c>
      <c r="D6" s="30" t="n">
        <v>98</v>
      </c>
      <c r="E6" s="5" t="n">
        <v>0.05</v>
      </c>
      <c r="F6" s="31">
        <f>D6*(1-E6)</f>
        <v/>
      </c>
      <c r="G6" s="32">
        <f>B6*F6</f>
        <v/>
      </c>
      <c r="H6" s="2" t="inlineStr">
        <is>
          <t>na carta CIPREM: brita 1</t>
        </is>
      </c>
    </row>
    <row r="7">
      <c r="A7" s="3" t="inlineStr">
        <is>
          <t>PÓ DE PEDRA</t>
        </is>
      </c>
      <c r="B7" s="8" t="n">
        <v>16312.55</v>
      </c>
      <c r="C7" s="15">
        <f>B7/$B$14</f>
        <v/>
      </c>
      <c r="D7" s="30" t="n">
        <v>25</v>
      </c>
      <c r="E7" s="5" t="n">
        <v>0.15</v>
      </c>
      <c r="F7" s="31">
        <f>D7*(1-E7)</f>
        <v/>
      </c>
      <c r="G7" s="32">
        <f>B7*F7</f>
        <v/>
      </c>
      <c r="H7" s="2" t="inlineStr">
        <is>
          <t>na carta: pó de pedra — 22% do mix na pedreira; sobe a 29% no consolidado</t>
        </is>
      </c>
    </row>
    <row r="8">
      <c r="A8" s="3" t="inlineStr">
        <is>
          <t>BRITA 0</t>
        </is>
      </c>
      <c r="B8" s="8" t="n">
        <v>13608.91</v>
      </c>
      <c r="C8" s="15">
        <f>B8/$B$14</f>
        <v/>
      </c>
      <c r="D8" s="30" t="n">
        <v>120</v>
      </c>
      <c r="E8" s="5" t="n">
        <v>0.06</v>
      </c>
      <c r="F8" s="31">
        <f>D8*(1-E8)</f>
        <v/>
      </c>
      <c r="G8" s="32">
        <f>B8*F8</f>
        <v/>
      </c>
      <c r="H8" s="2" t="inlineStr">
        <is>
          <t>na carta: brita 0</t>
        </is>
      </c>
    </row>
    <row r="9">
      <c r="A9" s="3" t="inlineStr">
        <is>
          <t>PULMÃO (rachão)</t>
        </is>
      </c>
      <c r="B9" s="8" t="n">
        <v>6640.27</v>
      </c>
      <c r="C9" s="15">
        <f>B9/$B$14</f>
        <v/>
      </c>
      <c r="D9" s="30" t="n">
        <v>85</v>
      </c>
      <c r="E9" s="5" t="n">
        <v>0.1</v>
      </c>
      <c r="F9" s="31">
        <f>D9*(1-E9)</f>
        <v/>
      </c>
      <c r="G9" s="32">
        <f>B9*F9</f>
        <v/>
      </c>
      <c r="H9" s="2" t="inlineStr">
        <is>
          <t>não listado na carta; PAE prevê "sob demanda"</t>
        </is>
      </c>
    </row>
    <row r="10">
      <c r="A10" s="3" t="inlineStr">
        <is>
          <t>BRITA GRADUADA (BGS)</t>
        </is>
      </c>
      <c r="B10" s="8" t="n">
        <v>4562.89</v>
      </c>
      <c r="C10" s="15">
        <f>B10/$B$14</f>
        <v/>
      </c>
      <c r="D10" s="30" t="n">
        <v>85</v>
      </c>
      <c r="E10" s="5" t="n">
        <v>0.17</v>
      </c>
      <c r="F10" s="31">
        <f>D10*(1-E10)</f>
        <v/>
      </c>
      <c r="G10" s="32">
        <f>B10*F10</f>
        <v/>
      </c>
      <c r="H10" s="2" t="inlineStr">
        <is>
          <t>na carta: BGS/solo-brita — mistura de pó + britas</t>
        </is>
      </c>
    </row>
    <row r="11">
      <c r="A11" s="3" t="inlineStr">
        <is>
          <t>PEDRISCO</t>
        </is>
      </c>
      <c r="B11" s="8" t="n">
        <v>4279.26</v>
      </c>
      <c r="C11" s="15">
        <f>B11/$B$14</f>
        <v/>
      </c>
      <c r="D11" s="30" t="n">
        <v>80</v>
      </c>
      <c r="E11" s="5" t="n">
        <v>0.11</v>
      </c>
      <c r="F11" s="31">
        <f>D11*(1-E11)</f>
        <v/>
      </c>
      <c r="G11" s="32">
        <f>B11*F11</f>
        <v/>
      </c>
      <c r="H11" s="2" t="inlineStr">
        <is>
          <t>na carta: gravilinha (nome regional)</t>
        </is>
      </c>
    </row>
    <row r="12">
      <c r="A12" s="3" t="inlineStr">
        <is>
          <t>BRITA 2</t>
        </is>
      </c>
      <c r="B12" s="8" t="n">
        <v>4253.52</v>
      </c>
      <c r="C12" s="15">
        <f>B12/$B$14</f>
        <v/>
      </c>
      <c r="D12" s="30" t="n">
        <v>98</v>
      </c>
      <c r="E12" s="5" t="n">
        <v>0.07000000000000001</v>
      </c>
      <c r="F12" s="31">
        <f>D12*(1-E12)</f>
        <v/>
      </c>
      <c r="G12" s="32">
        <f>B12*F12</f>
        <v/>
      </c>
      <c r="H12" s="2" t="inlineStr">
        <is>
          <t>na carta: brita 2</t>
        </is>
      </c>
    </row>
    <row r="13">
      <c r="A13" s="3" t="inlineStr">
        <is>
          <t>MARROADA</t>
        </is>
      </c>
      <c r="B13" s="8" t="n">
        <v>582.2</v>
      </c>
      <c r="C13" s="15">
        <f>B13/$B$14</f>
        <v/>
      </c>
      <c r="D13" s="30" t="n">
        <v>87</v>
      </c>
      <c r="E13" s="5" t="n">
        <v>0.06</v>
      </c>
      <c r="F13" s="31">
        <f>D13*(1-E13)</f>
        <v/>
      </c>
      <c r="G13" s="32">
        <f>B13*F13</f>
        <v/>
      </c>
      <c r="H13" s="2" t="inlineStr">
        <is>
          <t>não listada na carta; venda eventual</t>
        </is>
      </c>
    </row>
    <row r="14">
      <c r="A14" s="29" t="inlineStr">
        <is>
          <t>TOTAL / PREÇO MÉDIO PONDERADO FOB PEDREIRA</t>
        </is>
      </c>
      <c r="B14" s="33">
        <f>SUM(B6:B13)</f>
        <v/>
      </c>
      <c r="C14" s="34">
        <f>SUM(C6:C13)</f>
        <v/>
      </c>
      <c r="F14" s="35">
        <f>G14/B14</f>
        <v/>
      </c>
      <c r="G14" s="36">
        <f>SUM(G6:G13)</f>
        <v/>
      </c>
      <c r="H14" s="37" t="inlineStr">
        <is>
          <t>≈ R$ 76,80/t — nenhum produto isolado: é a tonelada média do mix inteiro</t>
        </is>
      </c>
    </row>
    <row r="16">
      <c r="A16" s="29" t="inlineStr">
        <is>
          <t>B · DA OPERAÇÃO REAL AO PREÇO DO MODELO — RECONCILIAÇÃO</t>
        </is>
      </c>
    </row>
    <row r="17">
      <c r="A17" s="3" t="inlineStr">
        <is>
          <t>Preço médio FOB pedreira (mix real, seção A)</t>
        </is>
      </c>
      <c r="F17" s="31">
        <f>F14</f>
        <v/>
      </c>
    </row>
    <row r="18">
      <c r="A18" s="3" t="inlineStr">
        <is>
          <t>Preço médio realizado consolidado 2025 (pedreira + filiais Porto Seguro e Trancoso)</t>
        </is>
      </c>
      <c r="F18" s="30" t="n">
        <v>116.135488216766</v>
      </c>
      <c r="H18" s="2" t="inlineStr">
        <is>
          <t>ver aba DRE_PVV_2025 — inclui preços de varejo das filiais e a logística até elas</t>
        </is>
      </c>
    </row>
    <row r="19">
      <c r="A19" s="3" t="inlineStr">
        <is>
          <t>Logística/estrutura de filiais embutida no consolidado</t>
        </is>
      </c>
      <c r="F19" s="5" t="n">
        <v>0.3621264721735005</v>
      </c>
    </row>
    <row r="20">
      <c r="A20" s="4" t="inlineStr">
        <is>
          <t>FOB-EQUIVALENTE (consolidado × (1 − logística)) — o número-âncora</t>
        </is>
      </c>
      <c r="F20" s="35">
        <f>F18*(1-F19)</f>
        <v/>
      </c>
      <c r="H20" s="2" t="inlineStr">
        <is>
          <t>≈ R$ 74,08/t — o que a tonelada média rende tirando o custo de levá-la às filiais</t>
        </is>
      </c>
    </row>
    <row r="21">
      <c r="A21" s="4" t="inlineStr">
        <is>
          <t>PREÇO DO CASO-BASE DO MODELO (aba Premissas)</t>
        </is>
      </c>
      <c r="F21" s="30" t="n">
        <v>68.5</v>
      </c>
    </row>
    <row r="22">
      <c r="A22" s="3" t="inlineStr">
        <is>
          <t>Margem de prudência adotada sobre o FOB-equivalente</t>
        </is>
      </c>
      <c r="F22" s="15">
        <f>1-F21/F20</f>
        <v/>
      </c>
    </row>
    <row r="23">
      <c r="A23" s="2" t="inlineStr">
        <is>
          <t>Sensibilidade (aba Sensibilidade): a R$ 74/t o comprometimento cai a 46,5%; a R$ 82/t, a 41,3%.</t>
        </is>
      </c>
    </row>
    <row r="24">
      <c r="A24" s="2" t="inlineStr">
        <is>
          <t>Nas filiais o pó de pedra NÃO sai a R$ 25: tabela Porto Seguro R$ 56,71/t · Trancoso R$ 64,47/t.</t>
        </is>
      </c>
    </row>
    <row r="26">
      <c r="A26" s="29" t="inlineStr">
        <is>
          <t>C · MIX DE PROJETO DA CIPREM — tabela de produtos do PAE (planta a 20.000 t/mês)</t>
        </is>
      </c>
    </row>
    <row r="27">
      <c r="A27" s="13" t="inlineStr">
        <is>
          <t>Produto (nome no PAE)</t>
        </is>
      </c>
      <c r="B27" s="13" t="inlineStr">
        <is>
          <t>Equivalente comercial</t>
        </is>
      </c>
      <c r="C27" s="13" t="inlineStr">
        <is>
          <t>Faixa</t>
        </is>
      </c>
      <c r="D27" s="13" t="inlineStr">
        <is>
          <t>% da produção</t>
        </is>
      </c>
      <c r="E27" s="13" t="inlineStr">
        <is>
          <t>t/mês</t>
        </is>
      </c>
      <c r="H27" s="13" t="inlineStr">
        <is>
          <t>Observação</t>
        </is>
      </c>
    </row>
    <row r="28">
      <c r="A28" s="3" t="inlineStr">
        <is>
          <t>Brita 19 mm (¾")</t>
        </is>
      </c>
      <c r="B28" s="3" t="inlineStr">
        <is>
          <t>brita 1</t>
        </is>
      </c>
      <c r="C28" s="3" t="inlineStr">
        <is>
          <t>19–12,5 mm</t>
        </is>
      </c>
      <c r="D28" s="5" t="n">
        <v>0.35</v>
      </c>
      <c r="E28" s="28">
        <f>D28*20000</f>
        <v/>
      </c>
      <c r="H28" s="2" t="inlineStr">
        <is>
          <t>produto de maior giro</t>
        </is>
      </c>
    </row>
    <row r="29">
      <c r="A29" s="3" t="inlineStr">
        <is>
          <t>Brita 12,5 mm (½") — "Gravilhão"</t>
        </is>
      </c>
      <c r="B29" s="3" t="inlineStr">
        <is>
          <t>brita 0 / gravilinha</t>
        </is>
      </c>
      <c r="C29" s="3" t="inlineStr">
        <is>
          <t>12,5–4,8 mm</t>
        </is>
      </c>
      <c r="D29" s="5" t="n">
        <v>0.25</v>
      </c>
      <c r="E29" s="28">
        <f>D29*20000</f>
        <v/>
      </c>
      <c r="H29" s="2" t="inlineStr"/>
    </row>
    <row r="30">
      <c r="A30" s="3" t="inlineStr">
        <is>
          <t>Brita 4,8 mm (pó de pedra)</t>
        </is>
      </c>
      <c r="B30" s="3" t="inlineStr">
        <is>
          <t>pó de pedra</t>
        </is>
      </c>
      <c r="C30" s="3" t="inlineStr">
        <is>
          <t>&lt; 4,8 mm</t>
        </is>
      </c>
      <c r="D30" s="5" t="n">
        <v>0.4</v>
      </c>
      <c r="E30" s="28">
        <f>D30*20000</f>
        <v/>
      </c>
      <c r="H30" s="2" t="inlineStr">
        <is>
          <t>fração crítica — ver seção D</t>
        </is>
      </c>
    </row>
    <row r="31">
      <c r="A31" s="3" t="inlineStr">
        <is>
          <t>Brita 76/38 mm (3"/2") e rachão</t>
        </is>
      </c>
      <c r="B31" s="3" t="inlineStr">
        <is>
          <t>brita 2 / rachão</t>
        </is>
      </c>
      <c r="D31" s="2" t="inlineStr">
        <is>
          <t>sob demanda</t>
        </is>
      </c>
    </row>
    <row r="32">
      <c r="A32" s="3" t="inlineStr">
        <is>
          <t>Brita graduada (BGS)</t>
        </is>
      </c>
      <c r="B32" s="3" t="inlineStr">
        <is>
          <t>BGS/solo-brita</t>
        </is>
      </c>
      <c r="D32" s="2" t="inlineStr">
        <is>
          <t>recombinação de pó + britas (não é massa nova)</t>
        </is>
      </c>
    </row>
    <row r="33">
      <c r="A33" s="2" t="inlineStr">
        <is>
          <t>Fonte: PAE CIPREM, parte 2 — "Produtos do processo de britagem": 7.000 + 5.000 + 8.000 = 20.000 t/mês (35% + 25% + 40%).</t>
        </is>
      </c>
    </row>
    <row r="35">
      <c r="A35" s="29" t="inlineStr">
        <is>
          <t>D · TESTE DE ESTRESSE DO MIX — e se o pó só valer o preço mínimo?</t>
        </is>
      </c>
    </row>
    <row r="36">
      <c r="A36" s="3" t="inlineStr">
        <is>
          <t>Piso: mix de projeto (35/25/40), fração ½" valendo como PEDRISCO e pó a tabela mínima da pedreira</t>
        </is>
      </c>
      <c r="F36" s="31">
        <f>0.35*F6+0.25*F11+0.40*F7</f>
        <v/>
      </c>
    </row>
    <row r="37">
      <c r="A37" s="3" t="inlineStr">
        <is>
          <t>Mesmo piso, com a fração ½" valendo como BRITA 0</t>
        </is>
      </c>
      <c r="F37" s="31">
        <f>0.35*F6+0.25*F8+0.40*F7</f>
        <v/>
      </c>
    </row>
    <row r="38">
      <c r="A38" s="2" t="inlineStr">
        <is>
          <t>Leitura: o caso-base (R$ 68,50) está dentro da banda do piso estressado (F36–F37) e ABAIXO do realizado da operação gêmea (R$ 74–77).</t>
        </is>
      </c>
    </row>
    <row r="39">
      <c r="A39" s="2" t="inlineStr">
        <is>
          <t>Mitigações que elevam a média de volta: pó misturado em BGS (vende a R$ 85/t) · câmara F-Sand do HP350e (converte fina em areia de brita) · mercado local de intertravado: pó no assentamento e na fabricação de blocos (artefatos próprios: opção futura, fora do escopo) · nas filiais o pó já realiza R$ 57–64/t.</t>
        </is>
      </c>
    </row>
    <row r="41">
      <c r="A41" s="29" t="inlineStr">
        <is>
          <t>E · PRODUTOS DA CARTA CONSULTA × O QUE A PVV REALMENTE VENDE</t>
        </is>
      </c>
    </row>
    <row r="42">
      <c r="A42" s="13" t="inlineStr">
        <is>
          <t>Produto na carta consulta (CIPREM)</t>
        </is>
      </c>
      <c r="B42" s="13" t="inlineStr">
        <is>
          <t>PVV vende?</t>
        </is>
      </c>
      <c r="D42" s="13" t="inlineStr">
        <is>
          <t>SKU na PVV</t>
        </is>
      </c>
      <c r="H42" s="13" t="inlineStr">
        <is>
          <t>Observação</t>
        </is>
      </c>
    </row>
    <row r="43">
      <c r="A43" s="3" t="inlineStr">
        <is>
          <t>brita 0</t>
        </is>
      </c>
      <c r="B43" s="38" t="inlineStr">
        <is>
          <t>Sim</t>
        </is>
      </c>
      <c r="D43" s="3" t="inlineStr">
        <is>
          <t>BRITA 0</t>
        </is>
      </c>
      <c r="H43" s="2" t="inlineStr">
        <is>
          <t>mesmo produto</t>
        </is>
      </c>
    </row>
    <row r="44">
      <c r="A44" s="3" t="inlineStr">
        <is>
          <t>brita 1</t>
        </is>
      </c>
      <c r="B44" s="38" t="inlineStr">
        <is>
          <t>Sim</t>
        </is>
      </c>
      <c r="D44" s="3" t="inlineStr">
        <is>
          <t>BRITA 1</t>
        </is>
      </c>
      <c r="H44" s="2" t="inlineStr">
        <is>
          <t>mesmo produto — maior giro da PVV (31% do vendido)</t>
        </is>
      </c>
    </row>
    <row r="45">
      <c r="A45" s="3" t="inlineStr">
        <is>
          <t>brita 2</t>
        </is>
      </c>
      <c r="B45" s="38" t="inlineStr">
        <is>
          <t>Sim</t>
        </is>
      </c>
      <c r="D45" s="3" t="inlineStr">
        <is>
          <t>BRITA 2</t>
        </is>
      </c>
      <c r="H45" s="2" t="inlineStr">
        <is>
          <t>PAE produz "sob demanda" (4% do vendido na PVV)</t>
        </is>
      </c>
    </row>
    <row r="46">
      <c r="A46" s="3" t="inlineStr">
        <is>
          <t>gravilinha</t>
        </is>
      </c>
      <c r="B46" s="38" t="inlineStr">
        <is>
          <t>Sim</t>
        </is>
      </c>
      <c r="D46" s="3" t="inlineStr">
        <is>
          <t>PEDRISCO</t>
        </is>
      </c>
      <c r="H46" s="2" t="inlineStr">
        <is>
          <t>mesmo produto, nome regional diferente</t>
        </is>
      </c>
    </row>
    <row r="47">
      <c r="A47" s="3" t="inlineStr">
        <is>
          <t>pó de pedra</t>
        </is>
      </c>
      <c r="B47" s="38" t="inlineStr">
        <is>
          <t>Sim</t>
        </is>
      </c>
      <c r="D47" s="3" t="inlineStr">
        <is>
          <t>PÓ</t>
        </is>
      </c>
      <c r="H47" s="2" t="inlineStr">
        <is>
          <t>mesma fração; na PVV é 29% do vendido consolidado</t>
        </is>
      </c>
    </row>
    <row r="48">
      <c r="A48" s="3" t="inlineStr">
        <is>
          <t>BGS/solo-brita</t>
        </is>
      </c>
      <c r="B48" s="38" t="inlineStr">
        <is>
          <t>Sim</t>
        </is>
      </c>
      <c r="D48" s="3" t="inlineStr">
        <is>
          <t>BRITA GRADUADA</t>
        </is>
      </c>
      <c r="H48" s="2" t="inlineStr">
        <is>
          <t>mesma mistura (pó + britas), nome diferente</t>
        </is>
      </c>
    </row>
    <row r="49">
      <c r="A49" s="3" t="inlineStr">
        <is>
          <t>— (não listados na carta)</t>
        </is>
      </c>
      <c r="B49" s="38" t="inlineStr">
        <is>
          <t>—</t>
        </is>
      </c>
      <c r="D49" s="3" t="inlineStr">
        <is>
          <t>MARROADA · PULMÃO/RACHÃO</t>
        </is>
      </c>
      <c r="H49" s="2" t="inlineStr">
        <is>
          <t>a PVV vende e o PAE prevê "sob demanda" — upside não contado no modelo</t>
        </is>
      </c>
    </row>
    <row r="50">
      <c r="A50" s="39" t="inlineStr">
        <is>
          <t>VEREDITO: o portfólio da carta é o mesmo que a pedreira-modelo pratica há anos — só muda nomenclatura regional (gravilinha=pedrisco; BGS=brita graduada). Nenhum produto da carta é sem precedente real no grupo.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2" customWidth="1" min="3" max="3"/>
    <col width="14" customWidth="1" min="4" max="4"/>
    <col width="13" customWidth="1" min="5" max="5"/>
    <col width="14" customWidth="1" min="6" max="6"/>
    <col width="13" customWidth="1" min="7" max="7"/>
    <col width="46" customWidth="1" min="8" max="8"/>
  </cols>
  <sheetData>
    <row r="1">
      <c r="A1" s="40" t="inlineStr">
        <is>
          <t>FRETE — DE ONDE VEM O R$/t, E AS DUAS CONTAS EM QUE ELE ENTRA</t>
        </is>
      </c>
    </row>
    <row r="2" ht="46" customHeight="1">
      <c r="A2" s="41" t="inlineStr">
        <is>
          <t>O frete aparece em duas contas distintas do pacote, com a mesma taxa e sentidos diferentes: na régua de vantagem competitiva do Estudo de Mercado (uma diferença entre distâncias, que mede posição frente ao concorrente) e na receita de frete deste modelo (um valor absoluto, que mede o que se cobra para entregar). Esta aba reúne as duas, a origem da taxa e as conferências. Não há número novo aqui: as células puxam Premissas e Mix_Produtos por referência.</t>
        </is>
      </c>
    </row>
    <row r="4">
      <c r="A4" s="42" t="inlineStr">
        <is>
          <t>A · A TAXA E SUA ORIGEM</t>
        </is>
      </c>
      <c r="B4" s="43" t="n"/>
      <c r="C4" s="43" t="n"/>
      <c r="D4" s="43" t="n"/>
      <c r="E4" s="43" t="n"/>
      <c r="F4" s="43" t="n"/>
      <c r="G4" s="43" t="n"/>
      <c r="H4" s="43" t="n"/>
    </row>
    <row r="5">
      <c r="A5" s="44" t="inlineStr">
        <is>
          <t>Modalidade</t>
        </is>
      </c>
      <c r="B5" s="44" t="inlineStr">
        <is>
          <t>R$/t·km</t>
        </is>
      </c>
      <c r="C5" s="44" t="inlineStr">
        <is>
          <t>Natureza</t>
        </is>
      </c>
      <c r="D5" s="44" t="inlineStr"/>
      <c r="E5" s="44" t="inlineStr"/>
      <c r="F5" s="44" t="inlineStr"/>
      <c r="G5" s="44" t="inlineStr"/>
      <c r="H5" s="44" t="inlineStr">
        <is>
          <t>Fonte</t>
        </is>
      </c>
    </row>
    <row r="6" ht="44" customHeight="1">
      <c r="A6" s="45" t="inlineStr">
        <is>
          <t>Carreta — ADOTADA em todo o pacote</t>
        </is>
      </c>
      <c r="B6" s="46" t="n">
        <v>0.91</v>
      </c>
      <c r="C6" s="47" t="inlineStr">
        <is>
          <t>preço praticado</t>
        </is>
      </c>
      <c r="H6" s="41" t="inlineStr">
        <is>
          <t>Tabela de preços da unidade do grupo em operação (PVV/BA), linha literal "Carreta 0,91 X volume (T) x KM", sob o cabeçalho "VER FRETE MÉDIO SAINDO DA PEDREIRA". É a regra comercial que o grupo já cobra — não é estimativa nem tabela pública.</t>
        </is>
      </c>
    </row>
    <row r="7" ht="28" customHeight="1">
      <c r="A7" s="47" t="inlineStr">
        <is>
          <t>Truck</t>
        </is>
      </c>
      <c r="B7" s="48" t="n">
        <v>0.99</v>
      </c>
      <c r="C7" s="47" t="inlineStr">
        <is>
          <t>preço praticado</t>
        </is>
      </c>
      <c r="H7" s="41" t="inlineStr">
        <is>
          <t>Mesma tabela, linha "Truck: 0,99 X Volume (T) x KM". Adotou-se a carreta por ser a menor das duas, e por ser o equipamento orçado no investimento.</t>
        </is>
      </c>
    </row>
    <row r="8" ht="28" customHeight="1">
      <c r="A8" s="47" t="inlineStr">
        <is>
          <t>SICRO/DNIT — referência externa</t>
        </is>
      </c>
      <c r="B8" s="48" t="n">
        <v>0.78</v>
      </c>
      <c r="C8" s="47" t="inlineStr">
        <is>
          <t>CUSTO, não preço</t>
        </is>
      </c>
      <c r="H8" s="41" t="inlineStr">
        <is>
          <t>Referência oficial de custo rodoviário em pista pavimentada. A diferença para 0,91 é a margem do transportador. Ver sensibilidade na seção F.</t>
        </is>
      </c>
    </row>
    <row r="10">
      <c r="A10" s="42" t="inlineStr">
        <is>
          <t>B · USO 1 — RÉGUA DE VANTAGEM COMPETITIVA (Estudo de Mercado, item 4)</t>
        </is>
      </c>
      <c r="B10" s="43" t="n"/>
      <c r="C10" s="43" t="n"/>
      <c r="D10" s="43" t="n"/>
      <c r="E10" s="43" t="n"/>
      <c r="F10" s="43" t="n"/>
      <c r="G10" s="43" t="n"/>
      <c r="H10" s="43" t="n"/>
    </row>
    <row r="11" ht="30" customHeight="1">
      <c r="A11" s="41" t="inlineStr">
        <is>
          <t>vantagem (R$/t) = coeficiente × (km do concorrente − km da CIPREM). É uma DIFERENÇA entre distâncias: mede quanto a pedra da CIPREM chega mais barata que a do concorrente na mesma praça. Não é custo de ninguém, e não entra na projeção financeira — serve para delimitar o mercado-base e os pesos de captura.</t>
        </is>
      </c>
    </row>
    <row r="12">
      <c r="A12" s="44" t="inlineStr">
        <is>
          <t>Praça</t>
        </is>
      </c>
      <c r="B12" s="44" t="inlineStr">
        <is>
          <t>km CIPREM</t>
        </is>
      </c>
      <c r="C12" s="44" t="inlineStr">
        <is>
          <t>Concorrente</t>
        </is>
      </c>
      <c r="D12" s="44" t="inlineStr">
        <is>
          <t>km conc.</t>
        </is>
      </c>
      <c r="E12" s="44" t="inlineStr">
        <is>
          <t>Vantagem</t>
        </is>
      </c>
      <c r="F12" s="44" t="inlineStr"/>
      <c r="G12" s="44" t="inlineStr"/>
      <c r="H12" s="44" t="inlineStr">
        <is>
          <t>Observação</t>
        </is>
      </c>
    </row>
    <row r="13">
      <c r="A13" s="47" t="inlineStr">
        <is>
          <t>São Mateus sede + Guriri</t>
        </is>
      </c>
      <c r="B13" s="49" t="n">
        <v>40.7</v>
      </c>
      <c r="C13" s="47" t="inlineStr">
        <is>
          <t>MCL (Nova Venécia)</t>
        </is>
      </c>
      <c r="D13" s="49" t="n">
        <v>75.5</v>
      </c>
      <c r="E13" s="48">
        <f>ROUND($B$6*(D13-B13),1)</f>
        <v/>
      </c>
      <c r="H13" s="41" t="inlineStr">
        <is>
          <t>ambas medidas</t>
        </is>
      </c>
    </row>
    <row r="14">
      <c r="A14" s="47" t="inlineStr">
        <is>
          <t>São Mateus sede + Guriri</t>
        </is>
      </c>
      <c r="B14" s="49" t="n">
        <v>40.7</v>
      </c>
      <c r="C14" s="47" t="inlineStr">
        <is>
          <t>Mattar (Pinheiros)</t>
        </is>
      </c>
      <c r="D14" s="49" t="n">
        <v>66.8</v>
      </c>
      <c r="E14" s="48">
        <f>ROUND($B$6*(D14-B14),1)</f>
        <v/>
      </c>
      <c r="H14" s="41" t="inlineStr">
        <is>
          <t>concorrente de VOLUME mais próximo — referência adotada no pacote</t>
        </is>
      </c>
    </row>
    <row r="15">
      <c r="A15" s="47" t="inlineStr">
        <is>
          <t>São Mateus sede + Guriri</t>
        </is>
      </c>
      <c r="B15" s="49" t="n">
        <v>40.7</v>
      </c>
      <c r="C15" s="47" t="inlineStr">
        <is>
          <t>Usibrita (Jaguaré)</t>
        </is>
      </c>
      <c r="D15" s="49" t="n">
        <v>57.1</v>
      </c>
      <c r="E15" s="48">
        <f>ROUND($B$6*(D15-B15),1)</f>
        <v/>
      </c>
      <c r="H15" s="41" t="inlineStr">
        <is>
          <t>produtor mais próximo de qualquer porte; ~5 mil t/ano, sem escala para volume</t>
        </is>
      </c>
    </row>
    <row r="16">
      <c r="A16" s="47" t="inlineStr">
        <is>
          <t>Boa Esperança</t>
        </is>
      </c>
      <c r="B16" s="49" t="n">
        <v>27.9</v>
      </c>
      <c r="C16" s="47" t="inlineStr">
        <is>
          <t>Mattar (Pinheiros)</t>
        </is>
      </c>
      <c r="D16" s="49" t="n">
        <v>22.3</v>
      </c>
      <c r="E16" s="48">
        <f>ROUND($B$6*(D16-B16),1)</f>
        <v/>
      </c>
      <c r="H16" s="41" t="inlineStr">
        <is>
          <t>praça-base, paridade</t>
        </is>
      </c>
    </row>
    <row r="17">
      <c r="A17" s="47" t="inlineStr">
        <is>
          <t>Conceição da Barra</t>
        </is>
      </c>
      <c r="B17" s="49" t="n">
        <v>73.2</v>
      </c>
      <c r="C17" s="47" t="inlineStr">
        <is>
          <t>Mattar (Pinheiros)</t>
        </is>
      </c>
      <c r="D17" s="49" t="n">
        <v>67.5</v>
      </c>
      <c r="E17" s="48">
        <f>ROUND($B$6*(D17-B17),1)</f>
        <v/>
      </c>
      <c r="H17" s="41" t="inlineStr">
        <is>
          <t>praça-base, paridade</t>
        </is>
      </c>
    </row>
    <row r="18">
      <c r="A18" s="47" t="inlineStr">
        <is>
          <t>Franja norte (Montanha)</t>
        </is>
      </c>
      <c r="B18" s="49" t="n">
        <v>90.3</v>
      </c>
      <c r="C18" s="47" t="inlineStr">
        <is>
          <t>Mattar</t>
        </is>
      </c>
      <c r="D18" s="49" t="n">
        <v>60</v>
      </c>
      <c r="E18" s="48">
        <f>ROUND($B$6*(D18-B18),1)</f>
        <v/>
      </c>
      <c r="H18" s="41" t="inlineStr">
        <is>
          <t>fora do raio econômico</t>
        </is>
      </c>
    </row>
    <row r="19">
      <c r="A19" s="47" t="inlineStr">
        <is>
          <t>Jaguaré sede</t>
        </is>
      </c>
      <c r="B19" s="49" t="n">
        <v>39.6</v>
      </c>
      <c r="C19" s="47" t="inlineStr">
        <is>
          <t>Usibrita local</t>
        </is>
      </c>
      <c r="D19" s="49" t="n">
        <v>8</v>
      </c>
      <c r="E19" s="48">
        <f>ROUND($B$6*(D19-B19),1)</f>
        <v/>
      </c>
      <c r="H19" s="41" t="inlineStr">
        <is>
          <t>praça disputada — produtor instalado</t>
        </is>
      </c>
    </row>
    <row r="20">
      <c r="A20" s="47" t="inlineStr">
        <is>
          <t>Nova Venécia sede</t>
        </is>
      </c>
      <c r="B20" s="49" t="n">
        <v>37.3</v>
      </c>
      <c r="C20" s="47" t="inlineStr">
        <is>
          <t>MCL local</t>
        </is>
      </c>
      <c r="D20" s="49" t="n">
        <v>5</v>
      </c>
      <c r="E20" s="48">
        <f>ROUND($B$6*(D20-B20),1)</f>
        <v/>
      </c>
      <c r="H20" s="41" t="inlineStr">
        <is>
          <t>praça-sede de concorrente</t>
        </is>
      </c>
    </row>
    <row r="21">
      <c r="A21" s="47" t="inlineStr">
        <is>
          <t>Pedro Canário</t>
        </is>
      </c>
      <c r="B21" s="49" t="n">
        <v>88.3</v>
      </c>
      <c r="C21" s="47" t="inlineStr">
        <is>
          <t>Mattar</t>
        </is>
      </c>
      <c r="D21" s="49" t="n">
        <v>50</v>
      </c>
      <c r="E21" s="48">
        <f>ROUND($B$6*(D21-B21),1)</f>
        <v/>
      </c>
      <c r="H21" s="41" t="inlineStr">
        <is>
          <t>fora do raio econômico</t>
        </is>
      </c>
    </row>
    <row r="22">
      <c r="A22" s="47" t="inlineStr">
        <is>
          <t>Pinheiros sede</t>
        </is>
      </c>
      <c r="B22" s="49" t="n">
        <v>45.9</v>
      </c>
      <c r="C22" s="47" t="inlineStr">
        <is>
          <t>Mattar local</t>
        </is>
      </c>
      <c r="D22" s="49" t="n">
        <v>5</v>
      </c>
      <c r="E22" s="48">
        <f>ROUND($B$6*(D22-B22),1)</f>
        <v/>
      </c>
      <c r="H22" s="41" t="inlineStr">
        <is>
          <t>praça-sede de concorrente</t>
        </is>
      </c>
    </row>
    <row r="23" ht="26" customHeight="1">
      <c r="A23" s="41" t="inlineStr">
        <is>
          <t>Distâncias medidas em roteirizador (ago/2026) a partir da coordenada do empreendimento registrada no PAE (GPS -18,67144 / -40,17303). Estimadas apenas as distâncias internas dos concorrentes às próprias sedes (linhas com 'local').</t>
        </is>
      </c>
    </row>
    <row r="25">
      <c r="A25" s="42" t="inlineStr">
        <is>
          <t>C · USO 2 — RECEITA DE FRETE CIF NESTE MODELO (aba Premissas)</t>
        </is>
      </c>
      <c r="B25" s="43" t="n"/>
      <c r="C25" s="43" t="n"/>
      <c r="D25" s="43" t="n"/>
      <c r="E25" s="43" t="n"/>
      <c r="F25" s="43" t="n"/>
      <c r="G25" s="43" t="n"/>
      <c r="H25" s="43" t="n"/>
    </row>
    <row r="26">
      <c r="A26" s="41" t="inlineStr">
        <is>
          <t>Aqui o frete é RECEITA, não vantagem: a CIPREM vende FOB (cliente busca) e CIF (a CIPREM entrega). Nas vendas CIF ela cobra o frete e o executa com frota própria.</t>
        </is>
      </c>
    </row>
    <row r="27">
      <c r="A27" s="47" t="inlineStr">
        <is>
          <t>Raio médio de entrega adotado (km)</t>
        </is>
      </c>
      <c r="B27" s="50" t="n">
        <v>45</v>
      </c>
      <c r="H27" s="51" t="inlineStr">
        <is>
          <t>premissa — validada na seção D</t>
        </is>
      </c>
    </row>
    <row r="28">
      <c r="A28" s="47" t="inlineStr">
        <is>
          <t>Coeficiente aplicado (R$/t·km)</t>
        </is>
      </c>
      <c r="B28" s="48">
        <f>B6</f>
        <v/>
      </c>
    </row>
    <row r="29">
      <c r="A29" s="47" t="inlineStr">
        <is>
          <t>Frete médio CIF derivado (R$/t)</t>
        </is>
      </c>
      <c r="B29" s="48">
        <f>ROUND(B27*B28,0)</f>
        <v/>
      </c>
    </row>
    <row r="30">
      <c r="A30" s="47" t="inlineStr">
        <is>
          <t>Frete médio CIF em uso no modelo (Premissas!B15)</t>
        </is>
      </c>
      <c r="B30" s="46">
        <f>Premissas!B15</f>
        <v/>
      </c>
      <c r="C30" s="47">
        <f>IF(ROUND(B29,0)=ROUND(B30,0),"confere","DIVERGE — verificar")</f>
        <v/>
      </c>
    </row>
    <row r="31">
      <c r="A31" s="47" t="inlineStr">
        <is>
          <t>% das vendas entregues (CIF)</t>
        </is>
      </c>
      <c r="B31" s="52">
        <f>Premissas!B13</f>
        <v/>
      </c>
    </row>
    <row r="32">
      <c r="A32" s="47" t="inlineStr">
        <is>
          <t>Capacidade da frota própria (t/ano)</t>
        </is>
      </c>
      <c r="B32" s="53">
        <f>Premissas!B14</f>
        <v/>
      </c>
      <c r="H32" s="41" t="inlineStr">
        <is>
          <t>2 conjuntos Actros+Rossetti, ~30,7 t líquidas por viagem — teto do programa CIF</t>
        </is>
      </c>
    </row>
    <row r="33">
      <c r="A33" s="47" t="inlineStr">
        <is>
          <t>Custo do frete próprio (% da receita de frete)</t>
        </is>
      </c>
      <c r="B33" s="52">
        <f>Premissas!B16</f>
        <v/>
      </c>
    </row>
    <row r="34">
      <c r="A34" s="47" t="inlineStr">
        <is>
          <t>Margem logística resultante (R$/t)</t>
        </is>
      </c>
      <c r="B34" s="54">
        <f>ROUND(B30*(1-B33),2)</f>
        <v/>
      </c>
    </row>
    <row r="36">
      <c r="A36" s="45" t="inlineStr">
        <is>
          <t>CADEIA DE CÁLCULO, como roda no modelo:</t>
        </is>
      </c>
    </row>
    <row r="37">
      <c r="A37" s="47" t="inlineStr">
        <is>
          <t>Vendas CIF (t)  =  MIN( vendas totais × % CIF ;  capacidade da frota )</t>
        </is>
      </c>
      <c r="H37" s="51" t="inlineStr">
        <is>
          <t>aba Producao_Receita, linha 5</t>
        </is>
      </c>
    </row>
    <row r="38">
      <c r="A38" s="47" t="inlineStr">
        <is>
          <t>Receita de frete (R$)  =  vendas CIF (t) × frete médio CIF</t>
        </is>
      </c>
      <c r="H38" s="51" t="inlineStr">
        <is>
          <t>aba Producao_Receita, linha 7</t>
        </is>
      </c>
    </row>
    <row r="39">
      <c r="A39" s="47" t="inlineStr">
        <is>
          <t>Custo do frete próprio (R$)  =  receita de frete × 72%</t>
        </is>
      </c>
      <c r="H39" s="51" t="inlineStr">
        <is>
          <t>aba Custos, linha 5</t>
        </is>
      </c>
    </row>
    <row r="41">
      <c r="A41" s="42" t="inlineStr">
        <is>
          <t>D · VALIDAÇÃO DO RAIO DE 45 km — média das distâncias medidas, ponderada pela captura</t>
        </is>
      </c>
      <c r="B41" s="43" t="n"/>
      <c r="C41" s="43" t="n"/>
      <c r="D41" s="43" t="n"/>
      <c r="E41" s="43" t="n"/>
      <c r="F41" s="43" t="n"/>
      <c r="G41" s="43" t="n"/>
      <c r="H41" s="43" t="n"/>
    </row>
    <row r="42" ht="30" customHeight="1">
      <c r="A42" s="41" t="inlineStr">
        <is>
          <t>A captura por praça vem do item 8 do Estudo (pesos de penetração × demanda do item 6). As obras públicas ficam em São Mateus. A coluna de km é medida, salvo a de São Mateus, que é mistura de sede (40,7), Guriri (além da sede) e corredor (12,3) — editável em azul.</t>
        </is>
      </c>
    </row>
    <row r="43">
      <c r="A43" s="44" t="inlineStr">
        <is>
          <t>Praça de entrega</t>
        </is>
      </c>
      <c r="B43" s="44" t="inlineStr">
        <is>
          <t>km</t>
        </is>
      </c>
      <c r="C43" s="44" t="inlineStr">
        <is>
          <t>Captura t/ano</t>
        </is>
      </c>
      <c r="D43" s="44" t="inlineStr">
        <is>
          <t>Participação</t>
        </is>
      </c>
      <c r="E43" s="44" t="inlineStr">
        <is>
          <t>km × part.</t>
        </is>
      </c>
      <c r="F43" s="44" t="inlineStr"/>
      <c r="G43" s="44" t="inlineStr"/>
      <c r="H43" s="44" t="inlineStr">
        <is>
          <t>Origem da captura</t>
        </is>
      </c>
    </row>
    <row r="44">
      <c r="A44" s="47" t="inlineStr">
        <is>
          <t>São Mateus (sede, Guriri, corredor) + obras</t>
        </is>
      </c>
      <c r="B44" s="50" t="n">
        <v>45</v>
      </c>
      <c r="C44" s="53" t="n">
        <v>205835</v>
      </c>
      <c r="D44" s="52">
        <f>C44/$C$49</f>
        <v/>
      </c>
      <c r="E44" s="55">
        <f>B44*D44</f>
        <v/>
      </c>
      <c r="H44" s="41" t="inlineStr">
        <is>
          <t>134.423 hab × 1,669 × 65%  +  100 mil t de obras × 60%</t>
        </is>
      </c>
    </row>
    <row r="45">
      <c r="A45" s="47" t="inlineStr">
        <is>
          <t>Conceição da Barra</t>
        </is>
      </c>
      <c r="B45" s="49" t="n">
        <v>73.2</v>
      </c>
      <c r="C45" s="53" t="n">
        <v>12068</v>
      </c>
      <c r="D45" s="52">
        <f>C45/$C$49</f>
        <v/>
      </c>
      <c r="E45" s="55">
        <f>B45*D45</f>
        <v/>
      </c>
      <c r="H45" s="41" t="inlineStr">
        <is>
          <t>28.923 hab × 1,669 × 25%</t>
        </is>
      </c>
    </row>
    <row r="46">
      <c r="A46" s="47" t="inlineStr">
        <is>
          <t>Boa Esperança</t>
        </is>
      </c>
      <c r="B46" s="49" t="n">
        <v>27.9</v>
      </c>
      <c r="C46" s="53" t="n">
        <v>3519</v>
      </c>
      <c r="D46" s="52">
        <f>C46/$C$49</f>
        <v/>
      </c>
      <c r="E46" s="55">
        <f>B46*D46</f>
        <v/>
      </c>
      <c r="H46" s="41" t="inlineStr">
        <is>
          <t>14.054 hab × 1,669 × 15%</t>
        </is>
      </c>
    </row>
    <row r="47">
      <c r="A47" s="47" t="inlineStr">
        <is>
          <t>Jaguaré</t>
        </is>
      </c>
      <c r="B47" s="49" t="n">
        <v>39.6</v>
      </c>
      <c r="C47" s="53" t="n">
        <v>10532</v>
      </c>
      <c r="D47" s="52">
        <f>C47/$C$49</f>
        <v/>
      </c>
      <c r="E47" s="55">
        <f>B47*D47</f>
        <v/>
      </c>
      <c r="H47" s="41" t="inlineStr">
        <is>
          <t>31.551 hab × 1,669 × 20%</t>
        </is>
      </c>
    </row>
    <row r="48">
      <c r="A48" s="47" t="inlineStr">
        <is>
          <t>Nova Venécia + Pinheiros</t>
        </is>
      </c>
      <c r="B48" s="49" t="n">
        <v>41.6</v>
      </c>
      <c r="C48" s="53" t="n">
        <v>12868</v>
      </c>
      <c r="D48" s="52">
        <f>C48/$C$49</f>
        <v/>
      </c>
      <c r="E48" s="55">
        <f>B48*D48</f>
        <v/>
      </c>
      <c r="H48" s="41" t="inlineStr">
        <is>
          <t>77.100 hab × 1,669 × 10%</t>
        </is>
      </c>
    </row>
    <row r="49">
      <c r="A49" s="45" t="inlineStr">
        <is>
          <t>TOTAL / RAIO PONDERADO</t>
        </is>
      </c>
      <c r="C49" s="56">
        <f>SUM(C44:C48)</f>
        <v/>
      </c>
      <c r="D49" s="57">
        <f>SUM(D44:D48)</f>
        <v/>
      </c>
      <c r="E49" s="58">
        <f>SUM(E44:E48)</f>
        <v/>
      </c>
    </row>
    <row r="50" ht="26" customHeight="1">
      <c r="A50" s="47" t="inlineStr">
        <is>
          <t>Frete correspondente ao raio ponderado (R$/t)</t>
        </is>
      </c>
      <c r="B50" s="54">
        <f>ROUND(E49*$B$6,2)</f>
        <v/>
      </c>
      <c r="C50" s="47">
        <f>IF(ABS(B50-B30)&lt;=1,"confere com a premissa","DIVERGE — revisar o raio")</f>
        <v/>
      </c>
      <c r="H50" s="41" t="inlineStr">
        <is>
          <t>As medições do cliente validam a premissa: o raio ponderado dá praticamente os 45 km adotados, e o frete derivado praticamente os R$ 41/t.</t>
        </is>
      </c>
    </row>
    <row r="52">
      <c r="A52" s="42" t="inlineStr">
        <is>
          <t>E · CONFERÊNCIA CONTRA A OPERAÇÃO REAL DO GRUPO (PVV 2025)</t>
        </is>
      </c>
      <c r="B52" s="43" t="n"/>
      <c r="C52" s="43" t="n"/>
      <c r="D52" s="43" t="n"/>
      <c r="E52" s="43" t="n"/>
      <c r="F52" s="43" t="n"/>
      <c r="G52" s="43" t="n"/>
      <c r="H52" s="43" t="n"/>
    </row>
    <row r="53">
      <c r="A53" s="41" t="inlineStr">
        <is>
          <t>A premissa não se apoia só na aritmética: a unidade em operação mostra quanto a entrega efetivamente agrega por tonelada.</t>
        </is>
      </c>
    </row>
    <row r="54" ht="26" customHeight="1">
      <c r="A54" s="47" t="inlineStr">
        <is>
          <t>Preço médio realizado 2025, consolidado (R$/t)</t>
        </is>
      </c>
      <c r="B54" s="48">
        <f>Mix_Produtos!F18</f>
        <v/>
      </c>
      <c r="H54" s="41" t="inlineStr">
        <is>
          <t>receita bruta 17.137.603 ÷ 147.565 t — inclui varejo das filiais e a logística até elas</t>
        </is>
      </c>
    </row>
    <row r="55">
      <c r="A55" s="47" t="inlineStr">
        <is>
          <t>(−) Logística/estrutura de filiais embutida</t>
        </is>
      </c>
      <c r="B55" s="52">
        <f>Mix_Produtos!F19</f>
        <v/>
      </c>
    </row>
    <row r="56">
      <c r="A56" s="47" t="inlineStr">
        <is>
          <t>(=) FOB-equivalente, na porteira (R$/t)</t>
        </is>
      </c>
      <c r="B56" s="48">
        <f>Mix_Produtos!F20</f>
        <v/>
      </c>
    </row>
    <row r="57">
      <c r="A57" s="45" t="inlineStr">
        <is>
          <t>DIFERENÇA — o que a entrega agrega por tonelada, na prática</t>
        </is>
      </c>
      <c r="B57" s="46">
        <f>ROUND(B54-B56,2)</f>
        <v/>
      </c>
    </row>
    <row r="58">
      <c r="A58" s="47" t="inlineStr">
        <is>
          <t>Adotado neste modelo (R$/t)</t>
        </is>
      </c>
      <c r="B58" s="48">
        <f>B30</f>
        <v/>
      </c>
    </row>
    <row r="59">
      <c r="A59" s="47" t="inlineStr">
        <is>
          <t>Folga de prudência do modelo</t>
        </is>
      </c>
      <c r="B59" s="48">
        <f>ROUND(B57-B58,2)</f>
        <v/>
      </c>
      <c r="H59" s="41" t="inlineStr">
        <is>
          <t>positivo = o modelo cobra menos do que a operação real agrega</t>
        </is>
      </c>
    </row>
    <row r="60" ht="30" customHeight="1">
      <c r="A60" s="41" t="inlineStr">
        <is>
          <t>RESSALVA: os R$ 42/t da PVV incluem a estrutura de filiais, que a CIPREM não terá — a comparação é de ORDEM DE GRANDEZA, não igualdade exata. O que ela mostra é que R$ 41/t de frete numa operação de brita não é número inventado: é o que o próprio grupo já realiza.</t>
        </is>
      </c>
    </row>
    <row r="61" ht="26" customHeight="1">
      <c r="A61" s="47" t="inlineStr">
        <is>
          <t>Corroboração cruzada — preço FOB pelo mix real de produtos (R$/t)</t>
        </is>
      </c>
      <c r="B61" s="48">
        <f>Mix_Produtos!F14</f>
        <v/>
      </c>
      <c r="H61" s="41" t="inlineStr">
        <is>
          <t>dois caminhos independentes para a mesma grandeza: R$ 76,80/t pelo mix de 8 produtos e R$ 74,08/t pela via da receita consolidada</t>
        </is>
      </c>
    </row>
    <row r="63">
      <c r="A63" s="42" t="inlineStr">
        <is>
          <t>F · SENSIBILIDADE AO COEFICIENTE</t>
        </is>
      </c>
      <c r="B63" s="43" t="n"/>
      <c r="C63" s="43" t="n"/>
      <c r="D63" s="43" t="n"/>
      <c r="E63" s="43" t="n"/>
      <c r="F63" s="43" t="n"/>
      <c r="G63" s="43" t="n"/>
      <c r="H63" s="43" t="n"/>
    </row>
    <row r="64">
      <c r="A64" s="44" t="inlineStr">
        <is>
          <t>Cenário</t>
        </is>
      </c>
      <c r="B64" s="44" t="inlineStr">
        <is>
          <t>R$/t·km</t>
        </is>
      </c>
      <c r="C64" s="44" t="inlineStr">
        <is>
          <t>Vantagem em São Mateus</t>
        </is>
      </c>
      <c r="D64" s="44" t="inlineStr">
        <is>
          <t>vs Mattar</t>
        </is>
      </c>
      <c r="E64" s="44" t="inlineStr"/>
      <c r="F64" s="44" t="inlineStr"/>
      <c r="G64" s="44" t="inlineStr"/>
      <c r="H64" s="44" t="inlineStr">
        <is>
          <t>Efeito</t>
        </is>
      </c>
    </row>
    <row r="65">
      <c r="A65" s="47" t="inlineStr">
        <is>
          <t>Adotado — preço do grupo (carreta)</t>
        </is>
      </c>
      <c r="B65" s="48">
        <f>B6</f>
        <v/>
      </c>
      <c r="D65" s="48">
        <f>ROUND(B65*(66.8-40.7),1)</f>
        <v/>
      </c>
      <c r="H65" s="51" t="inlineStr">
        <is>
          <t>base do pacote</t>
        </is>
      </c>
    </row>
    <row r="66" ht="26" customHeight="1">
      <c r="A66" s="47" t="inlineStr">
        <is>
          <t>SICRO/DNIT — referência de custo</t>
        </is>
      </c>
      <c r="B66" s="48">
        <f>B8</f>
        <v/>
      </c>
      <c r="D66" s="48">
        <f>ROUND(B66*(66.8-40.7),1)</f>
        <v/>
      </c>
      <c r="H66" s="41">
        <f>CONCATENATE("régua encolhe ",TEXT(1-B66/B65,"0%")," — a ordem das praças e a "    "classificação de todas elas ficam inalteradas")</f>
        <v/>
      </c>
    </row>
    <row r="68" ht="32" customHeight="1">
      <c r="A68" s="41" t="inlineStr">
        <is>
          <t>Nota sobre o modelo financeiro: um coeficiente maior AUMENTA a vantagem calculada na régua (seção B), porque ela é uma diferença multiplicada pela taxa — por isso a sensibilidade acima é declarada. Já na projeção (seção C) o efeito é de segunda ordem: receita e custo de frete se movem juntos, e só a margem logística de 28% varia.</t>
        </is>
      </c>
    </row>
  </sheetData>
  <mergeCells count="8">
    <mergeCell ref="A26:H26"/>
    <mergeCell ref="A53:H53"/>
    <mergeCell ref="A2:H2"/>
    <mergeCell ref="A42:H42"/>
    <mergeCell ref="A60:H60"/>
    <mergeCell ref="A68:H68"/>
    <mergeCell ref="A11:H11"/>
    <mergeCell ref="A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PRODUÇÃO E RECEITA — 12 ANOS</t>
        </is>
      </c>
    </row>
    <row r="3">
      <c r="C3" s="13" t="inlineStr">
        <is>
          <t>Ano 1</t>
        </is>
      </c>
      <c r="D3" s="13" t="inlineStr">
        <is>
          <t>Ano 2</t>
        </is>
      </c>
      <c r="E3" s="13" t="inlineStr">
        <is>
          <t>Ano 3</t>
        </is>
      </c>
      <c r="F3" s="13" t="inlineStr">
        <is>
          <t>Ano 4</t>
        </is>
      </c>
      <c r="G3" s="13" t="inlineStr">
        <is>
          <t>Ano 5</t>
        </is>
      </c>
      <c r="H3" s="13" t="inlineStr">
        <is>
          <t>Ano 6</t>
        </is>
      </c>
      <c r="I3" s="13" t="inlineStr">
        <is>
          <t>Ano 7</t>
        </is>
      </c>
      <c r="J3" s="13" t="inlineStr">
        <is>
          <t>Ano 8</t>
        </is>
      </c>
      <c r="K3" s="13" t="inlineStr">
        <is>
          <t>Ano 9</t>
        </is>
      </c>
      <c r="L3" s="13" t="inlineStr">
        <is>
          <t>Ano 10</t>
        </is>
      </c>
      <c r="M3" s="13" t="inlineStr">
        <is>
          <t>Ano 11</t>
        </is>
      </c>
      <c r="N3" s="13" t="inlineStr">
        <is>
          <t>Ano 12</t>
        </is>
      </c>
      <c r="O3" s="13" t="inlineStr">
        <is>
          <t>Ano 13</t>
        </is>
      </c>
      <c r="P3" s="13" t="inlineStr">
        <is>
          <t>Ano 14</t>
        </is>
      </c>
    </row>
    <row r="4">
      <c r="A4" s="3" t="inlineStr">
        <is>
          <t>Vendas (t)</t>
        </is>
      </c>
      <c r="C4" s="18">
        <f>Premissas!C$38</f>
        <v/>
      </c>
      <c r="D4" s="18">
        <f>Premissas!D$38</f>
        <v/>
      </c>
      <c r="E4" s="18">
        <f>Premissas!E$38</f>
        <v/>
      </c>
      <c r="F4" s="18">
        <f>Premissas!F$38</f>
        <v/>
      </c>
      <c r="G4" s="18">
        <f>Premissas!G$38</f>
        <v/>
      </c>
      <c r="H4" s="18">
        <f>Premissas!H$38</f>
        <v/>
      </c>
      <c r="I4" s="18">
        <f>Premissas!I$38</f>
        <v/>
      </c>
      <c r="J4" s="18">
        <f>Premissas!J$38</f>
        <v/>
      </c>
      <c r="K4" s="18">
        <f>Premissas!K$38</f>
        <v/>
      </c>
      <c r="L4" s="18">
        <f>Premissas!L$38</f>
        <v/>
      </c>
      <c r="M4" s="18">
        <f>Premissas!M$38</f>
        <v/>
      </c>
      <c r="N4" s="18">
        <f>Premissas!N$38</f>
        <v/>
      </c>
      <c r="O4" s="18">
        <f>Premissas!O$38</f>
        <v/>
      </c>
      <c r="P4" s="18">
        <f>Premissas!P$38</f>
        <v/>
      </c>
    </row>
    <row r="5">
      <c r="A5" s="3" t="inlineStr">
        <is>
          <t>Vendas CIF (t)</t>
        </is>
      </c>
      <c r="C5" s="18">
        <f>MIN(C4*Premissas!$B$13,Premissas!$B$14)</f>
        <v/>
      </c>
      <c r="D5" s="18">
        <f>MIN(D4*Premissas!$B$13,Premissas!$B$14)</f>
        <v/>
      </c>
      <c r="E5" s="18">
        <f>MIN(E4*Premissas!$B$13,Premissas!$B$14)</f>
        <v/>
      </c>
      <c r="F5" s="18">
        <f>MIN(F4*Premissas!$B$13,Premissas!$B$14)</f>
        <v/>
      </c>
      <c r="G5" s="18">
        <f>MIN(G4*Premissas!$B$13,Premissas!$B$14)</f>
        <v/>
      </c>
      <c r="H5" s="18">
        <f>MIN(H4*Premissas!$B$13,Premissas!$B$14)</f>
        <v/>
      </c>
      <c r="I5" s="18">
        <f>MIN(I4*Premissas!$B$13,Premissas!$B$14)</f>
        <v/>
      </c>
      <c r="J5" s="18">
        <f>MIN(J4*Premissas!$B$13,Premissas!$B$14)</f>
        <v/>
      </c>
      <c r="K5" s="18">
        <f>MIN(K4*Premissas!$B$13,Premissas!$B$14)</f>
        <v/>
      </c>
      <c r="L5" s="18">
        <f>MIN(L4*Premissas!$B$13,Premissas!$B$14)</f>
        <v/>
      </c>
      <c r="M5" s="18">
        <f>MIN(M4*Premissas!$B$13,Premissas!$B$14)</f>
        <v/>
      </c>
      <c r="N5" s="18">
        <f>MIN(N4*Premissas!$B$13,Premissas!$B$14)</f>
        <v/>
      </c>
      <c r="O5" s="18">
        <f>MIN(O4*Premissas!$B$13,Premissas!$B$14)</f>
        <v/>
      </c>
      <c r="P5" s="18">
        <f>MIN(P4*Premissas!$B$13,Premissas!$B$14)</f>
        <v/>
      </c>
    </row>
    <row r="6">
      <c r="A6" s="3" t="inlineStr">
        <is>
          <t>Receita FOB (R$)</t>
        </is>
      </c>
      <c r="C6" s="19">
        <f>C4*Premissas!$B$10</f>
        <v/>
      </c>
      <c r="D6" s="19">
        <f>D4*Premissas!$B$10</f>
        <v/>
      </c>
      <c r="E6" s="19">
        <f>E4*Premissas!$B$10</f>
        <v/>
      </c>
      <c r="F6" s="19">
        <f>F4*Premissas!$B$10</f>
        <v/>
      </c>
      <c r="G6" s="19">
        <f>G4*Premissas!$B$10</f>
        <v/>
      </c>
      <c r="H6" s="19">
        <f>H4*Premissas!$B$10</f>
        <v/>
      </c>
      <c r="I6" s="19">
        <f>I4*Premissas!$B$10</f>
        <v/>
      </c>
      <c r="J6" s="19">
        <f>J4*Premissas!$B$10</f>
        <v/>
      </c>
      <c r="K6" s="19">
        <f>K4*Premissas!$B$10</f>
        <v/>
      </c>
      <c r="L6" s="19">
        <f>L4*Premissas!$B$10</f>
        <v/>
      </c>
      <c r="M6" s="19">
        <f>M4*Premissas!$B$10</f>
        <v/>
      </c>
      <c r="N6" s="19">
        <f>N4*Premissas!$B$10</f>
        <v/>
      </c>
      <c r="O6" s="19">
        <f>O4*Premissas!$B$10</f>
        <v/>
      </c>
      <c r="P6" s="19">
        <f>P4*Premissas!$B$10</f>
        <v/>
      </c>
    </row>
    <row r="7">
      <c r="A7" s="3" t="inlineStr">
        <is>
          <t>Receita de frete CIF (R$)</t>
        </is>
      </c>
      <c r="C7" s="19">
        <f>C5*Premissas!$B$15</f>
        <v/>
      </c>
      <c r="D7" s="19">
        <f>D5*Premissas!$B$15</f>
        <v/>
      </c>
      <c r="E7" s="19">
        <f>E5*Premissas!$B$15</f>
        <v/>
      </c>
      <c r="F7" s="19">
        <f>F5*Premissas!$B$15</f>
        <v/>
      </c>
      <c r="G7" s="19">
        <f>G5*Premissas!$B$15</f>
        <v/>
      </c>
      <c r="H7" s="19">
        <f>H5*Premissas!$B$15</f>
        <v/>
      </c>
      <c r="I7" s="19">
        <f>I5*Premissas!$B$15</f>
        <v/>
      </c>
      <c r="J7" s="19">
        <f>J5*Premissas!$B$15</f>
        <v/>
      </c>
      <c r="K7" s="19">
        <f>K5*Premissas!$B$15</f>
        <v/>
      </c>
      <c r="L7" s="19">
        <f>L5*Premissas!$B$15</f>
        <v/>
      </c>
      <c r="M7" s="19">
        <f>M5*Premissas!$B$15</f>
        <v/>
      </c>
      <c r="N7" s="19">
        <f>N5*Premissas!$B$15</f>
        <v/>
      </c>
      <c r="O7" s="19">
        <f>O5*Premissas!$B$15</f>
        <v/>
      </c>
      <c r="P7" s="19">
        <f>P5*Premissas!$B$15</f>
        <v/>
      </c>
    </row>
    <row r="8">
      <c r="A8" s="4" t="inlineStr">
        <is>
          <t>RECEITA BRUTA (R$)</t>
        </is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  <c r="J8" s="14">
        <f>J6+J7</f>
        <v/>
      </c>
      <c r="K8" s="14">
        <f>K6+K7</f>
        <v/>
      </c>
      <c r="L8" s="14">
        <f>L6+L7</f>
        <v/>
      </c>
      <c r="M8" s="14">
        <f>M6+M7</f>
        <v/>
      </c>
      <c r="N8" s="14">
        <f>N6+N7</f>
        <v/>
      </c>
      <c r="O8" s="14">
        <f>O6+O7</f>
        <v/>
      </c>
      <c r="P8" s="14">
        <f>P6+P7</f>
        <v/>
      </c>
    </row>
    <row r="9">
      <c r="A9" s="3" t="inlineStr">
        <is>
          <t>(–) Deduções (R$)</t>
        </is>
      </c>
      <c r="C9" s="19">
        <f>-C8*Premissas!$B$17</f>
        <v/>
      </c>
      <c r="D9" s="19">
        <f>-D8*Premissas!$B$17</f>
        <v/>
      </c>
      <c r="E9" s="19">
        <f>-E8*Premissas!$B$17</f>
        <v/>
      </c>
      <c r="F9" s="19">
        <f>-F8*Premissas!$B$17</f>
        <v/>
      </c>
      <c r="G9" s="19">
        <f>-G8*Premissas!$B$17</f>
        <v/>
      </c>
      <c r="H9" s="19">
        <f>-H8*Premissas!$B$17</f>
        <v/>
      </c>
      <c r="I9" s="19">
        <f>-I8*Premissas!$B$17</f>
        <v/>
      </c>
      <c r="J9" s="19">
        <f>-J8*Premissas!$B$17</f>
        <v/>
      </c>
      <c r="K9" s="19">
        <f>-K8*Premissas!$B$17</f>
        <v/>
      </c>
      <c r="L9" s="19">
        <f>-L8*Premissas!$B$17</f>
        <v/>
      </c>
      <c r="M9" s="19">
        <f>-M8*Premissas!$B$17</f>
        <v/>
      </c>
      <c r="N9" s="19">
        <f>-N8*Premissas!$B$17</f>
        <v/>
      </c>
      <c r="O9" s="19">
        <f>-O8*Premissas!$B$17</f>
        <v/>
      </c>
      <c r="P9" s="19">
        <f>-P8*Premissas!$B$17</f>
        <v/>
      </c>
    </row>
    <row r="10">
      <c r="A10" s="4" t="inlineStr">
        <is>
          <t>RECEITA LÍQUIDA (R$)</t>
        </is>
      </c>
      <c r="C10" s="14">
        <f>C8+C9</f>
        <v/>
      </c>
      <c r="D10" s="14">
        <f>D8+D9</f>
        <v/>
      </c>
      <c r="E10" s="14">
        <f>E8+E9</f>
        <v/>
      </c>
      <c r="F10" s="14">
        <f>F8+F9</f>
        <v/>
      </c>
      <c r="G10" s="14">
        <f>G8+G9</f>
        <v/>
      </c>
      <c r="H10" s="14">
        <f>H8+H9</f>
        <v/>
      </c>
      <c r="I10" s="14">
        <f>I8+I9</f>
        <v/>
      </c>
      <c r="J10" s="14">
        <f>J8+J9</f>
        <v/>
      </c>
      <c r="K10" s="14">
        <f>K8+K9</f>
        <v/>
      </c>
      <c r="L10" s="14">
        <f>L8+L9</f>
        <v/>
      </c>
      <c r="M10" s="14">
        <f>M8+M9</f>
        <v/>
      </c>
      <c r="N10" s="14">
        <f>N8+N9</f>
        <v/>
      </c>
      <c r="O10" s="14">
        <f>O8+O9</f>
        <v/>
      </c>
      <c r="P10" s="14">
        <f>P8+P9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CUSTOS E DESPESAS — 12 ANOS</t>
        </is>
      </c>
    </row>
    <row r="3">
      <c r="C3" s="13" t="inlineStr">
        <is>
          <t>Ano 1</t>
        </is>
      </c>
      <c r="D3" s="13" t="inlineStr">
        <is>
          <t>Ano 2</t>
        </is>
      </c>
      <c r="E3" s="13" t="inlineStr">
        <is>
          <t>Ano 3</t>
        </is>
      </c>
      <c r="F3" s="13" t="inlineStr">
        <is>
          <t>Ano 4</t>
        </is>
      </c>
      <c r="G3" s="13" t="inlineStr">
        <is>
          <t>Ano 5</t>
        </is>
      </c>
      <c r="H3" s="13" t="inlineStr">
        <is>
          <t>Ano 6</t>
        </is>
      </c>
      <c r="I3" s="13" t="inlineStr">
        <is>
          <t>Ano 7</t>
        </is>
      </c>
      <c r="J3" s="13" t="inlineStr">
        <is>
          <t>Ano 8</t>
        </is>
      </c>
      <c r="K3" s="13" t="inlineStr">
        <is>
          <t>Ano 9</t>
        </is>
      </c>
      <c r="L3" s="13" t="inlineStr">
        <is>
          <t>Ano 10</t>
        </is>
      </c>
      <c r="M3" s="13" t="inlineStr">
        <is>
          <t>Ano 11</t>
        </is>
      </c>
      <c r="N3" s="13" t="inlineStr">
        <is>
          <t>Ano 12</t>
        </is>
      </c>
      <c r="O3" s="13" t="inlineStr">
        <is>
          <t>Ano 13</t>
        </is>
      </c>
      <c r="P3" s="13" t="inlineStr">
        <is>
          <t>Ano 14</t>
        </is>
      </c>
    </row>
    <row r="4">
      <c r="A4" s="3" t="inlineStr">
        <is>
          <t>Custo variável de produção (R$)</t>
        </is>
      </c>
      <c r="C4" s="19">
        <f>Producao_Receita!C4*Premissas!C$21</f>
        <v/>
      </c>
      <c r="D4" s="19">
        <f>Producao_Receita!D4*Premissas!D$21</f>
        <v/>
      </c>
      <c r="E4" s="19">
        <f>Producao_Receita!E4*Premissas!E$21</f>
        <v/>
      </c>
      <c r="F4" s="19">
        <f>Producao_Receita!F4*Premissas!F$21</f>
        <v/>
      </c>
      <c r="G4" s="19">
        <f>Producao_Receita!G4*Premissas!G$21</f>
        <v/>
      </c>
      <c r="H4" s="19">
        <f>Producao_Receita!H4*Premissas!H$21</f>
        <v/>
      </c>
      <c r="I4" s="19">
        <f>Producao_Receita!I4*Premissas!I$21</f>
        <v/>
      </c>
      <c r="J4" s="19">
        <f>Producao_Receita!J4*Premissas!J$21</f>
        <v/>
      </c>
      <c r="K4" s="19">
        <f>Producao_Receita!K4*Premissas!K$21</f>
        <v/>
      </c>
      <c r="L4" s="19">
        <f>Producao_Receita!L4*Premissas!L$21</f>
        <v/>
      </c>
      <c r="M4" s="19">
        <f>Producao_Receita!M4*Premissas!M$21</f>
        <v/>
      </c>
      <c r="N4" s="19">
        <f>Producao_Receita!N4*Premissas!N$21</f>
        <v/>
      </c>
      <c r="O4" s="19">
        <f>Producao_Receita!O4*Premissas!O$21</f>
        <v/>
      </c>
      <c r="P4" s="19">
        <f>Producao_Receita!P4*Premissas!P$21</f>
        <v/>
      </c>
    </row>
    <row r="5">
      <c r="A5" s="3" t="inlineStr">
        <is>
          <t>Custo do frete próprio (R$)</t>
        </is>
      </c>
      <c r="C5" s="19">
        <f>Producao_Receita!C7*Premissas!$B$16</f>
        <v/>
      </c>
      <c r="D5" s="19">
        <f>Producao_Receita!D7*Premissas!$B$16</f>
        <v/>
      </c>
      <c r="E5" s="19">
        <f>Producao_Receita!E7*Premissas!$B$16</f>
        <v/>
      </c>
      <c r="F5" s="19">
        <f>Producao_Receita!F7*Premissas!$B$16</f>
        <v/>
      </c>
      <c r="G5" s="19">
        <f>Producao_Receita!G7*Premissas!$B$16</f>
        <v/>
      </c>
      <c r="H5" s="19">
        <f>Producao_Receita!H7*Premissas!$B$16</f>
        <v/>
      </c>
      <c r="I5" s="19">
        <f>Producao_Receita!I7*Premissas!$B$16</f>
        <v/>
      </c>
      <c r="J5" s="19">
        <f>Producao_Receita!J7*Premissas!$B$16</f>
        <v/>
      </c>
      <c r="K5" s="19">
        <f>Producao_Receita!K7*Premissas!$B$16</f>
        <v/>
      </c>
      <c r="L5" s="19">
        <f>Producao_Receita!L7*Premissas!$B$16</f>
        <v/>
      </c>
      <c r="M5" s="19">
        <f>Producao_Receita!M7*Premissas!$B$16</f>
        <v/>
      </c>
      <c r="N5" s="19">
        <f>Producao_Receita!N7*Premissas!$B$16</f>
        <v/>
      </c>
      <c r="O5" s="19">
        <f>Producao_Receita!O7*Premissas!$B$16</f>
        <v/>
      </c>
      <c r="P5" s="19">
        <f>Producao_Receita!P7*Premissas!$B$16</f>
        <v/>
      </c>
    </row>
    <row r="6">
      <c r="A6" s="4" t="inlineStr">
        <is>
          <t>CFEM (R$)</t>
        </is>
      </c>
      <c r="C6" s="19">
        <f>Producao_Receita!C8*Premissas!$B$18</f>
        <v/>
      </c>
      <c r="D6" s="19">
        <f>Producao_Receita!D8*Premissas!$B$18</f>
        <v/>
      </c>
      <c r="E6" s="19">
        <f>Producao_Receita!E8*Premissas!$B$18</f>
        <v/>
      </c>
      <c r="F6" s="19">
        <f>Producao_Receita!F8*Premissas!$B$18</f>
        <v/>
      </c>
      <c r="G6" s="19">
        <f>Producao_Receita!G8*Premissas!$B$18</f>
        <v/>
      </c>
      <c r="H6" s="19">
        <f>Producao_Receita!H8*Premissas!$B$18</f>
        <v/>
      </c>
      <c r="I6" s="19">
        <f>Producao_Receita!I8*Premissas!$B$18</f>
        <v/>
      </c>
      <c r="J6" s="19">
        <f>Producao_Receita!J8*Premissas!$B$18</f>
        <v/>
      </c>
      <c r="K6" s="19">
        <f>Producao_Receita!K8*Premissas!$B$18</f>
        <v/>
      </c>
      <c r="L6" s="19">
        <f>Producao_Receita!L8*Premissas!$B$18</f>
        <v/>
      </c>
      <c r="M6" s="19">
        <f>Producao_Receita!M8*Premissas!$B$18</f>
        <v/>
      </c>
      <c r="N6" s="19">
        <f>Producao_Receita!N8*Premissas!$B$18</f>
        <v/>
      </c>
      <c r="O6" s="19">
        <f>Producao_Receita!O8*Premissas!$B$18</f>
        <v/>
      </c>
      <c r="P6" s="19">
        <f>Producao_Receita!P8*Premissas!$B$18</f>
        <v/>
      </c>
    </row>
    <row r="7">
      <c r="A7" s="3" t="inlineStr">
        <is>
          <t>Custos fixos de produção (R$)</t>
        </is>
      </c>
      <c r="C7" s="19">
        <f>Premissas!C$22</f>
        <v/>
      </c>
      <c r="D7" s="19">
        <f>Premissas!D$22</f>
        <v/>
      </c>
      <c r="E7" s="19">
        <f>Premissas!E$22</f>
        <v/>
      </c>
      <c r="F7" s="19">
        <f>Premissas!F$22</f>
        <v/>
      </c>
      <c r="G7" s="19">
        <f>Premissas!G$22</f>
        <v/>
      </c>
      <c r="H7" s="19">
        <f>Premissas!H$22</f>
        <v/>
      </c>
      <c r="I7" s="19">
        <f>Premissas!I$22</f>
        <v/>
      </c>
      <c r="J7" s="19">
        <f>Premissas!J$22</f>
        <v/>
      </c>
      <c r="K7" s="19">
        <f>Premissas!K$22</f>
        <v/>
      </c>
      <c r="L7" s="19">
        <f>Premissas!L$22</f>
        <v/>
      </c>
      <c r="M7" s="19">
        <f>Premissas!M$22</f>
        <v/>
      </c>
      <c r="N7" s="19">
        <f>Premissas!N$22</f>
        <v/>
      </c>
      <c r="O7" s="19">
        <f>Premissas!O$22</f>
        <v/>
      </c>
      <c r="P7" s="19">
        <f>Premissas!P$22</f>
        <v/>
      </c>
    </row>
    <row r="8">
      <c r="A8" s="3" t="inlineStr">
        <is>
          <t>Despesas adm/com/trib (R$)</t>
        </is>
      </c>
      <c r="C8" s="19">
        <f>Premissas!C$23</f>
        <v/>
      </c>
      <c r="D8" s="19">
        <f>Premissas!D$23</f>
        <v/>
      </c>
      <c r="E8" s="19">
        <f>Premissas!E$23</f>
        <v/>
      </c>
      <c r="F8" s="19">
        <f>Premissas!F$23</f>
        <v/>
      </c>
      <c r="G8" s="19">
        <f>Premissas!G$23</f>
        <v/>
      </c>
      <c r="H8" s="19">
        <f>Premissas!H$23</f>
        <v/>
      </c>
      <c r="I8" s="19">
        <f>Premissas!I$23</f>
        <v/>
      </c>
      <c r="J8" s="19">
        <f>Premissas!J$23</f>
        <v/>
      </c>
      <c r="K8" s="19">
        <f>Premissas!K$23</f>
        <v/>
      </c>
      <c r="L8" s="19">
        <f>Premissas!L$23</f>
        <v/>
      </c>
      <c r="M8" s="19">
        <f>Premissas!M$23</f>
        <v/>
      </c>
      <c r="N8" s="19">
        <f>Premissas!N$23</f>
        <v/>
      </c>
      <c r="O8" s="19">
        <f>Premissas!O$23</f>
        <v/>
      </c>
      <c r="P8" s="19">
        <f>Premissas!P$23</f>
        <v/>
      </c>
    </row>
    <row r="9">
      <c r="A9" s="3" t="inlineStr">
        <is>
          <t>Custeio grupo (R$)</t>
        </is>
      </c>
      <c r="C9" s="19">
        <f>Premissas!$B$24</f>
        <v/>
      </c>
      <c r="D9" s="19">
        <f>Premissas!$B$24</f>
        <v/>
      </c>
      <c r="E9" s="19">
        <f>Premissas!$B$24</f>
        <v/>
      </c>
      <c r="F9" s="19">
        <f>Premissas!$B$24</f>
        <v/>
      </c>
      <c r="G9" s="19">
        <f>Premissas!$B$24</f>
        <v/>
      </c>
      <c r="H9" s="19">
        <f>Premissas!$B$24</f>
        <v/>
      </c>
      <c r="I9" s="19">
        <f>Premissas!$B$24</f>
        <v/>
      </c>
      <c r="J9" s="19">
        <f>Premissas!$B$24</f>
        <v/>
      </c>
      <c r="K9" s="19">
        <f>Premissas!$B$24</f>
        <v/>
      </c>
      <c r="L9" s="19">
        <f>Premissas!$B$24</f>
        <v/>
      </c>
      <c r="M9" s="19">
        <f>Premissas!$B$24</f>
        <v/>
      </c>
      <c r="N9" s="19">
        <f>Premissas!$B$24</f>
        <v/>
      </c>
      <c r="O9" s="19">
        <f>Premissas!$B$24</f>
        <v/>
      </c>
      <c r="P9" s="19">
        <f>Premissas!$B$24</f>
        <v/>
      </c>
    </row>
    <row r="10">
      <c r="A10" s="4" t="inlineStr">
        <is>
          <t>TOTAL CUSTOS E DESPESAS (R$)</t>
        </is>
      </c>
      <c r="C10" s="19">
        <f>SUM(C4:C9)</f>
        <v/>
      </c>
      <c r="D10" s="19">
        <f>SUM(D4:D9)</f>
        <v/>
      </c>
      <c r="E10" s="19">
        <f>SUM(E4:E9)</f>
        <v/>
      </c>
      <c r="F10" s="19">
        <f>SUM(F4:F9)</f>
        <v/>
      </c>
      <c r="G10" s="19">
        <f>SUM(G4:G9)</f>
        <v/>
      </c>
      <c r="H10" s="19">
        <f>SUM(H4:H9)</f>
        <v/>
      </c>
      <c r="I10" s="19">
        <f>SUM(I4:I9)</f>
        <v/>
      </c>
      <c r="J10" s="19">
        <f>SUM(J4:J9)</f>
        <v/>
      </c>
      <c r="K10" s="19">
        <f>SUM(K4:K9)</f>
        <v/>
      </c>
      <c r="L10" s="19">
        <f>SUM(L4:L9)</f>
        <v/>
      </c>
      <c r="M10" s="19">
        <f>SUM(M4:M9)</f>
        <v/>
      </c>
      <c r="N10" s="19">
        <f>SUM(N4:N9)</f>
        <v/>
      </c>
      <c r="O10" s="19">
        <f>SUM(O4:O9)</f>
        <v/>
      </c>
      <c r="P10" s="19">
        <f>SUM(P4:P9)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FINANCIAMENTO FNE — SAC ANUAL (juros na carência)</t>
        </is>
      </c>
    </row>
    <row r="3">
      <c r="C3" s="13" t="inlineStr">
        <is>
          <t>Ano 1</t>
        </is>
      </c>
      <c r="D3" s="13" t="inlineStr">
        <is>
          <t>Ano 2</t>
        </is>
      </c>
      <c r="E3" s="13" t="inlineStr">
        <is>
          <t>Ano 3</t>
        </is>
      </c>
      <c r="F3" s="13" t="inlineStr">
        <is>
          <t>Ano 4</t>
        </is>
      </c>
      <c r="G3" s="13" t="inlineStr">
        <is>
          <t>Ano 5</t>
        </is>
      </c>
      <c r="H3" s="13" t="inlineStr">
        <is>
          <t>Ano 6</t>
        </is>
      </c>
      <c r="I3" s="13" t="inlineStr">
        <is>
          <t>Ano 7</t>
        </is>
      </c>
      <c r="J3" s="13" t="inlineStr">
        <is>
          <t>Ano 8</t>
        </is>
      </c>
      <c r="K3" s="13" t="inlineStr">
        <is>
          <t>Ano 9</t>
        </is>
      </c>
      <c r="L3" s="13" t="inlineStr">
        <is>
          <t>Ano 10</t>
        </is>
      </c>
      <c r="M3" s="13" t="inlineStr">
        <is>
          <t>Ano 11</t>
        </is>
      </c>
      <c r="N3" s="13" t="inlineStr">
        <is>
          <t>Ano 12</t>
        </is>
      </c>
      <c r="O3" s="13" t="inlineStr">
        <is>
          <t>Ano 13</t>
        </is>
      </c>
      <c r="P3" s="13" t="inlineStr">
        <is>
          <t>Ano 14</t>
        </is>
      </c>
    </row>
    <row r="4">
      <c r="A4" s="3" t="inlineStr">
        <is>
          <t>Saldo inicial (R$)</t>
        </is>
      </c>
      <c r="C4" s="14">
        <f>Premissas!$B$30</f>
        <v/>
      </c>
      <c r="D4" s="14">
        <f>C7</f>
        <v/>
      </c>
      <c r="E4" s="14">
        <f>D7</f>
        <v/>
      </c>
      <c r="F4" s="14">
        <f>E7</f>
        <v/>
      </c>
      <c r="G4" s="14">
        <f>F7</f>
        <v/>
      </c>
      <c r="H4" s="14">
        <f>G7</f>
        <v/>
      </c>
      <c r="I4" s="14">
        <f>H7</f>
        <v/>
      </c>
      <c r="J4" s="14">
        <f>I7</f>
        <v/>
      </c>
      <c r="K4" s="14">
        <f>J7</f>
        <v/>
      </c>
      <c r="L4" s="14">
        <f>K7</f>
        <v/>
      </c>
      <c r="M4" s="14">
        <f>L7</f>
        <v/>
      </c>
      <c r="N4" s="14">
        <f>M7</f>
        <v/>
      </c>
      <c r="O4" s="14">
        <f>N7</f>
        <v/>
      </c>
      <c r="P4" s="14">
        <f>O7</f>
        <v/>
      </c>
    </row>
    <row r="5">
      <c r="A5" s="3" t="inlineStr">
        <is>
          <t>Juros (R$)</t>
        </is>
      </c>
      <c r="C5" s="14">
        <f>C4*Premissas!$B$33</f>
        <v/>
      </c>
      <c r="D5" s="14">
        <f>D4*Premissas!$B$33</f>
        <v/>
      </c>
      <c r="E5" s="14">
        <f>E4*Premissas!$B$33</f>
        <v/>
      </c>
      <c r="F5" s="14">
        <f>F4*Premissas!$B$33</f>
        <v/>
      </c>
      <c r="G5" s="14">
        <f>G4*Premissas!$B$33</f>
        <v/>
      </c>
      <c r="H5" s="14">
        <f>H4*Premissas!$B$33</f>
        <v/>
      </c>
      <c r="I5" s="14">
        <f>I4*Premissas!$B$33</f>
        <v/>
      </c>
      <c r="J5" s="14">
        <f>J4*Premissas!$B$33</f>
        <v/>
      </c>
      <c r="K5" s="14">
        <f>K4*Premissas!$B$33</f>
        <v/>
      </c>
      <c r="L5" s="14">
        <f>L4*Premissas!$B$33</f>
        <v/>
      </c>
      <c r="M5" s="14">
        <f>M4*Premissas!$B$33</f>
        <v/>
      </c>
      <c r="N5" s="14">
        <f>N4*Premissas!$B$33</f>
        <v/>
      </c>
      <c r="O5" s="14">
        <f>O4*Premissas!$B$33</f>
        <v/>
      </c>
      <c r="P5" s="14">
        <f>P4*Premissas!$B$33</f>
        <v/>
      </c>
    </row>
    <row r="6">
      <c r="A6" s="3" t="inlineStr">
        <is>
          <t>Amortização (R$)</t>
        </is>
      </c>
      <c r="C6" s="14">
        <f>IF(1&gt;Premissas!$B$32,Premissas!$B$30/(Premissas!$B$31-Premissas!$B$32),0)</f>
        <v/>
      </c>
      <c r="D6" s="14">
        <f>IF(2&gt;Premissas!$B$32,Premissas!$B$30/(Premissas!$B$31-Premissas!$B$32),0)</f>
        <v/>
      </c>
      <c r="E6" s="14">
        <f>IF(3&gt;Premissas!$B$32,Premissas!$B$30/(Premissas!$B$31-Premissas!$B$32),0)</f>
        <v/>
      </c>
      <c r="F6" s="14">
        <f>IF(4&gt;Premissas!$B$32,Premissas!$B$30/(Premissas!$B$31-Premissas!$B$32),0)</f>
        <v/>
      </c>
      <c r="G6" s="14">
        <f>IF(5&gt;Premissas!$B$32,Premissas!$B$30/(Premissas!$B$31-Premissas!$B$32),0)</f>
        <v/>
      </c>
      <c r="H6" s="14">
        <f>IF(6&gt;Premissas!$B$32,Premissas!$B$30/(Premissas!$B$31-Premissas!$B$32),0)</f>
        <v/>
      </c>
      <c r="I6" s="14">
        <f>IF(7&gt;Premissas!$B$32,Premissas!$B$30/(Premissas!$B$31-Premissas!$B$32),0)</f>
        <v/>
      </c>
      <c r="J6" s="14">
        <f>IF(8&gt;Premissas!$B$32,Premissas!$B$30/(Premissas!$B$31-Premissas!$B$32),0)</f>
        <v/>
      </c>
      <c r="K6" s="14">
        <f>IF(9&gt;Premissas!$B$32,Premissas!$B$30/(Premissas!$B$31-Premissas!$B$32),0)</f>
        <v/>
      </c>
      <c r="L6" s="14">
        <f>IF(10&gt;Premissas!$B$32,Premissas!$B$30/(Premissas!$B$31-Premissas!$B$32),0)</f>
        <v/>
      </c>
      <c r="M6" s="14">
        <f>IF(11&gt;Premissas!$B$32,Premissas!$B$30/(Premissas!$B$31-Premissas!$B$32),0)</f>
        <v/>
      </c>
      <c r="N6" s="14">
        <f>IF(12&gt;Premissas!$B$32,Premissas!$B$30/(Premissas!$B$31-Premissas!$B$32),0)</f>
        <v/>
      </c>
      <c r="O6" s="14">
        <f>IF(13&gt;Premissas!$B$32,Premissas!$B$30/(Premissas!$B$31-Premissas!$B$32),0)</f>
        <v/>
      </c>
      <c r="P6" s="14">
        <f>IF(14&gt;Premissas!$B$32,Premissas!$B$30/(Premissas!$B$31-Premissas!$B$32),0)</f>
        <v/>
      </c>
    </row>
    <row r="7">
      <c r="A7" s="3" t="inlineStr">
        <is>
          <t>Saldo final (R$)</t>
        </is>
      </c>
      <c r="C7" s="14">
        <f>C4-C6</f>
        <v/>
      </c>
      <c r="D7" s="14">
        <f>D4-D6</f>
        <v/>
      </c>
      <c r="E7" s="14">
        <f>E4-E6</f>
        <v/>
      </c>
      <c r="F7" s="14">
        <f>F4-F6</f>
        <v/>
      </c>
      <c r="G7" s="14">
        <f>G4-G6</f>
        <v/>
      </c>
      <c r="H7" s="14">
        <f>H4-H6</f>
        <v/>
      </c>
      <c r="I7" s="14">
        <f>I4-I6</f>
        <v/>
      </c>
      <c r="J7" s="14">
        <f>J4-J6</f>
        <v/>
      </c>
      <c r="K7" s="14">
        <f>K4-K6</f>
        <v/>
      </c>
      <c r="L7" s="14">
        <f>L4-L6</f>
        <v/>
      </c>
      <c r="M7" s="14">
        <f>M4-M6</f>
        <v/>
      </c>
      <c r="N7" s="14">
        <f>N4-N6</f>
        <v/>
      </c>
      <c r="O7" s="14">
        <f>O4-O6</f>
        <v/>
      </c>
      <c r="P7" s="14">
        <f>P4-P6</f>
        <v/>
      </c>
    </row>
    <row r="8">
      <c r="A8" s="3" t="inlineStr">
        <is>
          <t>Serviço da dívida (R$)</t>
        </is>
      </c>
      <c r="C8" s="14">
        <f>C5+C6</f>
        <v/>
      </c>
      <c r="D8" s="14">
        <f>D5+D6</f>
        <v/>
      </c>
      <c r="E8" s="14">
        <f>E5+E6</f>
        <v/>
      </c>
      <c r="F8" s="14">
        <f>F5+F6</f>
        <v/>
      </c>
      <c r="G8" s="14">
        <f>G5+G6</f>
        <v/>
      </c>
      <c r="H8" s="14">
        <f>H5+H6</f>
        <v/>
      </c>
      <c r="I8" s="14">
        <f>I5+I6</f>
        <v/>
      </c>
      <c r="J8" s="14">
        <f>J5+J6</f>
        <v/>
      </c>
      <c r="K8" s="14">
        <f>K5+K6</f>
        <v/>
      </c>
      <c r="L8" s="14">
        <f>L5+L6</f>
        <v/>
      </c>
      <c r="M8" s="14">
        <f>M5+M6</f>
        <v/>
      </c>
      <c r="N8" s="14">
        <f>N5+N6</f>
        <v/>
      </c>
      <c r="O8" s="14">
        <f>O5+O6</f>
        <v/>
      </c>
      <c r="P8" s="14">
        <f>P5+P6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DRE PROJETADA — 12 ANOS (Lucro Presumido)</t>
        </is>
      </c>
    </row>
    <row r="3">
      <c r="C3" s="13" t="inlineStr">
        <is>
          <t>Ano 1</t>
        </is>
      </c>
      <c r="D3" s="13" t="inlineStr">
        <is>
          <t>Ano 2</t>
        </is>
      </c>
      <c r="E3" s="13" t="inlineStr">
        <is>
          <t>Ano 3</t>
        </is>
      </c>
      <c r="F3" s="13" t="inlineStr">
        <is>
          <t>Ano 4</t>
        </is>
      </c>
      <c r="G3" s="13" t="inlineStr">
        <is>
          <t>Ano 5</t>
        </is>
      </c>
      <c r="H3" s="13" t="inlineStr">
        <is>
          <t>Ano 6</t>
        </is>
      </c>
      <c r="I3" s="13" t="inlineStr">
        <is>
          <t>Ano 7</t>
        </is>
      </c>
      <c r="J3" s="13" t="inlineStr">
        <is>
          <t>Ano 8</t>
        </is>
      </c>
      <c r="K3" s="13" t="inlineStr">
        <is>
          <t>Ano 9</t>
        </is>
      </c>
      <c r="L3" s="13" t="inlineStr">
        <is>
          <t>Ano 10</t>
        </is>
      </c>
      <c r="M3" s="13" t="inlineStr">
        <is>
          <t>Ano 11</t>
        </is>
      </c>
      <c r="N3" s="13" t="inlineStr">
        <is>
          <t>Ano 12</t>
        </is>
      </c>
      <c r="O3" s="13" t="inlineStr">
        <is>
          <t>Ano 13</t>
        </is>
      </c>
      <c r="P3" s="13" t="inlineStr">
        <is>
          <t>Ano 14</t>
        </is>
      </c>
    </row>
    <row r="4">
      <c r="A4" s="3" t="inlineStr">
        <is>
          <t>Receita Bruta (R$)</t>
        </is>
      </c>
      <c r="C4" s="19">
        <f>Producao_Receita!C8</f>
        <v/>
      </c>
      <c r="D4" s="19">
        <f>Producao_Receita!D8</f>
        <v/>
      </c>
      <c r="E4" s="19">
        <f>Producao_Receita!E8</f>
        <v/>
      </c>
      <c r="F4" s="19">
        <f>Producao_Receita!F8</f>
        <v/>
      </c>
      <c r="G4" s="19">
        <f>Producao_Receita!G8</f>
        <v/>
      </c>
      <c r="H4" s="19">
        <f>Producao_Receita!H8</f>
        <v/>
      </c>
      <c r="I4" s="19">
        <f>Producao_Receita!I8</f>
        <v/>
      </c>
      <c r="J4" s="19">
        <f>Producao_Receita!J8</f>
        <v/>
      </c>
      <c r="K4" s="19">
        <f>Producao_Receita!K8</f>
        <v/>
      </c>
      <c r="L4" s="19">
        <f>Producao_Receita!L8</f>
        <v/>
      </c>
      <c r="M4" s="19">
        <f>Producao_Receita!M8</f>
        <v/>
      </c>
      <c r="N4" s="19">
        <f>Producao_Receita!N8</f>
        <v/>
      </c>
      <c r="O4" s="19">
        <f>Producao_Receita!O8</f>
        <v/>
      </c>
      <c r="P4" s="19">
        <f>Producao_Receita!P8</f>
        <v/>
      </c>
    </row>
    <row r="5">
      <c r="A5" s="3" t="inlineStr">
        <is>
          <t>(–) Deduções (R$)</t>
        </is>
      </c>
      <c r="C5" s="19">
        <f>Producao_Receita!C9</f>
        <v/>
      </c>
      <c r="D5" s="19">
        <f>Producao_Receita!D9</f>
        <v/>
      </c>
      <c r="E5" s="19">
        <f>Producao_Receita!E9</f>
        <v/>
      </c>
      <c r="F5" s="19">
        <f>Producao_Receita!F9</f>
        <v/>
      </c>
      <c r="G5" s="19">
        <f>Producao_Receita!G9</f>
        <v/>
      </c>
      <c r="H5" s="19">
        <f>Producao_Receita!H9</f>
        <v/>
      </c>
      <c r="I5" s="19">
        <f>Producao_Receita!I9</f>
        <v/>
      </c>
      <c r="J5" s="19">
        <f>Producao_Receita!J9</f>
        <v/>
      </c>
      <c r="K5" s="19">
        <f>Producao_Receita!K9</f>
        <v/>
      </c>
      <c r="L5" s="19">
        <f>Producao_Receita!L9</f>
        <v/>
      </c>
      <c r="M5" s="19">
        <f>Producao_Receita!M9</f>
        <v/>
      </c>
      <c r="N5" s="19">
        <f>Producao_Receita!N9</f>
        <v/>
      </c>
      <c r="O5" s="19">
        <f>Producao_Receita!O9</f>
        <v/>
      </c>
      <c r="P5" s="19">
        <f>Producao_Receita!P9</f>
        <v/>
      </c>
    </row>
    <row r="6">
      <c r="A6" s="4" t="inlineStr">
        <is>
          <t>(=) Receita Líquida (R$)</t>
        </is>
      </c>
      <c r="C6" s="19">
        <f>Producao_Receita!C10</f>
        <v/>
      </c>
      <c r="D6" s="19">
        <f>Producao_Receita!D10</f>
        <v/>
      </c>
      <c r="E6" s="19">
        <f>Producao_Receita!E10</f>
        <v/>
      </c>
      <c r="F6" s="19">
        <f>Producao_Receita!F10</f>
        <v/>
      </c>
      <c r="G6" s="19">
        <f>Producao_Receita!G10</f>
        <v/>
      </c>
      <c r="H6" s="19">
        <f>Producao_Receita!H10</f>
        <v/>
      </c>
      <c r="I6" s="19">
        <f>Producao_Receita!I10</f>
        <v/>
      </c>
      <c r="J6" s="19">
        <f>Producao_Receita!J10</f>
        <v/>
      </c>
      <c r="K6" s="19">
        <f>Producao_Receita!K10</f>
        <v/>
      </c>
      <c r="L6" s="19">
        <f>Producao_Receita!L10</f>
        <v/>
      </c>
      <c r="M6" s="19">
        <f>Producao_Receita!M10</f>
        <v/>
      </c>
      <c r="N6" s="19">
        <f>Producao_Receita!N10</f>
        <v/>
      </c>
      <c r="O6" s="19">
        <f>Producao_Receita!O10</f>
        <v/>
      </c>
      <c r="P6" s="19">
        <f>Producao_Receita!P10</f>
        <v/>
      </c>
    </row>
    <row r="7">
      <c r="A7" s="3" t="inlineStr">
        <is>
          <t>(–) Custos e despesas (R$)</t>
        </is>
      </c>
      <c r="C7" s="19">
        <f>-Custos!C10</f>
        <v/>
      </c>
      <c r="D7" s="19">
        <f>-Custos!D10</f>
        <v/>
      </c>
      <c r="E7" s="19">
        <f>-Custos!E10</f>
        <v/>
      </c>
      <c r="F7" s="19">
        <f>-Custos!F10</f>
        <v/>
      </c>
      <c r="G7" s="19">
        <f>-Custos!G10</f>
        <v/>
      </c>
      <c r="H7" s="19">
        <f>-Custos!H10</f>
        <v/>
      </c>
      <c r="I7" s="19">
        <f>-Custos!I10</f>
        <v/>
      </c>
      <c r="J7" s="19">
        <f>-Custos!J10</f>
        <v/>
      </c>
      <c r="K7" s="19">
        <f>-Custos!K10</f>
        <v/>
      </c>
      <c r="L7" s="19">
        <f>-Custos!L10</f>
        <v/>
      </c>
      <c r="M7" s="19">
        <f>-Custos!M10</f>
        <v/>
      </c>
      <c r="N7" s="19">
        <f>-Custos!N10</f>
        <v/>
      </c>
      <c r="O7" s="19">
        <f>-Custos!O10</f>
        <v/>
      </c>
      <c r="P7" s="19">
        <f>-Custos!P10</f>
        <v/>
      </c>
    </row>
    <row r="8">
      <c r="A8" s="4" t="inlineStr">
        <is>
          <t>(=) EBITDA (R$)</t>
        </is>
      </c>
      <c r="C8" s="19">
        <f>C6+C7</f>
        <v/>
      </c>
      <c r="D8" s="19">
        <f>D6+D7</f>
        <v/>
      </c>
      <c r="E8" s="19">
        <f>E6+E7</f>
        <v/>
      </c>
      <c r="F8" s="19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  <c r="L8" s="19">
        <f>L6+L7</f>
        <v/>
      </c>
      <c r="M8" s="19">
        <f>M6+M7</f>
        <v/>
      </c>
      <c r="N8" s="19">
        <f>N6+N7</f>
        <v/>
      </c>
      <c r="O8" s="19">
        <f>O6+O7</f>
        <v/>
      </c>
      <c r="P8" s="19">
        <f>P6+P7</f>
        <v/>
      </c>
    </row>
    <row r="9">
      <c r="A9" s="3" t="inlineStr">
        <is>
          <t>Margem EBITDA (% RL)</t>
        </is>
      </c>
      <c r="C9" s="20">
        <f>IFERROR(C8/C6,0)</f>
        <v/>
      </c>
      <c r="D9" s="20">
        <f>IFERROR(D8/D6,0)</f>
        <v/>
      </c>
      <c r="E9" s="20">
        <f>IFERROR(E8/E6,0)</f>
        <v/>
      </c>
      <c r="F9" s="20">
        <f>IFERROR(F8/F6,0)</f>
        <v/>
      </c>
      <c r="G9" s="20">
        <f>IFERROR(G8/G6,0)</f>
        <v/>
      </c>
      <c r="H9" s="20">
        <f>IFERROR(H8/H6,0)</f>
        <v/>
      </c>
      <c r="I9" s="20">
        <f>IFERROR(I8/I6,0)</f>
        <v/>
      </c>
      <c r="J9" s="20">
        <f>IFERROR(J8/J6,0)</f>
        <v/>
      </c>
      <c r="K9" s="20">
        <f>IFERROR(K8/K6,0)</f>
        <v/>
      </c>
      <c r="L9" s="20">
        <f>IFERROR(L8/L6,0)</f>
        <v/>
      </c>
      <c r="M9" s="20">
        <f>IFERROR(M8/M6,0)</f>
        <v/>
      </c>
      <c r="N9" s="20">
        <f>IFERROR(N8/N6,0)</f>
        <v/>
      </c>
      <c r="O9" s="20">
        <f>IFERROR(O8/O6,0)</f>
        <v/>
      </c>
      <c r="P9" s="20">
        <f>IFERROR(P8/P6,0)</f>
        <v/>
      </c>
    </row>
    <row r="10">
      <c r="A10" s="3" t="inlineStr">
        <is>
          <t>(–) Depreciação (R$)</t>
        </is>
      </c>
      <c r="C10" s="19">
        <f>-Premissas!$B$25</f>
        <v/>
      </c>
      <c r="D10" s="19">
        <f>-Premissas!$B$25</f>
        <v/>
      </c>
      <c r="E10" s="19">
        <f>-Premissas!$B$25</f>
        <v/>
      </c>
      <c r="F10" s="19">
        <f>-Premissas!$B$25</f>
        <v/>
      </c>
      <c r="G10" s="19">
        <f>-Premissas!$B$25</f>
        <v/>
      </c>
      <c r="H10" s="19">
        <f>-Premissas!$B$25</f>
        <v/>
      </c>
      <c r="I10" s="19">
        <f>-Premissas!$B$25</f>
        <v/>
      </c>
      <c r="J10" s="19">
        <f>-Premissas!$B$25</f>
        <v/>
      </c>
      <c r="K10" s="19">
        <f>-Premissas!$B$25</f>
        <v/>
      </c>
      <c r="L10" s="19">
        <f>-Premissas!$B$25</f>
        <v/>
      </c>
      <c r="M10" s="19">
        <f>-Premissas!$B$25</f>
        <v/>
      </c>
      <c r="N10" s="19">
        <f>-Premissas!$B$25</f>
        <v/>
      </c>
      <c r="O10" s="19">
        <f>-Premissas!$B$25</f>
        <v/>
      </c>
      <c r="P10" s="19">
        <f>-Premissas!$B$25</f>
        <v/>
      </c>
    </row>
    <row r="11">
      <c r="A11" s="3" t="inlineStr">
        <is>
          <t>(–) Juros FNE (R$)</t>
        </is>
      </c>
      <c r="C11" s="19">
        <f>-FNE_SAC!C5</f>
        <v/>
      </c>
      <c r="D11" s="19">
        <f>-FNE_SAC!D5</f>
        <v/>
      </c>
      <c r="E11" s="19">
        <f>-FNE_SAC!E5</f>
        <v/>
      </c>
      <c r="F11" s="19">
        <f>-FNE_SAC!F5</f>
        <v/>
      </c>
      <c r="G11" s="19">
        <f>-FNE_SAC!G5</f>
        <v/>
      </c>
      <c r="H11" s="19">
        <f>-FNE_SAC!H5</f>
        <v/>
      </c>
      <c r="I11" s="19">
        <f>-FNE_SAC!I5</f>
        <v/>
      </c>
      <c r="J11" s="19">
        <f>-FNE_SAC!J5</f>
        <v/>
      </c>
      <c r="K11" s="19">
        <f>-FNE_SAC!K5</f>
        <v/>
      </c>
      <c r="L11" s="19">
        <f>-FNE_SAC!L5</f>
        <v/>
      </c>
      <c r="M11" s="19">
        <f>-FNE_SAC!M5</f>
        <v/>
      </c>
      <c r="N11" s="19">
        <f>-FNE_SAC!N5</f>
        <v/>
      </c>
      <c r="O11" s="19">
        <f>-FNE_SAC!O5</f>
        <v/>
      </c>
      <c r="P11" s="19">
        <f>-FNE_SAC!P5</f>
        <v/>
      </c>
    </row>
    <row r="12">
      <c r="A12" s="4" t="inlineStr">
        <is>
          <t>(=) LAIR (R$)</t>
        </is>
      </c>
      <c r="C12" s="19">
        <f>C8+C10+C11</f>
        <v/>
      </c>
      <c r="D12" s="19">
        <f>D8+D10+D11</f>
        <v/>
      </c>
      <c r="E12" s="19">
        <f>E8+E10+E11</f>
        <v/>
      </c>
      <c r="F12" s="19">
        <f>F8+F10+F11</f>
        <v/>
      </c>
      <c r="G12" s="19">
        <f>G8+G10+G11</f>
        <v/>
      </c>
      <c r="H12" s="19">
        <f>H8+H10+H11</f>
        <v/>
      </c>
      <c r="I12" s="19">
        <f>I8+I10+I11</f>
        <v/>
      </c>
      <c r="J12" s="19">
        <f>J8+J10+J11</f>
        <v/>
      </c>
      <c r="K12" s="19">
        <f>K8+K10+K11</f>
        <v/>
      </c>
      <c r="L12" s="19">
        <f>L8+L10+L11</f>
        <v/>
      </c>
      <c r="M12" s="19">
        <f>M8+M10+M11</f>
        <v/>
      </c>
      <c r="N12" s="19">
        <f>N8+N10+N11</f>
        <v/>
      </c>
      <c r="O12" s="19">
        <f>O8+O10+O11</f>
        <v/>
      </c>
      <c r="P12" s="19">
        <f>P8+P10+P11</f>
        <v/>
      </c>
    </row>
    <row r="13">
      <c r="A13" s="3" t="inlineStr">
        <is>
          <t>(–) IRPJ+CSLL presumido (R$)</t>
        </is>
      </c>
      <c r="C13" s="19">
        <f>-(0.15*(0.08*C4)+0.1*MAX(0,0.08*C4-240000)+0.09*(0.12*C4))</f>
        <v/>
      </c>
      <c r="D13" s="19">
        <f>-(0.15*(0.08*D4)+0.1*MAX(0,0.08*D4-240000)+0.09*(0.12*D4))</f>
        <v/>
      </c>
      <c r="E13" s="19">
        <f>-(0.15*(0.08*E4)+0.1*MAX(0,0.08*E4-240000)+0.09*(0.12*E4))</f>
        <v/>
      </c>
      <c r="F13" s="19">
        <f>-(0.15*(0.08*F4)+0.1*MAX(0,0.08*F4-240000)+0.09*(0.12*F4))</f>
        <v/>
      </c>
      <c r="G13" s="19">
        <f>-(0.15*(0.08*G4)+0.1*MAX(0,0.08*G4-240000)+0.09*(0.12*G4))</f>
        <v/>
      </c>
      <c r="H13" s="19">
        <f>-(0.15*(0.08*H4)+0.1*MAX(0,0.08*H4-240000)+0.09*(0.12*H4))</f>
        <v/>
      </c>
      <c r="I13" s="19">
        <f>-(0.15*(0.08*I4)+0.1*MAX(0,0.08*I4-240000)+0.09*(0.12*I4))</f>
        <v/>
      </c>
      <c r="J13" s="19">
        <f>-(0.15*(0.08*J4)+0.1*MAX(0,0.08*J4-240000)+0.09*(0.12*J4))</f>
        <v/>
      </c>
      <c r="K13" s="19">
        <f>-(0.15*(0.08*K4)+0.1*MAX(0,0.08*K4-240000)+0.09*(0.12*K4))</f>
        <v/>
      </c>
      <c r="L13" s="19">
        <f>-(0.15*(0.08*L4)+0.1*MAX(0,0.08*L4-240000)+0.09*(0.12*L4))</f>
        <v/>
      </c>
      <c r="M13" s="19">
        <f>-(0.15*(0.08*M4)+0.1*MAX(0,0.08*M4-240000)+0.09*(0.12*M4))</f>
        <v/>
      </c>
      <c r="N13" s="19">
        <f>-(0.15*(0.08*N4)+0.1*MAX(0,0.08*N4-240000)+0.09*(0.12*N4))</f>
        <v/>
      </c>
      <c r="O13" s="19">
        <f>-(0.15*(0.08*O4)+0.1*MAX(0,0.08*O4-240000)+0.09*(0.12*O4))</f>
        <v/>
      </c>
      <c r="P13" s="19">
        <f>-(0.15*(0.08*P4)+0.1*MAX(0,0.08*P4-240000)+0.09*(0.12*P4))</f>
        <v/>
      </c>
    </row>
    <row r="14">
      <c r="A14" s="4" t="inlineStr">
        <is>
          <t>(=) LUCRO LÍQUIDO (R$)</t>
        </is>
      </c>
      <c r="C14" s="19">
        <f>C12+C13</f>
        <v/>
      </c>
      <c r="D14" s="19">
        <f>D12+D13</f>
        <v/>
      </c>
      <c r="E14" s="19">
        <f>E12+E13</f>
        <v/>
      </c>
      <c r="F14" s="19">
        <f>F12+F13</f>
        <v/>
      </c>
      <c r="G14" s="19">
        <f>G12+G13</f>
        <v/>
      </c>
      <c r="H14" s="19">
        <f>H12+H13</f>
        <v/>
      </c>
      <c r="I14" s="19">
        <f>I12+I13</f>
        <v/>
      </c>
      <c r="J14" s="19">
        <f>J12+J13</f>
        <v/>
      </c>
      <c r="K14" s="19">
        <f>K12+K13</f>
        <v/>
      </c>
      <c r="L14" s="19">
        <f>L12+L13</f>
        <v/>
      </c>
      <c r="M14" s="19">
        <f>M12+M13</f>
        <v/>
      </c>
      <c r="N14" s="19">
        <f>N12+N13</f>
        <v/>
      </c>
      <c r="O14" s="19">
        <f>O12+O13</f>
        <v/>
      </c>
      <c r="P14" s="19">
        <f>P12+P13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FLUXO DE CAIXA E INDICADORES</t>
        </is>
      </c>
    </row>
    <row r="3">
      <c r="B3" s="21" t="inlineStr">
        <is>
          <t>Ano 0</t>
        </is>
      </c>
      <c r="C3" s="13" t="inlineStr">
        <is>
          <t>Ano 1</t>
        </is>
      </c>
      <c r="D3" s="13" t="inlineStr">
        <is>
          <t>Ano 2</t>
        </is>
      </c>
      <c r="E3" s="13" t="inlineStr">
        <is>
          <t>Ano 3</t>
        </is>
      </c>
      <c r="F3" s="13" t="inlineStr">
        <is>
          <t>Ano 4</t>
        </is>
      </c>
      <c r="G3" s="13" t="inlineStr">
        <is>
          <t>Ano 5</t>
        </is>
      </c>
      <c r="H3" s="13" t="inlineStr">
        <is>
          <t>Ano 6</t>
        </is>
      </c>
      <c r="I3" s="13" t="inlineStr">
        <is>
          <t>Ano 7</t>
        </is>
      </c>
      <c r="J3" s="13" t="inlineStr">
        <is>
          <t>Ano 8</t>
        </is>
      </c>
      <c r="K3" s="13" t="inlineStr">
        <is>
          <t>Ano 9</t>
        </is>
      </c>
      <c r="L3" s="13" t="inlineStr">
        <is>
          <t>Ano 10</t>
        </is>
      </c>
      <c r="M3" s="13" t="inlineStr">
        <is>
          <t>Ano 11</t>
        </is>
      </c>
      <c r="N3" s="13" t="inlineStr">
        <is>
          <t>Ano 12</t>
        </is>
      </c>
      <c r="O3" s="13" t="inlineStr">
        <is>
          <t>Ano 13</t>
        </is>
      </c>
      <c r="P3" s="13" t="inlineStr">
        <is>
          <t>Ano 14</t>
        </is>
      </c>
    </row>
    <row r="4">
      <c r="A4" s="3" t="inlineStr">
        <is>
          <t>Δ Capital de giro (R$)</t>
        </is>
      </c>
      <c r="C4" s="14">
        <f>MAX(0,(Producao_Receita!C8-0)*Premissas!$B$26)</f>
        <v/>
      </c>
      <c r="D4" s="14">
        <f>MAX(0,(Producao_Receita!D8-Producao_Receita!C8)*Premissas!$B$26)</f>
        <v/>
      </c>
      <c r="E4" s="14">
        <f>MAX(0,(Producao_Receita!E8-Producao_Receita!D8)*Premissas!$B$26)</f>
        <v/>
      </c>
      <c r="F4" s="14">
        <f>MAX(0,(Producao_Receita!F8-Producao_Receita!E8)*Premissas!$B$26)</f>
        <v/>
      </c>
      <c r="G4" s="14">
        <f>MAX(0,(Producao_Receita!G8-Producao_Receita!F8)*Premissas!$B$26)</f>
        <v/>
      </c>
      <c r="H4" s="14">
        <f>MAX(0,(Producao_Receita!H8-Producao_Receita!G8)*Premissas!$B$26)</f>
        <v/>
      </c>
      <c r="I4" s="14">
        <f>MAX(0,(Producao_Receita!I8-Producao_Receita!H8)*Premissas!$B$26)</f>
        <v/>
      </c>
      <c r="J4" s="14">
        <f>MAX(0,(Producao_Receita!J8-Producao_Receita!I8)*Premissas!$B$26)</f>
        <v/>
      </c>
      <c r="K4" s="14">
        <f>MAX(0,(Producao_Receita!K8-Producao_Receita!J8)*Premissas!$B$26)</f>
        <v/>
      </c>
      <c r="L4" s="14">
        <f>MAX(0,(Producao_Receita!L8-Producao_Receita!K8)*Premissas!$B$26)</f>
        <v/>
      </c>
      <c r="M4" s="14">
        <f>MAX(0,(Producao_Receita!M8-Producao_Receita!L8)*Premissas!$B$26)</f>
        <v/>
      </c>
      <c r="N4" s="14">
        <f>MAX(0,(Producao_Receita!N8-Producao_Receita!M8)*Premissas!$B$26)</f>
        <v/>
      </c>
      <c r="O4" s="14">
        <f>MAX(0,(Producao_Receita!O8-Producao_Receita!N8)*Premissas!$B$26)</f>
        <v/>
      </c>
      <c r="P4" s="14">
        <f>MAX(0,(Producao_Receita!P8-Producao_Receita!O8)*Premissas!$B$26)</f>
        <v/>
      </c>
    </row>
    <row r="5">
      <c r="A5" s="3" t="inlineStr">
        <is>
          <t>FC do PROJETO (R$)</t>
        </is>
      </c>
      <c r="B5" s="14">
        <f>-Premissas!$B$29</f>
        <v/>
      </c>
      <c r="C5" s="19">
        <f>DRE_Projetada!C8+DRE_Projetada!C13-C4</f>
        <v/>
      </c>
      <c r="D5" s="19">
        <f>DRE_Projetada!D8+DRE_Projetada!D13-D4</f>
        <v/>
      </c>
      <c r="E5" s="19">
        <f>DRE_Projetada!E8+DRE_Projetada!E13-E4</f>
        <v/>
      </c>
      <c r="F5" s="19">
        <f>DRE_Projetada!F8+DRE_Projetada!F13-F4</f>
        <v/>
      </c>
      <c r="G5" s="19">
        <f>DRE_Projetada!G8+DRE_Projetada!G13-G4</f>
        <v/>
      </c>
      <c r="H5" s="19">
        <f>DRE_Projetada!H8+DRE_Projetada!H13-H4</f>
        <v/>
      </c>
      <c r="I5" s="19">
        <f>DRE_Projetada!I8+DRE_Projetada!I13-I4</f>
        <v/>
      </c>
      <c r="J5" s="19">
        <f>DRE_Projetada!J8+DRE_Projetada!J13-J4</f>
        <v/>
      </c>
      <c r="K5" s="19">
        <f>DRE_Projetada!K8+DRE_Projetada!K13-K4</f>
        <v/>
      </c>
      <c r="L5" s="19">
        <f>DRE_Projetada!L8+DRE_Projetada!L13-L4</f>
        <v/>
      </c>
      <c r="M5" s="19">
        <f>DRE_Projetada!M8+DRE_Projetada!M13-M4</f>
        <v/>
      </c>
      <c r="N5" s="19">
        <f>DRE_Projetada!N8+DRE_Projetada!N13-N4</f>
        <v/>
      </c>
      <c r="O5" s="19">
        <f>DRE_Projetada!O8+DRE_Projetada!O13-O4</f>
        <v/>
      </c>
      <c r="P5" s="19">
        <f>DRE_Projetada!P8+DRE_Projetada!P13-P4</f>
        <v/>
      </c>
    </row>
    <row r="6">
      <c r="A6" s="3" t="inlineStr">
        <is>
          <t>FC do ACIONISTA (R$)</t>
        </is>
      </c>
      <c r="B6" s="14">
        <f>-(Premissas!$B$29-Premissas!$B$30)</f>
        <v/>
      </c>
      <c r="C6" s="19">
        <f>C5-FNE_SAC!C8</f>
        <v/>
      </c>
      <c r="D6" s="19">
        <f>D5-FNE_SAC!D8</f>
        <v/>
      </c>
      <c r="E6" s="19">
        <f>E5-FNE_SAC!E8</f>
        <v/>
      </c>
      <c r="F6" s="19">
        <f>F5-FNE_SAC!F8</f>
        <v/>
      </c>
      <c r="G6" s="19">
        <f>G5-FNE_SAC!G8</f>
        <v/>
      </c>
      <c r="H6" s="19">
        <f>H5-FNE_SAC!H8</f>
        <v/>
      </c>
      <c r="I6" s="19">
        <f>I5-FNE_SAC!I8</f>
        <v/>
      </c>
      <c r="J6" s="19">
        <f>J5-FNE_SAC!J8</f>
        <v/>
      </c>
      <c r="K6" s="19">
        <f>K5-FNE_SAC!K8</f>
        <v/>
      </c>
      <c r="L6" s="19">
        <f>L5-FNE_SAC!L8</f>
        <v/>
      </c>
      <c r="M6" s="19">
        <f>M5-FNE_SAC!M8</f>
        <v/>
      </c>
      <c r="N6" s="19">
        <f>N5-FNE_SAC!N8</f>
        <v/>
      </c>
      <c r="O6" s="19">
        <f>O5-FNE_SAC!O8</f>
        <v/>
      </c>
      <c r="P6" s="19">
        <f>P5-FNE_SAC!P8</f>
        <v/>
      </c>
    </row>
    <row r="7">
      <c r="A7" s="3" t="inlineStr">
        <is>
          <t>FC projeto acumulado (R$)</t>
        </is>
      </c>
      <c r="B7" s="14">
        <f>B5</f>
        <v/>
      </c>
      <c r="C7" s="14">
        <f>B7+C5</f>
        <v/>
      </c>
      <c r="D7" s="14">
        <f>C7+D5</f>
        <v/>
      </c>
      <c r="E7" s="14">
        <f>D7+E5</f>
        <v/>
      </c>
      <c r="F7" s="14">
        <f>E7+F5</f>
        <v/>
      </c>
      <c r="G7" s="14">
        <f>F7+G5</f>
        <v/>
      </c>
      <c r="H7" s="14">
        <f>G7+H5</f>
        <v/>
      </c>
      <c r="I7" s="14">
        <f>H7+I5</f>
        <v/>
      </c>
      <c r="J7" s="14">
        <f>I7+J5</f>
        <v/>
      </c>
      <c r="K7" s="14">
        <f>J7+K5</f>
        <v/>
      </c>
      <c r="L7" s="14">
        <f>K7+L5</f>
        <v/>
      </c>
      <c r="M7" s="14">
        <f>L7+M5</f>
        <v/>
      </c>
      <c r="N7" s="14">
        <f>M7+N5</f>
        <v/>
      </c>
      <c r="O7" s="14">
        <f>N7+O5</f>
        <v/>
      </c>
      <c r="P7" s="14">
        <f>O7+P5</f>
        <v/>
      </c>
    </row>
    <row r="8">
      <c r="A8" s="3" t="inlineStr">
        <is>
          <t>DSCR — (EBITDA−IR)/serviço</t>
        </is>
      </c>
      <c r="C8" s="17">
        <f>IFERROR((DRE_Projetada!C8+DRE_Projetada!C13)/FNE_SAC!C8,"—")</f>
        <v/>
      </c>
      <c r="D8" s="17">
        <f>IFERROR((DRE_Projetada!D8+DRE_Projetada!D13)/FNE_SAC!D8,"—")</f>
        <v/>
      </c>
      <c r="E8" s="17">
        <f>IFERROR((DRE_Projetada!E8+DRE_Projetada!E13)/FNE_SAC!E8,"—")</f>
        <v/>
      </c>
      <c r="F8" s="17">
        <f>IFERROR((DRE_Projetada!F8+DRE_Projetada!F13)/FNE_SAC!F8,"—")</f>
        <v/>
      </c>
      <c r="G8" s="17">
        <f>IFERROR((DRE_Projetada!G8+DRE_Projetada!G13)/FNE_SAC!G8,"—")</f>
        <v/>
      </c>
      <c r="H8" s="17">
        <f>IFERROR((DRE_Projetada!H8+DRE_Projetada!H13)/FNE_SAC!H8,"—")</f>
        <v/>
      </c>
      <c r="I8" s="17">
        <f>IFERROR((DRE_Projetada!I8+DRE_Projetada!I13)/FNE_SAC!I8,"—")</f>
        <v/>
      </c>
      <c r="J8" s="17">
        <f>IFERROR((DRE_Projetada!J8+DRE_Projetada!J13)/FNE_SAC!J8,"—")</f>
        <v/>
      </c>
      <c r="K8" s="17">
        <f>IFERROR((DRE_Projetada!K8+DRE_Projetada!K13)/FNE_SAC!K8,"—")</f>
        <v/>
      </c>
      <c r="L8" s="17">
        <f>IFERROR((DRE_Projetada!L8+DRE_Projetada!L13)/FNE_SAC!L8,"—")</f>
        <v/>
      </c>
      <c r="M8" s="17">
        <f>IFERROR((DRE_Projetada!M8+DRE_Projetada!M13)/FNE_SAC!M8,"—")</f>
        <v/>
      </c>
      <c r="N8" s="17">
        <f>IFERROR((DRE_Projetada!N8+DRE_Projetada!N13)/FNE_SAC!N8,"—")</f>
        <v/>
      </c>
      <c r="O8" s="17">
        <f>IFERROR((DRE_Projetada!O8+DRE_Projetada!O13)/FNE_SAC!O8,"—")</f>
        <v/>
      </c>
      <c r="P8" s="17">
        <f>IFERROR((DRE_Projetada!P8+DRE_Projetada!P13)/FNE_SAC!P8,"—")</f>
        <v/>
      </c>
    </row>
    <row r="10">
      <c r="A10" s="4" t="inlineStr">
        <is>
          <t>INDICADORES</t>
        </is>
      </c>
    </row>
    <row r="11">
      <c r="A11" s="3" t="inlineStr">
        <is>
          <t>TIR do projeto (% a.a.)</t>
        </is>
      </c>
      <c r="B11" s="22">
        <f>IRR(B5:P5)</f>
        <v/>
      </c>
    </row>
    <row r="12">
      <c r="A12" s="3" t="inlineStr">
        <is>
          <t>TIR do acionista (% a.a.)</t>
        </is>
      </c>
      <c r="B12" s="22">
        <f>IRR(B6:P6)</f>
        <v/>
      </c>
    </row>
    <row r="13">
      <c r="A13" s="3" t="inlineStr">
        <is>
          <t>VPL do projeto @ TMA (R$)</t>
        </is>
      </c>
      <c r="B13" s="23">
        <f>NPV(Premissas!$B$34,C5:P5)+B5</f>
        <v/>
      </c>
    </row>
    <row r="14">
      <c r="A14" s="3" t="inlineStr">
        <is>
          <t>Payback (anos)</t>
        </is>
      </c>
      <c r="B14" s="24">
        <f>COUNTIF(B7:P7,"&lt;0")</f>
        <v/>
      </c>
    </row>
    <row r="15">
      <c r="A15" s="3" t="inlineStr">
        <is>
          <t>DSCR mínimo (anos de amortização)</t>
        </is>
      </c>
      <c r="B15" s="25">
        <f>MIN(E8:P8)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CAPACIDADE DE PAGAMENTO — MOTOR OFICIAL BNB (janela 30–50%)</t>
        </is>
      </c>
    </row>
    <row r="2">
      <c r="A2" s="2" t="inlineStr">
        <is>
          <t>Rédito = Receita BRUTA × (1 − custo padrão). Valores calculados no algoritmo VBA real do banco (script da consultoria, validado ao centésimo). Custo padrão proposto: 68,62% (DRE real PVV); tabela indústria: 67,77% — VALIDAR com o analista.</t>
        </is>
      </c>
    </row>
    <row r="4">
      <c r="A4" s="4" t="inlineStr">
        <is>
          <t>Configuração</t>
        </is>
      </c>
      <c r="B4" s="4" t="inlineStr">
        <is>
          <t>Comprometimento máx.</t>
        </is>
      </c>
      <c r="C4" s="4" t="inlineStr">
        <is>
          <t>Veredito</t>
        </is>
      </c>
      <c r="D4" s="4" t="inlineStr">
        <is>
          <t>Observação</t>
        </is>
      </c>
    </row>
    <row r="5">
      <c r="A5" s="3" t="inlineStr">
        <is>
          <t>Pleito R$ 24,29 mi · 14a · 2c+12a · platô 237.516 t/ano no ano 3 (BASE)</t>
        </is>
      </c>
      <c r="B5" s="15" t="n">
        <v>0.4463519561697299</v>
      </c>
      <c r="C5" s="26" t="inlineStr">
        <is>
          <t>PASSA</t>
        </is>
      </c>
      <c r="D5" s="2" t="inlineStr">
        <is>
          <t>44,6%</t>
        </is>
      </c>
    </row>
    <row r="6">
      <c r="A6" s="3" t="inlineStr">
        <is>
          <t>Pleito R$ 24,29 mi · 14a · 2c+12a · estresse de rendimento a 91,6% (217.517 t/ano)</t>
        </is>
      </c>
      <c r="B6" s="15" t="n">
        <v>0.494397092153865</v>
      </c>
      <c r="C6" s="26" t="inlineStr">
        <is>
          <t>PASSA</t>
        </is>
      </c>
      <c r="D6" s="2" t="inlineStr">
        <is>
          <t>49,4%</t>
        </is>
      </c>
    </row>
    <row r="7">
      <c r="A7" s="3" t="inlineStr">
        <is>
          <t>Pleito R$ 24,29 mi · 14a · 2c+12a · platô 216.000 t no ano 3</t>
        </is>
      </c>
      <c r="B7" s="15" t="n">
        <v>0.4984788064814632</v>
      </c>
      <c r="C7" s="26" t="inlineStr">
        <is>
          <t>PASSA</t>
        </is>
      </c>
      <c r="D7" s="2" t="inlineStr">
        <is>
          <t>49,8%</t>
        </is>
      </c>
    </row>
    <row r="8">
      <c r="A8" s="3" t="inlineStr">
        <is>
          <t>Pleito R$ 24,29 mi · 14a · 2c+12a · platô 216.000 t no ano 4 (versão anterior)</t>
        </is>
      </c>
      <c r="B8" s="15" t="n">
        <v>0.5095582689725452</v>
      </c>
      <c r="C8" s="26" t="inlineStr">
        <is>
          <t>NÃO PASSA</t>
        </is>
      </c>
      <c r="D8" s="2" t="inlineStr">
        <is>
          <t>51,0%</t>
        </is>
      </c>
    </row>
    <row r="9">
      <c r="A9" s="3" t="inlineStr">
        <is>
          <t>Pleito R$ 24,29 mi · 14a · 2c+12a · preço R$ 82/t (ref. PVV)</t>
        </is>
      </c>
      <c r="B9" s="15" t="n">
        <v>0.3640766220609473</v>
      </c>
      <c r="C9" s="26" t="inlineStr">
        <is>
          <t>PASSA</t>
        </is>
      </c>
      <c r="D9" s="2" t="inlineStr">
        <is>
          <t>36,4%</t>
        </is>
      </c>
    </row>
    <row r="10">
      <c r="A10" s="3" t="inlineStr">
        <is>
          <t>Pleito R$ 24,29 mi · 14a · 2c+12a · produção 95% da licença</t>
        </is>
      </c>
      <c r="B10" s="15" t="n">
        <v>0.4195555213384505</v>
      </c>
      <c r="C10" s="26" t="inlineStr">
        <is>
          <t>PASSA</t>
        </is>
      </c>
      <c r="D10" s="2" t="inlineStr">
        <is>
          <t>42,0%</t>
        </is>
      </c>
    </row>
    <row r="11">
      <c r="A11" s="3" t="inlineStr">
        <is>
          <t>Pleito R$ 24,29 mi · 14a · 3c+11a · platô 237.516 t no ano 3</t>
        </is>
      </c>
      <c r="B11" s="15" t="n">
        <v>0.4878939251758458</v>
      </c>
      <c r="C11" s="26" t="inlineStr">
        <is>
          <t>PASSA</t>
        </is>
      </c>
      <c r="D11" s="2" t="inlineStr">
        <is>
          <t>48,8%</t>
        </is>
      </c>
    </row>
    <row r="12">
      <c r="A12" s="3" t="inlineStr">
        <is>
          <t>Pleito R$ 24,29 mi · 14a · 4c+10a · platô 237.516 t no ano 3</t>
        </is>
      </c>
      <c r="B12" s="15" t="n">
        <v>0.5379606443360773</v>
      </c>
      <c r="C12" s="26" t="inlineStr">
        <is>
          <t>NÃO PASSA</t>
        </is>
      </c>
      <c r="D12" s="2" t="inlineStr">
        <is>
          <t>53,8%</t>
        </is>
      </c>
    </row>
    <row r="14">
      <c r="A14" s="3" t="inlineStr">
        <is>
          <t>FINANCIAMENTO MÁXIMO QUE PASSA (≤50%)</t>
        </is>
      </c>
    </row>
    <row r="15">
      <c r="A15" s="3" t="inlineStr">
        <is>
          <t>14a · 2c+12a · platô 237.516 t/ano no ano 3 (BASE)</t>
        </is>
      </c>
      <c r="B15" s="14" t="n">
        <v>26399654.68</v>
      </c>
    </row>
    <row r="16">
      <c r="A16" s="3" t="inlineStr">
        <is>
          <t>14a · 2c+12a · estresse de rendimento a 91,6% (217.517 t/ano)</t>
        </is>
      </c>
      <c r="B16" s="14" t="n">
        <v>24488818.6</v>
      </c>
    </row>
    <row r="17">
      <c r="A17" s="3" t="inlineStr">
        <is>
          <t>14a · 2c+12a · platô 216.000 t no ano 3</t>
        </is>
      </c>
      <c r="B17" s="14" t="n">
        <v>24343874.44</v>
      </c>
    </row>
    <row r="18">
      <c r="A18" s="3" t="inlineStr">
        <is>
          <t>14a · 2c+12a · platô 216.000 t no ano 4 (versão anterior)</t>
        </is>
      </c>
      <c r="B18" s="14" t="n">
        <v>23964142.39</v>
      </c>
    </row>
    <row r="19">
      <c r="A19" s="3" t="inlineStr">
        <is>
          <t>14a · 2c+12a · preço R$ 82/t (ref. PVV)</t>
        </is>
      </c>
      <c r="B19" s="14" t="n">
        <v>30872163.77</v>
      </c>
    </row>
    <row r="20">
      <c r="A20" s="3" t="inlineStr">
        <is>
          <t>14a · 2c+12a · produção 95% da licença</t>
        </is>
      </c>
      <c r="B20" s="14" t="n">
        <v>27660200.76</v>
      </c>
    </row>
    <row r="21">
      <c r="A21" s="3" t="inlineStr">
        <is>
          <t>14a · 3c+11a · platô 237.516 t no ano 3</t>
        </is>
      </c>
      <c r="B21" s="14" t="n">
        <v>24736529.56</v>
      </c>
    </row>
    <row r="22">
      <c r="A22" s="3" t="inlineStr">
        <is>
          <t>14a · 4c+10a · platô 237.516 t no ano 3</t>
        </is>
      </c>
      <c r="B22" s="14" t="n">
        <v>22990827.46</v>
      </c>
    </row>
    <row r="24">
      <c r="A24" s="3" t="inlineStr">
        <is>
          <t>Fórmulas sem cache: o Excel recalcula ao abrir. Rédito = Receita BRUTA × (1 − custo padrão 68,62%). Motor: capacidade_pagamento.py (réplica do VBA oficial do BNB), validado contra a âncora de 50,96% do platô anterior.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CENÁRIOS PRONTOS (valores calculados — referência rápida)</t>
        </is>
      </c>
    </row>
    <row r="3">
      <c r="A3" s="21" t="inlineStr">
        <is>
          <t>Cenário</t>
        </is>
      </c>
      <c r="B3" s="21" t="inlineStr">
        <is>
          <t>RB platô (R$)</t>
        </is>
      </c>
      <c r="C3" s="21" t="inlineStr">
        <is>
          <t>EBITDA platô (R$)</t>
        </is>
      </c>
      <c r="D3" s="21" t="inlineStr">
        <is>
          <t>LL platô (R$)</t>
        </is>
      </c>
      <c r="E3" s="21" t="inlineStr">
        <is>
          <t>DSCR mín</t>
        </is>
      </c>
      <c r="F3" s="21" t="inlineStr">
        <is>
          <t>TIR proj.</t>
        </is>
      </c>
      <c r="G3" s="21" t="inlineStr">
        <is>
          <t>VPL @12%</t>
        </is>
      </c>
      <c r="H3" s="21" t="inlineStr">
        <is>
          <t>Comprom. BNB</t>
        </is>
      </c>
    </row>
    <row r="4">
      <c r="A4" s="4" t="inlineStr">
        <is>
          <t>BASE (platô 237.516 t no ano 3 · preço 68,50 · 2c+12a · 10,3493%)</t>
        </is>
      </c>
      <c r="B4" s="14" t="n">
        <v>18926646</v>
      </c>
      <c r="C4" s="14" t="n">
        <v>7340482.02</v>
      </c>
      <c r="D4" s="14" t="n">
        <v>2327138.1</v>
      </c>
      <c r="E4" s="17" t="n">
        <v>1.534294510013358</v>
      </c>
      <c r="F4" s="15" t="n">
        <v>0.1769284914804515</v>
      </c>
      <c r="G4" s="14" t="n">
        <v>4927889.77581582</v>
      </c>
      <c r="H4" s="3" t="inlineStr">
        <is>
          <t>51,0% ✗ (1 p.p.)</t>
        </is>
      </c>
    </row>
    <row r="5">
      <c r="A5" s="4" t="inlineStr">
        <is>
          <t>ESTRESSE DE RENDIMENTO — hipótese de 91,6% (platô 217.517 t no ano 3)</t>
        </is>
      </c>
      <c r="B5" s="14" t="n">
        <v>17556714.5</v>
      </c>
      <c r="C5" s="14" t="n">
        <v>6528622.62</v>
      </c>
      <c r="D5" s="14" t="n">
        <v>1557472.58</v>
      </c>
      <c r="E5" s="17" t="n">
        <v>1.366897171643263</v>
      </c>
      <c r="F5" s="15" t="n">
        <v>0.15706795089973</v>
      </c>
      <c r="G5" s="14" t="n">
        <v>-6303892.299403776</v>
      </c>
      <c r="H5" s="3" t="inlineStr">
        <is>
          <t>—</t>
        </is>
      </c>
    </row>
    <row r="6">
      <c r="A6" s="4" t="inlineStr">
        <is>
          <t>UPSIDE (preço 82 — ref. PVV)</t>
        </is>
      </c>
      <c r="B6" s="14" t="n">
        <v>22133112</v>
      </c>
      <c r="C6" s="14" t="n">
        <v>10130107.44</v>
      </c>
      <c r="D6" s="14" t="n">
        <v>5018004.37</v>
      </c>
      <c r="E6" s="17" t="n">
        <v>2.127244362005543</v>
      </c>
      <c r="F6" s="15" t="n">
        <v>0.2498390626448713</v>
      </c>
      <c r="G6" s="14" t="n">
        <v>-7129164.450326623</v>
      </c>
      <c r="H6" s="3" t="inlineStr">
        <is>
          <t>—</t>
        </is>
      </c>
    </row>
    <row r="7">
      <c r="A7" s="4" t="inlineStr">
        <is>
          <t>95% DA LICENÇA (250.709 t/ano do ano 3)</t>
        </is>
      </c>
      <c r="B7" s="14" t="n">
        <v>19830366.5</v>
      </c>
      <c r="C7" s="14" t="n">
        <v>7876051.86</v>
      </c>
      <c r="D7" s="14" t="n">
        <v>2834873.34</v>
      </c>
      <c r="E7" s="17" t="n">
        <v>1.644723685727977</v>
      </c>
      <c r="F7" s="15" t="n">
        <v>0.1892432140057955</v>
      </c>
      <c r="G7" s="14" t="n">
        <v>-14776093.99485386</v>
      </c>
      <c r="H7" s="3" t="inlineStr">
        <is>
          <t>—</t>
        </is>
      </c>
    </row>
    <row r="8">
      <c r="A8" s="4" t="inlineStr">
        <is>
          <t>CONSERVADOR (preço −15% · platô adiado ao ano 4)</t>
        </is>
      </c>
      <c r="B8" s="14" t="n">
        <v>16486169.1</v>
      </c>
      <c r="C8" s="14" t="n">
        <v>5217267.12</v>
      </c>
      <c r="D8" s="14" t="n">
        <v>279089.88</v>
      </c>
      <c r="E8" s="17" t="n">
        <v>0.7089153059117655</v>
      </c>
      <c r="F8" s="15" t="n">
        <v>0.1036007927960775</v>
      </c>
      <c r="G8" s="14" t="n">
        <v>18315725.66144409</v>
      </c>
      <c r="H8" s="3" t="inlineStr">
        <is>
          <t>41,3% ✓</t>
        </is>
      </c>
    </row>
    <row r="9">
      <c r="A9" s="4" t="inlineStr">
        <is>
          <t>ESTRESSE (conservador + juros 11,35%)</t>
        </is>
      </c>
      <c r="B9" s="14" t="n">
        <v>16486169.1</v>
      </c>
      <c r="C9" s="14" t="n">
        <v>5217267.12</v>
      </c>
      <c r="D9" s="14" t="n">
        <v>56271.31</v>
      </c>
      <c r="E9" s="17" t="n">
        <v>0.6728740757698906</v>
      </c>
      <c r="F9" s="15" t="n">
        <v>0.1036007927960775</v>
      </c>
      <c r="G9" s="14" t="n">
        <v>12340507.25206514</v>
      </c>
      <c r="H9" s="3" t="inlineStr">
        <is>
          <t>42,0% ✓</t>
        </is>
      </c>
    </row>
    <row r="10">
      <c r="A10" s="4" t="inlineStr">
        <is>
          <t>REFERÊNCIA — platô anterior 216.000 t no ano 4</t>
        </is>
      </c>
      <c r="B10" s="14" t="n">
        <v>17452800</v>
      </c>
      <c r="C10" s="14" t="n">
        <v>6467040</v>
      </c>
      <c r="D10" s="14" t="n">
        <v>1499090.54</v>
      </c>
      <c r="E10" s="17" t="n">
        <v>1.050930705812949</v>
      </c>
      <c r="F10" s="15" t="n">
        <v>0.1494322271217648</v>
      </c>
      <c r="G10" s="14" t="n"/>
    </row>
    <row r="11">
      <c r="A11" s="4" t="inlineStr">
        <is>
          <t>RESERVA ATUAL (platô 9.200 t/mês — cubagem 2019)</t>
        </is>
      </c>
      <c r="B11" s="14" t="n">
        <v>9146640</v>
      </c>
      <c r="C11" s="14" t="n">
        <v>2019324</v>
      </c>
      <c r="D11" s="14" t="n">
        <v>-2692795.74</v>
      </c>
      <c r="E11" s="17" t="n">
        <v>0.4069684272780723</v>
      </c>
      <c r="F11" s="15" t="n">
        <v>-0.009372448266384115</v>
      </c>
      <c r="G11" s="14" t="n"/>
    </row>
    <row r="13">
      <c r="A13" s="2" t="inlineStr">
        <is>
          <t>Recomendação: 14 anos = 2 carência + 12 amortização, platô de 237.516 t/ano (90% da licença) alcançado no ano 3 — o gargalo do DSCR é o ano 3, não o nível do platô. A linha ESTRESSE DE RENDIMENTO é teste de sensibilidade, não hipótese de trabalho: a verificação do processo produtivo afastou a perda de britagem (circuito fechado, escalpe convertido em bica corrida, sem lavagem, finos comercializados). O modelo não aplica fator de rendimento.</t>
        </is>
      </c>
    </row>
    <row r="15">
      <c r="A15" s="4" t="inlineStr">
        <is>
          <t>PRODUÇÃO NECESSÁRIA POR ANO (solver sobre o motor · preço R$ 68,50/t · valores em t/mês; % = fração da licença de 8.000 m³ in situ)</t>
        </is>
      </c>
    </row>
    <row r="16">
      <c r="A16" s="21" t="inlineStr">
        <is>
          <t>Ano</t>
        </is>
      </c>
      <c r="B16" s="21" t="inlineStr">
        <is>
          <t>Serviço da dívida (R$)</t>
        </is>
      </c>
      <c r="C16" s="21" t="inlineStr">
        <is>
          <t>Mínimo (DSCR 1,0)</t>
        </is>
      </c>
      <c r="D16" s="21" t="inlineStr">
        <is>
          <t>Conforto (DSCR 1,2)</t>
        </is>
      </c>
      <c r="E16" s="21" t="inlineStr">
        <is>
          <t>Recomendado (DSCR 1,3)</t>
        </is>
      </c>
      <c r="F16" s="21" t="inlineStr">
        <is>
          <t>% licença (recom.)</t>
        </is>
      </c>
      <c r="G16" s="21" t="inlineStr">
        <is>
          <t>Plano atual (t/mês)</t>
        </is>
      </c>
    </row>
    <row r="17">
      <c r="A17" s="28" t="n">
        <v>1</v>
      </c>
      <c r="B17" s="14" t="n">
        <v>2513894.42723484</v>
      </c>
      <c r="C17" s="28" t="n">
        <v>8908</v>
      </c>
      <c r="D17" s="28" t="n">
        <v>9977</v>
      </c>
      <c r="E17" s="28" t="n">
        <v>10511</v>
      </c>
      <c r="F17" s="15" t="n">
        <v>0.478</v>
      </c>
      <c r="G17" s="28" t="n">
        <v>5250</v>
      </c>
    </row>
    <row r="18">
      <c r="A18" s="28" t="n">
        <v>2</v>
      </c>
      <c r="B18" s="14" t="n">
        <v>2513894.42723484</v>
      </c>
      <c r="C18" s="28" t="n">
        <v>9652</v>
      </c>
      <c r="D18" s="28" t="n">
        <v>10721</v>
      </c>
      <c r="E18" s="28" t="n">
        <v>11256</v>
      </c>
      <c r="F18" s="15" t="n">
        <v>0.512</v>
      </c>
      <c r="G18" s="28" t="n">
        <v>10500</v>
      </c>
    </row>
    <row r="19">
      <c r="A19" s="28" t="n">
        <v>3</v>
      </c>
      <c r="B19" s="14" t="n">
        <v>4538100.91723484</v>
      </c>
      <c r="C19" s="28" t="n">
        <v>14515</v>
      </c>
      <c r="D19" s="28" t="n">
        <v>16465</v>
      </c>
      <c r="E19" s="28" t="n">
        <v>17460</v>
      </c>
      <c r="F19" s="15" t="n">
        <v>0.794</v>
      </c>
      <c r="G19" s="28" t="n">
        <v>15000</v>
      </c>
    </row>
    <row r="20">
      <c r="A20" s="28" t="n">
        <v>4</v>
      </c>
      <c r="B20" s="14" t="n">
        <v>4328609.71496527</v>
      </c>
      <c r="C20" s="28" t="n">
        <v>14522</v>
      </c>
      <c r="D20" s="28" t="n">
        <v>16356</v>
      </c>
      <c r="E20" s="28" t="n">
        <v>17293</v>
      </c>
      <c r="F20" s="15" t="n">
        <v>0.7859999999999999</v>
      </c>
      <c r="G20" s="28" t="n">
        <v>18000</v>
      </c>
    </row>
    <row r="21">
      <c r="A21" s="28" t="n">
        <v>5</v>
      </c>
      <c r="B21" s="14" t="n">
        <v>4119118.5126957</v>
      </c>
      <c r="C21" s="28" t="n">
        <v>14088</v>
      </c>
      <c r="D21" s="28" t="n">
        <v>15812</v>
      </c>
      <c r="E21" s="28" t="n">
        <v>16704</v>
      </c>
      <c r="F21" s="15" t="n">
        <v>0.76</v>
      </c>
      <c r="G21" s="28" t="n">
        <v>18000</v>
      </c>
    </row>
    <row r="22">
      <c r="A22" s="28" t="n">
        <v>6</v>
      </c>
      <c r="B22" s="14" t="n">
        <v>3909627.31042613</v>
      </c>
      <c r="C22" s="28" t="n">
        <v>13653</v>
      </c>
      <c r="D22" s="28" t="n">
        <v>15274</v>
      </c>
      <c r="E22" s="28" t="n">
        <v>16114</v>
      </c>
      <c r="F22" s="15" t="n">
        <v>0.733</v>
      </c>
      <c r="G22" s="28" t="n">
        <v>18000</v>
      </c>
    </row>
    <row r="23">
      <c r="A23" s="28" t="n">
        <v>7</v>
      </c>
      <c r="B23" s="14" t="n">
        <v>3700136.10815656</v>
      </c>
      <c r="C23" s="28" t="n">
        <v>13219</v>
      </c>
      <c r="D23" s="28" t="n">
        <v>14753</v>
      </c>
      <c r="E23" s="28" t="n">
        <v>15524</v>
      </c>
      <c r="F23" s="15" t="n">
        <v>0.706</v>
      </c>
      <c r="G23" s="28" t="n">
        <v>18000</v>
      </c>
    </row>
    <row r="24">
      <c r="A24" s="28" t="n">
        <v>8</v>
      </c>
      <c r="B24" s="14" t="n">
        <v>3490644.90588699</v>
      </c>
      <c r="C24" s="28" t="n">
        <v>12785</v>
      </c>
      <c r="D24" s="28" t="n">
        <v>14232</v>
      </c>
      <c r="E24" s="28" t="n">
        <v>14956</v>
      </c>
      <c r="F24" s="15" t="n">
        <v>0.68</v>
      </c>
      <c r="G24" s="28" t="n">
        <v>18000</v>
      </c>
    </row>
    <row r="25">
      <c r="A25" s="28" t="n">
        <v>9</v>
      </c>
      <c r="B25" s="14" t="n">
        <v>3281153.70361742</v>
      </c>
      <c r="C25" s="28" t="n">
        <v>12350</v>
      </c>
      <c r="D25" s="28" t="n">
        <v>13711</v>
      </c>
      <c r="E25" s="28" t="n">
        <v>14391</v>
      </c>
      <c r="F25" s="15" t="n">
        <v>0.654</v>
      </c>
      <c r="G25" s="28" t="n">
        <v>18000</v>
      </c>
    </row>
    <row r="26">
      <c r="A26" s="28" t="n">
        <v>10</v>
      </c>
      <c r="B26" s="14" t="n">
        <v>3071662.50134785</v>
      </c>
      <c r="C26" s="28" t="n">
        <v>11916</v>
      </c>
      <c r="D26" s="28" t="n">
        <v>13190</v>
      </c>
      <c r="E26" s="28" t="n">
        <v>13826</v>
      </c>
      <c r="F26" s="15" t="n">
        <v>0.629</v>
      </c>
      <c r="G26" s="28" t="n">
        <v>18000</v>
      </c>
    </row>
    <row r="27">
      <c r="A27" s="28" t="n">
        <v>11</v>
      </c>
      <c r="B27" s="14" t="n">
        <v>2862171.29907828</v>
      </c>
      <c r="C27" s="28" t="n">
        <v>11482</v>
      </c>
      <c r="D27" s="28" t="n">
        <v>12668</v>
      </c>
      <c r="E27" s="28" t="n">
        <v>13262</v>
      </c>
      <c r="F27" s="15" t="n">
        <v>0.603</v>
      </c>
      <c r="G27" s="28" t="n">
        <v>18000</v>
      </c>
    </row>
    <row r="28">
      <c r="A28" s="28" t="n">
        <v>12</v>
      </c>
      <c r="B28" s="14" t="n">
        <v>2652680.09680871</v>
      </c>
      <c r="C28" s="28" t="n">
        <v>11047</v>
      </c>
      <c r="D28" s="28" t="n">
        <v>12147</v>
      </c>
      <c r="E28" s="28" t="n">
        <v>12697</v>
      </c>
      <c r="F28" s="15" t="n">
        <v>0.5770000000000001</v>
      </c>
      <c r="G28" s="28" t="n">
        <v>18000</v>
      </c>
    </row>
    <row r="29">
      <c r="A29" s="28" t="n">
        <v>13</v>
      </c>
      <c r="B29" s="14" t="n">
        <v>2443188.89453914</v>
      </c>
      <c r="C29" s="28" t="n">
        <v>10613</v>
      </c>
      <c r="D29" s="28" t="n">
        <v>11626</v>
      </c>
      <c r="E29" s="28" t="n">
        <v>12133</v>
      </c>
      <c r="F29" s="15" t="n">
        <v>0.552</v>
      </c>
      <c r="G29" s="28" t="n">
        <v>18000</v>
      </c>
    </row>
    <row r="30">
      <c r="A30" s="28" t="n">
        <v>14</v>
      </c>
      <c r="B30" s="14" t="n">
        <v>2233697.69226957</v>
      </c>
      <c r="C30" s="28" t="n">
        <v>10179</v>
      </c>
      <c r="D30" s="28" t="n">
        <v>11105</v>
      </c>
      <c r="E30" s="28" t="n">
        <v>11568</v>
      </c>
      <c r="F30" s="15" t="n">
        <v>0.526</v>
      </c>
      <c r="G30" s="28" t="n">
        <v>18000</v>
      </c>
    </row>
    <row r="31">
      <c r="A31" s="2" t="inlineStr">
        <is>
          <t>Leitura (taxa 10,3493%): ano 3 é o pico (recomendado 17.460 t/mês = 79% da licença); anos 1–2 (carência) o mínimo cobre só juros — gap de ~R$ 1,7 mi no usos e fontes. Cenário 95% da licença: comprometimento 42,0%, DSCR mín 1,64 (1,17 a preço −15%), máx financiável R$ 27,7 mi; contrapartida: reserva medida esgota no ano 7 — sondagem/RFP antes.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2026-08-05T00:07:15Z</dcterms:created>
  <dcterms:modified xmlns:dcterms="http://purl.org/dc/terms/" xmlns:xsi="http://www.w3.org/2001/XMLSchema-instance" xsi:type="dcterms:W3CDTF">2026-08-18T02:57:18Z</dcterms:modified>
</cp:coreProperties>
</file>