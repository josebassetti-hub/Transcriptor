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Premissas" sheetId="2" state="visible" r:id="rId2"/>
    <sheet name="DRE_PVV_2025" sheetId="3" state="visible" r:id="rId3"/>
    <sheet name="Producao_Receita" sheetId="4" state="visible" r:id="rId4"/>
    <sheet name="Custos" sheetId="5" state="visible" r:id="rId5"/>
    <sheet name="FNE_SAC" sheetId="6" state="visible" r:id="rId6"/>
    <sheet name="DRE_Projetada" sheetId="7" state="visible" r:id="rId7"/>
    <sheet name="Fluxo_Indicadores" sheetId="8" state="visible" r:id="rId8"/>
    <sheet name="Capacidade_BNB" sheetId="9" state="visible" r:id="rId9"/>
    <sheet name="Sensibilidad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R$ #,##0;(R$ #,##0);-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color rgb="00C00000"/>
      <sz val="10"/>
    </font>
    <font>
      <name val="Arial"/>
      <b val="1"/>
      <color rgb="002E7D46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B5C"/>
      </patternFill>
    </fill>
    <fill>
      <patternFill patternType="solid">
        <fgColor rgb="00EDF2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2" fontId="3" fillId="2" borderId="0" pivotButton="0" quotePrefix="0" xfId="0"/>
    <xf numFmtId="165" fontId="5" fillId="0" borderId="0" pivotButton="0" quotePrefix="0" xfId="0"/>
    <xf numFmtId="164" fontId="5" fillId="2" borderId="0" pivotButton="0" quotePrefix="0" xfId="0"/>
    <xf numFmtId="166" fontId="5" fillId="0" borderId="0" pivotButton="0" quotePrefix="0" xfId="0"/>
    <xf numFmtId="166" fontId="5" fillId="2" borderId="0" pivotButton="0" quotePrefix="0" xfId="0"/>
    <xf numFmtId="165" fontId="5" fillId="2" borderId="0" pivotButton="0" quotePrefix="0" xfId="0"/>
    <xf numFmtId="0" fontId="6" fillId="3" borderId="0" applyAlignment="1" pivotButton="0" quotePrefix="0" xfId="0">
      <alignment horizontal="center"/>
    </xf>
    <xf numFmtId="166" fontId="3" fillId="0" borderId="0" pivotButton="0" quotePrefix="0" xfId="0"/>
    <xf numFmtId="164" fontId="3" fillId="0" borderId="0" pivotButton="0" quotePrefix="0" xfId="0"/>
    <xf numFmtId="164" fontId="3" fillId="2" borderId="0" pivotButton="0" quotePrefix="0" xfId="0"/>
    <xf numFmtId="2" fontId="3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4" fontId="7" fillId="0" borderId="0" pivotButton="0" quotePrefix="0" xfId="0"/>
    <xf numFmtId="0" fontId="6" fillId="3" borderId="0" pivotButton="0" quotePrefix="0" xfId="0"/>
    <xf numFmtId="164" fontId="3" fillId="4" borderId="0" pivotButton="0" quotePrefix="0" xfId="0"/>
    <xf numFmtId="166" fontId="3" fillId="4" borderId="0" pivotButton="0" quotePrefix="0" xfId="0"/>
    <xf numFmtId="165" fontId="3" fillId="4" borderId="0" pivotButton="0" quotePrefix="0" xfId="0"/>
    <xf numFmtId="2" fontId="3" fillId="4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VIABILIDADE ECONÔMICO-FINANCEIRA — PEDREIRA CIPREM (São Mateus/ES)</t>
        </is>
      </c>
    </row>
    <row r="2">
      <c r="A2" s="2" t="inlineStr">
        <is>
          <t>Modelo construído sobre o benchmark real da Pedreira Vale Verde (PVV) 2025 · Agosto/2026</t>
        </is>
      </c>
    </row>
    <row r="3">
      <c r="A3" s="3" t="inlineStr"/>
    </row>
    <row r="4">
      <c r="A4" s="4" t="inlineStr">
        <is>
          <t>COMO USAR: edite SOMENTE as células AZUIS da aba "Premissas" (as amarelas são as premissas-chave a validar).</t>
        </is>
      </c>
    </row>
    <row r="5">
      <c r="A5" s="3" t="inlineStr">
        <is>
          <t>Todas as demais abas recalculam automaticamente. Não edite células pretas (fórmulas) nem verdes (links entre abas).</t>
        </is>
      </c>
    </row>
    <row r="6">
      <c r="A6" s="3" t="inlineStr"/>
    </row>
    <row r="7">
      <c r="A7" s="4" t="inlineStr">
        <is>
          <t>ABAS: Premissas → entradas | DRE_PVV_2025 → benchmark real | Producao_Receita / Custos / DRE_Projetada → projeção 12 anos</t>
        </is>
      </c>
    </row>
    <row r="8">
      <c r="A8" s="3" t="inlineStr">
        <is>
          <t>FNE_SAC → financiamento | Fluxo_Indicadores → TIR, VPL, payback, DSCR | Capacidade_BNB → janela 30-50% (motor oficial)</t>
        </is>
      </c>
    </row>
    <row r="9">
      <c r="A9" s="3" t="inlineStr">
        <is>
          <t>Sensibilidade → resumo dos cenários prontos (inclui 95% da licença) + produção necessária por ano (DSCR 1,0/1,2/1,3).</t>
        </is>
      </c>
    </row>
    <row r="10">
      <c r="A10" s="3" t="inlineStr"/>
    </row>
    <row r="11">
      <c r="A11" s="4" t="inlineStr">
        <is>
          <t>TRÊS AVISOS IMPORTANTES:</t>
        </is>
      </c>
    </row>
    <row r="12">
      <c r="A12" s="3" t="inlineStr">
        <is>
          <t>1) CUSTO PADRÃO BNB: calculado da DRE real da PVV = 68,62% (tabela indústria BNB: 67,77%). VALIDAR com o analista antes do protocolo.</t>
        </is>
      </c>
    </row>
    <row r="13">
      <c r="A13" s="3" t="inlineStr">
        <is>
          <t>2) CAPACIDADE: prazo de 14 anos (condição FNE Mulher) montado como 2 de carência + 12 de amortização: o pleito integral</t>
        </is>
      </c>
    </row>
    <row r="14">
      <c r="A14" s="3" t="inlineStr">
        <is>
          <t xml:space="preserve">   na taxa real (10,3493%) a receita ultra-conservadora fica em 51,0% (1 p.p. fora da janela): o pleito fecha com preço R$ 74/t (46,5%),</t>
        </is>
      </c>
    </row>
    <row r="15">
      <c r="A15" s="3" t="inlineStr">
        <is>
          <t xml:space="preserve">   R$ 82/t (41,3%), platô antecipado ao ano 3 (49,8%) ou 95% da licença (42,0%). Colchões não contados: bônus de adimplência (48,2%) e custo padrão tabela (49,1%).</t>
        </is>
      </c>
    </row>
    <row r="16">
      <c r="A16" s="3" t="inlineStr">
        <is>
          <t>3) LASTRO DE RESERVA: a reserva medida no PAE (480.591 m³) esgota no ano 8 do ramp. O platô de 216 mil t/ano exige nova cubagem</t>
        </is>
      </c>
    </row>
    <row r="17">
      <c r="A17" s="3" t="inlineStr">
        <is>
          <t xml:space="preserve">   (ver relatório de verificação de licenças, §4). O cenário "reserva_atual" da aba Sensibilidade mostra o efeito de não resolver.</t>
        </is>
      </c>
    </row>
    <row r="18">
      <c r="A18" s="3" t="inlineStr"/>
    </row>
    <row r="19">
      <c r="A19" s="4" t="inlineStr">
        <is>
          <t>FONTES: DRE 2025 PVV (BI + Wshare), DADOS_PARA_CIPREM.xlsx (produção/vendas/preços/custos/insumos/pessoal),</t>
        </is>
      </c>
    </row>
    <row r="20">
      <c r="A20" s="3" t="inlineStr">
        <is>
          <t>plano de produção e pesquisa de preços ES desta consultoria (SINAPI-ES 06/2026, DER-ES), orçamento de implantação 19/06/2026.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9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1" t="inlineStr">
        <is>
          <t>PREMISSAS — edite as células azuis (amarelas = validar antes do protocolo)</t>
        </is>
      </c>
    </row>
    <row r="3">
      <c r="A3" s="4" t="inlineStr">
        <is>
          <t>MIX DE PRODUTOS E PREÇOS FOB (ES)</t>
        </is>
      </c>
    </row>
    <row r="4">
      <c r="A4" s="4" t="inlineStr">
        <is>
          <t>Produto</t>
        </is>
      </c>
      <c r="B4" s="4" t="inlineStr">
        <is>
          <t>% do mix</t>
        </is>
      </c>
      <c r="C4" s="4" t="inlineStr">
        <is>
          <t>Preço R$/t</t>
        </is>
      </c>
    </row>
    <row r="5">
      <c r="A5" s="3" t="inlineStr">
        <is>
          <t>Pó de pedra</t>
        </is>
      </c>
      <c r="B5" s="5" t="n">
        <v>0.27</v>
      </c>
      <c r="C5" s="6" t="n">
        <v>35</v>
      </c>
    </row>
    <row r="6">
      <c r="A6" s="3" t="inlineStr">
        <is>
          <t>Pedrisco/gravilha</t>
        </is>
      </c>
      <c r="B6" s="5" t="n">
        <v>0.14</v>
      </c>
      <c r="C6" s="6" t="n">
        <v>90</v>
      </c>
    </row>
    <row r="7">
      <c r="A7" s="3" t="inlineStr">
        <is>
          <t>Brita 1</t>
        </is>
      </c>
      <c r="B7" s="5" t="n">
        <v>0.33</v>
      </c>
      <c r="C7" s="6" t="n">
        <v>85</v>
      </c>
    </row>
    <row r="8">
      <c r="A8" s="3" t="inlineStr">
        <is>
          <t>Brita 2</t>
        </is>
      </c>
      <c r="B8" s="5" t="n">
        <v>0.18</v>
      </c>
      <c r="C8" s="6" t="n">
        <v>78</v>
      </c>
    </row>
    <row r="9">
      <c r="A9" s="3" t="inlineStr">
        <is>
          <t>Bica corrida/rachão</t>
        </is>
      </c>
      <c r="B9" s="5" t="n">
        <v>0.08</v>
      </c>
      <c r="C9" s="6" t="n">
        <v>55</v>
      </c>
    </row>
    <row r="10">
      <c r="A10" s="4" t="inlineStr">
        <is>
          <t>Preço FOB médio ponderado (R$/t)</t>
        </is>
      </c>
      <c r="B10" s="7">
        <f>SUMPRODUCT(B5:B9,C5:C9)</f>
        <v/>
      </c>
    </row>
    <row r="12">
      <c r="A12" s="4" t="inlineStr">
        <is>
          <t>COMERCIAL / LOGÍSTICA</t>
        </is>
      </c>
    </row>
    <row r="13">
      <c r="A13" s="3" t="inlineStr">
        <is>
          <t>% das vendas entregues (CIF)</t>
        </is>
      </c>
      <c r="B13" s="5" t="n">
        <v>0.35</v>
      </c>
    </row>
    <row r="14">
      <c r="A14" s="3" t="inlineStr">
        <is>
          <t>Capacidade da frota própria (t/ano)</t>
        </is>
      </c>
      <c r="B14" s="8" t="n">
        <v>64800</v>
      </c>
      <c r="C14" s="2" t="inlineStr">
        <is>
          <t>2 conjuntos Actros+Rossetti ~30,7 t</t>
        </is>
      </c>
    </row>
    <row r="15">
      <c r="A15" s="3" t="inlineStr">
        <is>
          <t>Frete médio CIF (R$/t)</t>
        </is>
      </c>
      <c r="B15" s="6" t="n">
        <v>41</v>
      </c>
      <c r="C15" s="2" t="inlineStr">
        <is>
          <t>45 km × R$ 0,91/t/km (tabela PVV)</t>
        </is>
      </c>
    </row>
    <row r="16">
      <c r="A16" s="3" t="inlineStr">
        <is>
          <t>Custo do frete próprio (% da receita de frete)</t>
        </is>
      </c>
      <c r="B16" s="5" t="n">
        <v>0.72</v>
      </c>
    </row>
    <row r="17">
      <c r="A17" s="3" t="inlineStr">
        <is>
          <t>Deduções s/ receita bruta (ICMS efetivo+PIS+COFINS+devol.)</t>
        </is>
      </c>
      <c r="B17" s="9" t="n">
        <v>0.12</v>
      </c>
      <c r="C17" s="2" t="inlineStr">
        <is>
          <t>PVV real: 9,45% — validar ICMS-ES com contador</t>
        </is>
      </c>
    </row>
    <row r="18">
      <c r="A18" s="3" t="inlineStr">
        <is>
          <t>CFEM (% receita bruta)</t>
        </is>
      </c>
      <c r="B18" s="5" t="n">
        <v>0.01</v>
      </c>
    </row>
    <row r="20">
      <c r="A20" s="4" t="inlineStr">
        <is>
          <t>CUSTOS (benchmark PVV ajustado)</t>
        </is>
      </c>
    </row>
    <row r="21">
      <c r="A21" s="3" t="inlineStr">
        <is>
          <t>Custo variável de produção (R$/t vendida)</t>
        </is>
      </c>
      <c r="B21" s="2" t="inlineStr">
        <is>
          <t>por ano →</t>
        </is>
      </c>
      <c r="C21" s="6" t="n">
        <v>20</v>
      </c>
      <c r="D21" s="6" t="n">
        <v>20</v>
      </c>
      <c r="E21" s="6" t="n">
        <v>19.5</v>
      </c>
      <c r="F21" s="6" t="n">
        <v>19</v>
      </c>
      <c r="G21" s="6" t="n">
        <v>19</v>
      </c>
      <c r="H21" s="6" t="n">
        <v>19</v>
      </c>
      <c r="I21" s="6" t="n">
        <v>19</v>
      </c>
      <c r="J21" s="6" t="n">
        <v>19</v>
      </c>
      <c r="K21" s="6" t="n">
        <v>19</v>
      </c>
      <c r="L21" s="6" t="n">
        <v>19</v>
      </c>
      <c r="M21" s="6" t="n">
        <v>19</v>
      </c>
      <c r="N21" s="6" t="n">
        <v>19</v>
      </c>
      <c r="O21" s="6" t="n">
        <v>19</v>
      </c>
      <c r="P21" s="6" t="n">
        <v>19</v>
      </c>
    </row>
    <row r="22">
      <c r="A22" s="3" t="inlineStr">
        <is>
          <t>Custos fixos de produção (R$/ano)</t>
        </is>
      </c>
      <c r="C22" s="10" t="n">
        <v>700000</v>
      </c>
      <c r="D22" s="10" t="n">
        <v>850000</v>
      </c>
      <c r="E22" s="10" t="n">
        <v>1000000</v>
      </c>
      <c r="F22" s="10" t="n">
        <v>1100000</v>
      </c>
      <c r="G22" s="10" t="n">
        <v>1100000</v>
      </c>
      <c r="H22" s="10" t="n">
        <v>1100000</v>
      </c>
      <c r="I22" s="10" t="n">
        <v>1100000</v>
      </c>
      <c r="J22" s="10" t="n">
        <v>1100000</v>
      </c>
      <c r="K22" s="10" t="n">
        <v>1100000</v>
      </c>
      <c r="L22" s="10" t="n">
        <v>1100000</v>
      </c>
      <c r="M22" s="10" t="n">
        <v>1100000</v>
      </c>
      <c r="N22" s="10" t="n">
        <v>1100000</v>
      </c>
      <c r="O22" s="10" t="n">
        <v>1100000</v>
      </c>
      <c r="P22" s="10" t="n">
        <v>1100000</v>
      </c>
    </row>
    <row r="23">
      <c r="A23" s="3" t="inlineStr">
        <is>
          <t>Despesas adm/comercial/tributárias (R$/ano)</t>
        </is>
      </c>
      <c r="C23" s="10" t="n">
        <v>900000</v>
      </c>
      <c r="D23" s="10" t="n">
        <v>1100000</v>
      </c>
      <c r="E23" s="10" t="n">
        <v>1300000</v>
      </c>
      <c r="F23" s="10" t="n">
        <v>1500000</v>
      </c>
      <c r="G23" s="10" t="n">
        <v>1500000</v>
      </c>
      <c r="H23" s="10" t="n">
        <v>1500000</v>
      </c>
      <c r="I23" s="10" t="n">
        <v>1500000</v>
      </c>
      <c r="J23" s="10" t="n">
        <v>1500000</v>
      </c>
      <c r="K23" s="10" t="n">
        <v>1500000</v>
      </c>
      <c r="L23" s="10" t="n">
        <v>1500000</v>
      </c>
      <c r="M23" s="10" t="n">
        <v>1500000</v>
      </c>
      <c r="N23" s="10" t="n">
        <v>1500000</v>
      </c>
      <c r="O23" s="10" t="n">
        <v>1500000</v>
      </c>
      <c r="P23" s="10" t="n">
        <v>1500000</v>
      </c>
    </row>
    <row r="24">
      <c r="A24" s="3" t="inlineStr">
        <is>
          <t>Custeio de despesas do grupo (R$/ano)</t>
        </is>
      </c>
      <c r="B24" s="10" t="n">
        <v>100000</v>
      </c>
    </row>
    <row r="25">
      <c r="A25" s="3" t="inlineStr">
        <is>
          <t>Depreciação (R$/ano)</t>
        </is>
      </c>
      <c r="B25" s="10" t="n">
        <v>2150000</v>
      </c>
      <c r="C25" s="2" t="inlineStr">
        <is>
          <t>equip. R$19,4mi×10% + obras ~R$5,2mi×4%</t>
        </is>
      </c>
    </row>
    <row r="26">
      <c r="A26" s="3" t="inlineStr">
        <is>
          <t>Capital de giro incremental (% ΔReceita)</t>
        </is>
      </c>
      <c r="B26" s="5" t="n">
        <v>0.08</v>
      </c>
    </row>
    <row r="28">
      <c r="A28" s="4" t="inlineStr">
        <is>
          <t>INVESTIMENTO E FINANCIAMENTO (FNE)</t>
        </is>
      </c>
    </row>
    <row r="29">
      <c r="A29" s="3" t="inlineStr">
        <is>
          <t>Investimento total (CAPEX, R$)</t>
        </is>
      </c>
      <c r="B29" s="10" t="n">
        <v>25568924.08</v>
      </c>
    </row>
    <row r="30">
      <c r="A30" s="3" t="inlineStr">
        <is>
          <t>Financiamento FNE (R$)</t>
        </is>
      </c>
      <c r="B30" s="11" t="n">
        <v>24290477.88</v>
      </c>
    </row>
    <row r="31">
      <c r="A31" s="3" t="inlineStr">
        <is>
          <t>Prazo total (anos)</t>
        </is>
      </c>
      <c r="B31" s="12" t="n">
        <v>14</v>
      </c>
      <c r="C31" s="2" t="inlineStr">
        <is>
          <t>14 anos — condição FNE Mulher (adm. majoritariamente feminina); comprovar no contrato social</t>
        </is>
      </c>
    </row>
    <row r="32">
      <c r="A32" s="3" t="inlineStr">
        <is>
          <t>Carência (anos)</t>
        </is>
      </c>
      <c r="B32" s="12" t="n">
        <v>2</v>
      </c>
      <c r="C32" s="2" t="inlineStr">
        <is>
          <t>2+12 — montagem que passa na janela já na receita-base</t>
        </is>
      </c>
    </row>
    <row r="33">
      <c r="A33" s="3" t="inlineStr">
        <is>
          <t>Juros (% a.a.)</t>
        </is>
      </c>
      <c r="B33" s="9" t="n">
        <v>0.103493</v>
      </c>
      <c r="C33" s="2" t="inlineStr">
        <is>
          <t>taxa FNE informada ago/2026; bônus de adimplência não contado (colchão)</t>
        </is>
      </c>
    </row>
    <row r="34">
      <c r="A34" s="3" t="inlineStr">
        <is>
          <t>TMA / taxa de desconto (% a.a.)</t>
        </is>
      </c>
      <c r="B34" s="5" t="n">
        <v>0.12</v>
      </c>
    </row>
    <row r="36">
      <c r="A36" s="4" t="inlineStr">
        <is>
          <t>VENDAS (t/ano) — ramp do plano de produção</t>
        </is>
      </c>
    </row>
    <row r="37">
      <c r="C37" s="13" t="inlineStr">
        <is>
          <t>Ano 1</t>
        </is>
      </c>
      <c r="D37" s="13" t="inlineStr">
        <is>
          <t>Ano 2</t>
        </is>
      </c>
      <c r="E37" s="13" t="inlineStr">
        <is>
          <t>Ano 3</t>
        </is>
      </c>
      <c r="F37" s="13" t="inlineStr">
        <is>
          <t>Ano 4</t>
        </is>
      </c>
      <c r="G37" s="13" t="inlineStr">
        <is>
          <t>Ano 5</t>
        </is>
      </c>
      <c r="H37" s="13" t="inlineStr">
        <is>
          <t>Ano 6</t>
        </is>
      </c>
      <c r="I37" s="13" t="inlineStr">
        <is>
          <t>Ano 7</t>
        </is>
      </c>
      <c r="J37" s="13" t="inlineStr">
        <is>
          <t>Ano 8</t>
        </is>
      </c>
      <c r="K37" s="13" t="inlineStr">
        <is>
          <t>Ano 9</t>
        </is>
      </c>
      <c r="L37" s="13" t="inlineStr">
        <is>
          <t>Ano 10</t>
        </is>
      </c>
      <c r="M37" s="13" t="inlineStr">
        <is>
          <t>Ano 11</t>
        </is>
      </c>
      <c r="N37" s="13" t="inlineStr">
        <is>
          <t>Ano 12</t>
        </is>
      </c>
      <c r="O37" s="13" t="inlineStr">
        <is>
          <t>Ano 13</t>
        </is>
      </c>
      <c r="P37" s="13" t="inlineStr">
        <is>
          <t>Ano 14</t>
        </is>
      </c>
    </row>
    <row r="38">
      <c r="A38" s="3" t="inlineStr">
        <is>
          <t>Vendas (t)</t>
        </is>
      </c>
      <c r="C38" s="8" t="n">
        <v>63000</v>
      </c>
      <c r="D38" s="8" t="n">
        <v>126000</v>
      </c>
      <c r="E38" s="8" t="n">
        <v>180000</v>
      </c>
      <c r="F38" s="8" t="n">
        <v>216000</v>
      </c>
      <c r="G38" s="8" t="n">
        <v>216000</v>
      </c>
      <c r="H38" s="8" t="n">
        <v>216000</v>
      </c>
      <c r="I38" s="8" t="n">
        <v>216000</v>
      </c>
      <c r="J38" s="8" t="n">
        <v>216000</v>
      </c>
      <c r="K38" s="8" t="n">
        <v>216000</v>
      </c>
      <c r="L38" s="8" t="n">
        <v>216000</v>
      </c>
      <c r="M38" s="8" t="n">
        <v>216000</v>
      </c>
      <c r="N38" s="8" t="n">
        <v>216000</v>
      </c>
      <c r="O38" s="8" t="n">
        <v>216000</v>
      </c>
      <c r="P38" s="8" t="n">
        <v>216000</v>
      </c>
    </row>
    <row r="39">
      <c r="A39" s="2" t="inlineStr">
        <is>
          <t>Nota: platô 216.000 t/ano = 82% da licença (LI 8.000 m³/mês). Ano 1 começa em 3.000 t/mês.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2" customWidth="1" min="3" max="3"/>
    <col width="40" customWidth="1" min="4" max="4"/>
  </cols>
  <sheetData>
    <row r="1">
      <c r="A1" s="1" t="inlineStr">
        <is>
          <t>BENCHMARK — DRE REAL PVV 2025 (BI do grupo, conciliada)</t>
        </is>
      </c>
    </row>
    <row r="2">
      <c r="A2" s="2" t="inlineStr">
        <is>
          <t>Vendas grupo 147.565 t (PVV 75.189 + Porto 44.783 + Trancoso 27.593) · produção 216.385 t · preços×volumes fecham com a receita líquida em 99,6%</t>
        </is>
      </c>
    </row>
    <row r="4">
      <c r="A4" s="4" t="inlineStr">
        <is>
          <t>Linha</t>
        </is>
      </c>
      <c r="B4" s="4" t="inlineStr">
        <is>
          <t>R$ 2025</t>
        </is>
      </c>
      <c r="C4" s="4" t="inlineStr">
        <is>
          <t>% RB</t>
        </is>
      </c>
      <c r="D4" s="4" t="inlineStr">
        <is>
          <t>Composição</t>
        </is>
      </c>
    </row>
    <row r="5">
      <c r="A5" s="3" t="inlineStr">
        <is>
          <t>Receita Bruta Operacional</t>
        </is>
      </c>
      <c r="B5" s="14" t="n">
        <v>17137603</v>
      </c>
      <c r="C5" s="15">
        <f>B5/$B$5</f>
        <v/>
      </c>
      <c r="D5" s="2" t="inlineStr">
        <is>
          <t>vendas 16.408.947 + serviços 728.655</t>
        </is>
      </c>
    </row>
    <row r="6">
      <c r="A6" s="3" t="inlineStr">
        <is>
          <t>(–) Deduções da receita</t>
        </is>
      </c>
      <c r="B6" s="14" t="n">
        <v>-1620318</v>
      </c>
      <c r="C6" s="15">
        <f>B6/$B$5</f>
        <v/>
      </c>
      <c r="D6" s="2" t="inlineStr">
        <is>
          <t>9,45% da bruta</t>
        </is>
      </c>
    </row>
    <row r="7">
      <c r="A7" s="4" t="inlineStr">
        <is>
          <t>(=) Receita Líquida</t>
        </is>
      </c>
      <c r="B7" s="14" t="n">
        <v>15517285</v>
      </c>
      <c r="C7" s="15">
        <f>B7/$B$5</f>
        <v/>
      </c>
      <c r="D7" s="2" t="inlineStr"/>
    </row>
    <row r="8">
      <c r="A8" s="3" t="inlineStr">
        <is>
          <t>(–) Custos dos produtos</t>
        </is>
      </c>
      <c r="B8" s="14" t="n">
        <v>-6515941</v>
      </c>
      <c r="C8" s="15">
        <f>B8/$B$5</f>
        <v/>
      </c>
      <c r="D8" s="2" t="inlineStr">
        <is>
          <t>direto pedra 4.274k · indireto 1.236k · depósitos 474k · CMV 530k</t>
        </is>
      </c>
    </row>
    <row r="9">
      <c r="A9" s="4" t="inlineStr">
        <is>
          <t>(=) Resultado Bruto</t>
        </is>
      </c>
      <c r="B9" s="14" t="n">
        <v>9001344</v>
      </c>
      <c r="C9" s="15">
        <f>B9/$B$5</f>
        <v/>
      </c>
      <c r="D9" s="2" t="inlineStr">
        <is>
          <t>58,0% da RL</t>
        </is>
      </c>
    </row>
    <row r="10">
      <c r="A10" s="3" t="inlineStr">
        <is>
          <t>(–) Despesas operacionais</t>
        </is>
      </c>
      <c r="B10" s="14" t="n">
        <v>-3451609</v>
      </c>
      <c r="C10" s="15">
        <f>B10/$B$5</f>
        <v/>
      </c>
      <c r="D10" s="2" t="inlineStr">
        <is>
          <t>adm 1.698k · comercial 749k · logística entrega 815k · tributárias 141k</t>
        </is>
      </c>
    </row>
    <row r="11">
      <c r="A11" s="4" t="inlineStr">
        <is>
          <t>(=) EBITDA</t>
        </is>
      </c>
      <c r="B11" s="14" t="n">
        <v>5549735</v>
      </c>
      <c r="C11" s="15">
        <f>B11/$B$5</f>
        <v/>
      </c>
      <c r="D11" s="2" t="inlineStr">
        <is>
          <t>35,8% da RL</t>
        </is>
      </c>
    </row>
    <row r="12">
      <c r="A12" s="3" t="inlineStr">
        <is>
          <t>(–) Custeio de despesas do grupo</t>
        </is>
      </c>
      <c r="B12" s="14" t="n">
        <v>-172646</v>
      </c>
      <c r="C12" s="15">
        <f>B12/$B$5</f>
        <v/>
      </c>
      <c r="D12" s="2" t="inlineStr"/>
    </row>
    <row r="13">
      <c r="A13" s="3" t="inlineStr">
        <is>
          <t>(+/-) Resultado não operacional</t>
        </is>
      </c>
      <c r="B13" s="14" t="n">
        <v>-106861</v>
      </c>
      <c r="C13" s="15">
        <f>B13/$B$5</f>
        <v/>
      </c>
      <c r="D13" s="2" t="inlineStr"/>
    </row>
    <row r="14">
      <c r="A14" s="3" t="inlineStr">
        <is>
          <t>(–) Depreciação e amortização</t>
        </is>
      </c>
      <c r="B14" s="14" t="n">
        <v>-2214601</v>
      </c>
      <c r="C14" s="15">
        <f>B14/$B$5</f>
        <v/>
      </c>
      <c r="D14" s="2" t="inlineStr">
        <is>
          <t>14,3% da RL</t>
        </is>
      </c>
    </row>
    <row r="15">
      <c r="A15" s="3" t="inlineStr">
        <is>
          <t>(+/-) Resultado financeiro</t>
        </is>
      </c>
      <c r="B15" s="14" t="n">
        <v>-478392</v>
      </c>
      <c r="C15" s="15">
        <f>B15/$B$5</f>
        <v/>
      </c>
      <c r="D15" s="2" t="inlineStr"/>
    </row>
    <row r="16">
      <c r="A16" s="3" t="inlineStr">
        <is>
          <t>(–) IR e CSLL</t>
        </is>
      </c>
      <c r="B16" s="14" t="n">
        <v>-541447</v>
      </c>
      <c r="C16" s="15">
        <f>B16/$B$5</f>
        <v/>
      </c>
      <c r="D16" s="2" t="inlineStr"/>
    </row>
    <row r="17">
      <c r="A17" s="4" t="inlineStr">
        <is>
          <t>(=) Lucro Líquido</t>
        </is>
      </c>
      <c r="B17" s="14" t="n">
        <v>2035788</v>
      </c>
      <c r="C17" s="15">
        <f>B17/$B$5</f>
        <v/>
      </c>
      <c r="D17" s="2" t="inlineStr">
        <is>
          <t>13,1% da RL · 11,9% da bruta</t>
        </is>
      </c>
    </row>
    <row r="19">
      <c r="A19" s="4" t="inlineStr">
        <is>
          <t>CUSTO PADRÃO BNB (real PVV) = (Deduções+Custos+Despesas+Custeio)/Receita Bruta</t>
        </is>
      </c>
      <c r="B19" s="16">
        <f>(-B6-B8-B10-B12)/B5</f>
        <v/>
      </c>
    </row>
    <row r="21">
      <c r="A21" s="4" t="inlineStr">
        <is>
          <t>UNIT ECONOMICS</t>
        </is>
      </c>
    </row>
    <row r="22">
      <c r="A22" s="3" t="inlineStr">
        <is>
          <t>Preço médio realizado (R$ bruto/t vendida)</t>
        </is>
      </c>
      <c r="B22" s="17">
        <f>B5/147565</f>
        <v/>
      </c>
    </row>
    <row r="23">
      <c r="A23" s="3" t="inlineStr">
        <is>
          <t>Custo produção (R$/t produzida)</t>
        </is>
      </c>
      <c r="B23" s="17">
        <f>-B8/216385</f>
        <v/>
      </c>
    </row>
    <row r="24">
      <c r="A24" s="3" t="inlineStr">
        <is>
          <t>EBITDA por t vendida (R$/t)</t>
        </is>
      </c>
      <c r="B24" s="17">
        <f>B11/147565</f>
        <v/>
      </c>
    </row>
    <row r="25">
      <c r="A25" s="2" t="inlineStr">
        <is>
          <t>Conciliação: produção 216.385 t − vendas 147.565 t − Δestoque −15.799 t ⇒ diferença de ~84 kt (transferências/graduada/uso interno) a confirmar com o cliente.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PRODUÇÃO E RECEITA — 12 ANOS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Vendas (t)</t>
        </is>
      </c>
      <c r="C4" s="18">
        <f>Premissas!C$38</f>
        <v/>
      </c>
      <c r="D4" s="18">
        <f>Premissas!D$38</f>
        <v/>
      </c>
      <c r="E4" s="18">
        <f>Premissas!E$38</f>
        <v/>
      </c>
      <c r="F4" s="18">
        <f>Premissas!F$38</f>
        <v/>
      </c>
      <c r="G4" s="18">
        <f>Premissas!G$38</f>
        <v/>
      </c>
      <c r="H4" s="18">
        <f>Premissas!H$38</f>
        <v/>
      </c>
      <c r="I4" s="18">
        <f>Premissas!I$38</f>
        <v/>
      </c>
      <c r="J4" s="18">
        <f>Premissas!J$38</f>
        <v/>
      </c>
      <c r="K4" s="18">
        <f>Premissas!K$38</f>
        <v/>
      </c>
      <c r="L4" s="18">
        <f>Premissas!L$38</f>
        <v/>
      </c>
      <c r="M4" s="18">
        <f>Premissas!M$38</f>
        <v/>
      </c>
      <c r="N4" s="18">
        <f>Premissas!N$38</f>
        <v/>
      </c>
      <c r="O4" s="18">
        <f>Premissas!O$38</f>
        <v/>
      </c>
      <c r="P4" s="18">
        <f>Premissas!P$38</f>
        <v/>
      </c>
    </row>
    <row r="5">
      <c r="A5" s="3" t="inlineStr">
        <is>
          <t>Vendas CIF (t)</t>
        </is>
      </c>
      <c r="C5" s="18">
        <f>MIN(C4*Premissas!$B$13,Premissas!$B$14)</f>
        <v/>
      </c>
      <c r="D5" s="18">
        <f>MIN(D4*Premissas!$B$13,Premissas!$B$14)</f>
        <v/>
      </c>
      <c r="E5" s="18">
        <f>MIN(E4*Premissas!$B$13,Premissas!$B$14)</f>
        <v/>
      </c>
      <c r="F5" s="18">
        <f>MIN(F4*Premissas!$B$13,Premissas!$B$14)</f>
        <v/>
      </c>
      <c r="G5" s="18">
        <f>MIN(G4*Premissas!$B$13,Premissas!$B$14)</f>
        <v/>
      </c>
      <c r="H5" s="18">
        <f>MIN(H4*Premissas!$B$13,Premissas!$B$14)</f>
        <v/>
      </c>
      <c r="I5" s="18">
        <f>MIN(I4*Premissas!$B$13,Premissas!$B$14)</f>
        <v/>
      </c>
      <c r="J5" s="18">
        <f>MIN(J4*Premissas!$B$13,Premissas!$B$14)</f>
        <v/>
      </c>
      <c r="K5" s="18">
        <f>MIN(K4*Premissas!$B$13,Premissas!$B$14)</f>
        <v/>
      </c>
      <c r="L5" s="18">
        <f>MIN(L4*Premissas!$B$13,Premissas!$B$14)</f>
        <v/>
      </c>
      <c r="M5" s="18">
        <f>MIN(M4*Premissas!$B$13,Premissas!$B$14)</f>
        <v/>
      </c>
      <c r="N5" s="18">
        <f>MIN(N4*Premissas!$B$13,Premissas!$B$14)</f>
        <v/>
      </c>
      <c r="O5" s="18">
        <f>MIN(O4*Premissas!$B$13,Premissas!$B$14)</f>
        <v/>
      </c>
      <c r="P5" s="18">
        <f>MIN(P4*Premissas!$B$13,Premissas!$B$14)</f>
        <v/>
      </c>
    </row>
    <row r="6">
      <c r="A6" s="3" t="inlineStr">
        <is>
          <t>Receita FOB (R$)</t>
        </is>
      </c>
      <c r="C6" s="19">
        <f>C4*Premissas!$B$10</f>
        <v/>
      </c>
      <c r="D6" s="19">
        <f>D4*Premissas!$B$10</f>
        <v/>
      </c>
      <c r="E6" s="19">
        <f>E4*Premissas!$B$10</f>
        <v/>
      </c>
      <c r="F6" s="19">
        <f>F4*Premissas!$B$10</f>
        <v/>
      </c>
      <c r="G6" s="19">
        <f>G4*Premissas!$B$10</f>
        <v/>
      </c>
      <c r="H6" s="19">
        <f>H4*Premissas!$B$10</f>
        <v/>
      </c>
      <c r="I6" s="19">
        <f>I4*Premissas!$B$10</f>
        <v/>
      </c>
      <c r="J6" s="19">
        <f>J4*Premissas!$B$10</f>
        <v/>
      </c>
      <c r="K6" s="19">
        <f>K4*Premissas!$B$10</f>
        <v/>
      </c>
      <c r="L6" s="19">
        <f>L4*Premissas!$B$10</f>
        <v/>
      </c>
      <c r="M6" s="19">
        <f>M4*Premissas!$B$10</f>
        <v/>
      </c>
      <c r="N6" s="19">
        <f>N4*Premissas!$B$10</f>
        <v/>
      </c>
      <c r="O6" s="19">
        <f>O4*Premissas!$B$10</f>
        <v/>
      </c>
      <c r="P6" s="19">
        <f>P4*Premissas!$B$10</f>
        <v/>
      </c>
    </row>
    <row r="7">
      <c r="A7" s="3" t="inlineStr">
        <is>
          <t>Receita de frete CIF (R$)</t>
        </is>
      </c>
      <c r="C7" s="19">
        <f>C5*Premissas!$B$15</f>
        <v/>
      </c>
      <c r="D7" s="19">
        <f>D5*Premissas!$B$15</f>
        <v/>
      </c>
      <c r="E7" s="19">
        <f>E5*Premissas!$B$15</f>
        <v/>
      </c>
      <c r="F7" s="19">
        <f>F5*Premissas!$B$15</f>
        <v/>
      </c>
      <c r="G7" s="19">
        <f>G5*Premissas!$B$15</f>
        <v/>
      </c>
      <c r="H7" s="19">
        <f>H5*Premissas!$B$15</f>
        <v/>
      </c>
      <c r="I7" s="19">
        <f>I5*Premissas!$B$15</f>
        <v/>
      </c>
      <c r="J7" s="19">
        <f>J5*Premissas!$B$15</f>
        <v/>
      </c>
      <c r="K7" s="19">
        <f>K5*Premissas!$B$15</f>
        <v/>
      </c>
      <c r="L7" s="19">
        <f>L5*Premissas!$B$15</f>
        <v/>
      </c>
      <c r="M7" s="19">
        <f>M5*Premissas!$B$15</f>
        <v/>
      </c>
      <c r="N7" s="19">
        <f>N5*Premissas!$B$15</f>
        <v/>
      </c>
      <c r="O7" s="19">
        <f>O5*Premissas!$B$15</f>
        <v/>
      </c>
      <c r="P7" s="19">
        <f>P5*Premissas!$B$15</f>
        <v/>
      </c>
    </row>
    <row r="8">
      <c r="A8" s="4" t="inlineStr">
        <is>
          <t>RECEITA BRUTA (R$)</t>
        </is>
      </c>
      <c r="C8" s="14">
        <f>C6+C7</f>
        <v/>
      </c>
      <c r="D8" s="14">
        <f>D6+D7</f>
        <v/>
      </c>
      <c r="E8" s="14">
        <f>E6+E7</f>
        <v/>
      </c>
      <c r="F8" s="14">
        <f>F6+F7</f>
        <v/>
      </c>
      <c r="G8" s="14">
        <f>G6+G7</f>
        <v/>
      </c>
      <c r="H8" s="14">
        <f>H6+H7</f>
        <v/>
      </c>
      <c r="I8" s="14">
        <f>I6+I7</f>
        <v/>
      </c>
      <c r="J8" s="14">
        <f>J6+J7</f>
        <v/>
      </c>
      <c r="K8" s="14">
        <f>K6+K7</f>
        <v/>
      </c>
      <c r="L8" s="14">
        <f>L6+L7</f>
        <v/>
      </c>
      <c r="M8" s="14">
        <f>M6+M7</f>
        <v/>
      </c>
      <c r="N8" s="14">
        <f>N6+N7</f>
        <v/>
      </c>
      <c r="O8" s="14">
        <f>O6+O7</f>
        <v/>
      </c>
      <c r="P8" s="14">
        <f>P6+P7</f>
        <v/>
      </c>
    </row>
    <row r="9">
      <c r="A9" s="3" t="inlineStr">
        <is>
          <t>(–) Deduções (R$)</t>
        </is>
      </c>
      <c r="C9" s="19">
        <f>-C8*Premissas!$B$17</f>
        <v/>
      </c>
      <c r="D9" s="19">
        <f>-D8*Premissas!$B$17</f>
        <v/>
      </c>
      <c r="E9" s="19">
        <f>-E8*Premissas!$B$17</f>
        <v/>
      </c>
      <c r="F9" s="19">
        <f>-F8*Premissas!$B$17</f>
        <v/>
      </c>
      <c r="G9" s="19">
        <f>-G8*Premissas!$B$17</f>
        <v/>
      </c>
      <c r="H9" s="19">
        <f>-H8*Premissas!$B$17</f>
        <v/>
      </c>
      <c r="I9" s="19">
        <f>-I8*Premissas!$B$17</f>
        <v/>
      </c>
      <c r="J9" s="19">
        <f>-J8*Premissas!$B$17</f>
        <v/>
      </c>
      <c r="K9" s="19">
        <f>-K8*Premissas!$B$17</f>
        <v/>
      </c>
      <c r="L9" s="19">
        <f>-L8*Premissas!$B$17</f>
        <v/>
      </c>
      <c r="M9" s="19">
        <f>-M8*Premissas!$B$17</f>
        <v/>
      </c>
      <c r="N9" s="19">
        <f>-N8*Premissas!$B$17</f>
        <v/>
      </c>
      <c r="O9" s="19">
        <f>-O8*Premissas!$B$17</f>
        <v/>
      </c>
      <c r="P9" s="19">
        <f>-P8*Premissas!$B$17</f>
        <v/>
      </c>
    </row>
    <row r="10">
      <c r="A10" s="4" t="inlineStr">
        <is>
          <t>RECEITA LÍQUIDA (R$)</t>
        </is>
      </c>
      <c r="C10" s="14">
        <f>C8+C9</f>
        <v/>
      </c>
      <c r="D10" s="14">
        <f>D8+D9</f>
        <v/>
      </c>
      <c r="E10" s="14">
        <f>E8+E9</f>
        <v/>
      </c>
      <c r="F10" s="14">
        <f>F8+F9</f>
        <v/>
      </c>
      <c r="G10" s="14">
        <f>G8+G9</f>
        <v/>
      </c>
      <c r="H10" s="14">
        <f>H8+H9</f>
        <v/>
      </c>
      <c r="I10" s="14">
        <f>I8+I9</f>
        <v/>
      </c>
      <c r="J10" s="14">
        <f>J8+J9</f>
        <v/>
      </c>
      <c r="K10" s="14">
        <f>K8+K9</f>
        <v/>
      </c>
      <c r="L10" s="14">
        <f>L8+L9</f>
        <v/>
      </c>
      <c r="M10" s="14">
        <f>M8+M9</f>
        <v/>
      </c>
      <c r="N10" s="14">
        <f>N8+N9</f>
        <v/>
      </c>
      <c r="O10" s="14">
        <f>O8+O9</f>
        <v/>
      </c>
      <c r="P10" s="14">
        <f>P8+P9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CUSTOS E DESPESAS — 12 ANOS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Custo variável de produção (R$)</t>
        </is>
      </c>
      <c r="C4" s="19">
        <f>Producao_Receita!C4*Premissas!C$21</f>
        <v/>
      </c>
      <c r="D4" s="19">
        <f>Producao_Receita!D4*Premissas!D$21</f>
        <v/>
      </c>
      <c r="E4" s="19">
        <f>Producao_Receita!E4*Premissas!E$21</f>
        <v/>
      </c>
      <c r="F4" s="19">
        <f>Producao_Receita!F4*Premissas!F$21</f>
        <v/>
      </c>
      <c r="G4" s="19">
        <f>Producao_Receita!G4*Premissas!G$21</f>
        <v/>
      </c>
      <c r="H4" s="19">
        <f>Producao_Receita!H4*Premissas!H$21</f>
        <v/>
      </c>
      <c r="I4" s="19">
        <f>Producao_Receita!I4*Premissas!I$21</f>
        <v/>
      </c>
      <c r="J4" s="19">
        <f>Producao_Receita!J4*Premissas!J$21</f>
        <v/>
      </c>
      <c r="K4" s="19">
        <f>Producao_Receita!K4*Premissas!K$21</f>
        <v/>
      </c>
      <c r="L4" s="19">
        <f>Producao_Receita!L4*Premissas!L$21</f>
        <v/>
      </c>
      <c r="M4" s="19">
        <f>Producao_Receita!M4*Premissas!M$21</f>
        <v/>
      </c>
      <c r="N4" s="19">
        <f>Producao_Receita!N4*Premissas!N$21</f>
        <v/>
      </c>
      <c r="O4" s="19">
        <f>Producao_Receita!O4*Premissas!O$21</f>
        <v/>
      </c>
      <c r="P4" s="19">
        <f>Producao_Receita!P4*Premissas!P$21</f>
        <v/>
      </c>
    </row>
    <row r="5">
      <c r="A5" s="3" t="inlineStr">
        <is>
          <t>Custo do frete próprio (R$)</t>
        </is>
      </c>
      <c r="C5" s="19">
        <f>Producao_Receita!C7*Premissas!$B$16</f>
        <v/>
      </c>
      <c r="D5" s="19">
        <f>Producao_Receita!D7*Premissas!$B$16</f>
        <v/>
      </c>
      <c r="E5" s="19">
        <f>Producao_Receita!E7*Premissas!$B$16</f>
        <v/>
      </c>
      <c r="F5" s="19">
        <f>Producao_Receita!F7*Premissas!$B$16</f>
        <v/>
      </c>
      <c r="G5" s="19">
        <f>Producao_Receita!G7*Premissas!$B$16</f>
        <v/>
      </c>
      <c r="H5" s="19">
        <f>Producao_Receita!H7*Premissas!$B$16</f>
        <v/>
      </c>
      <c r="I5" s="19">
        <f>Producao_Receita!I7*Premissas!$B$16</f>
        <v/>
      </c>
      <c r="J5" s="19">
        <f>Producao_Receita!J7*Premissas!$B$16</f>
        <v/>
      </c>
      <c r="K5" s="19">
        <f>Producao_Receita!K7*Premissas!$B$16</f>
        <v/>
      </c>
      <c r="L5" s="19">
        <f>Producao_Receita!L7*Premissas!$B$16</f>
        <v/>
      </c>
      <c r="M5" s="19">
        <f>Producao_Receita!M7*Premissas!$B$16</f>
        <v/>
      </c>
      <c r="N5" s="19">
        <f>Producao_Receita!N7*Premissas!$B$16</f>
        <v/>
      </c>
      <c r="O5" s="19">
        <f>Producao_Receita!O7*Premissas!$B$16</f>
        <v/>
      </c>
      <c r="P5" s="19">
        <f>Producao_Receita!P7*Premissas!$B$16</f>
        <v/>
      </c>
    </row>
    <row r="6">
      <c r="A6" s="4" t="inlineStr">
        <is>
          <t>CFEM (R$)</t>
        </is>
      </c>
      <c r="C6" s="19">
        <f>Producao_Receita!C8*Premissas!$B$18</f>
        <v/>
      </c>
      <c r="D6" s="19">
        <f>Producao_Receita!D8*Premissas!$B$18</f>
        <v/>
      </c>
      <c r="E6" s="19">
        <f>Producao_Receita!E8*Premissas!$B$18</f>
        <v/>
      </c>
      <c r="F6" s="19">
        <f>Producao_Receita!F8*Premissas!$B$18</f>
        <v/>
      </c>
      <c r="G6" s="19">
        <f>Producao_Receita!G8*Premissas!$B$18</f>
        <v/>
      </c>
      <c r="H6" s="19">
        <f>Producao_Receita!H8*Premissas!$B$18</f>
        <v/>
      </c>
      <c r="I6" s="19">
        <f>Producao_Receita!I8*Premissas!$B$18</f>
        <v/>
      </c>
      <c r="J6" s="19">
        <f>Producao_Receita!J8*Premissas!$B$18</f>
        <v/>
      </c>
      <c r="K6" s="19">
        <f>Producao_Receita!K8*Premissas!$B$18</f>
        <v/>
      </c>
      <c r="L6" s="19">
        <f>Producao_Receita!L8*Premissas!$B$18</f>
        <v/>
      </c>
      <c r="M6" s="19">
        <f>Producao_Receita!M8*Premissas!$B$18</f>
        <v/>
      </c>
      <c r="N6" s="19">
        <f>Producao_Receita!N8*Premissas!$B$18</f>
        <v/>
      </c>
      <c r="O6" s="19">
        <f>Producao_Receita!O8*Premissas!$B$18</f>
        <v/>
      </c>
      <c r="P6" s="19">
        <f>Producao_Receita!P8*Premissas!$B$18</f>
        <v/>
      </c>
    </row>
    <row r="7">
      <c r="A7" s="3" t="inlineStr">
        <is>
          <t>Custos fixos de produção (R$)</t>
        </is>
      </c>
      <c r="C7" s="19">
        <f>Premissas!C$22</f>
        <v/>
      </c>
      <c r="D7" s="19">
        <f>Premissas!D$22</f>
        <v/>
      </c>
      <c r="E7" s="19">
        <f>Premissas!E$22</f>
        <v/>
      </c>
      <c r="F7" s="19">
        <f>Premissas!F$22</f>
        <v/>
      </c>
      <c r="G7" s="19">
        <f>Premissas!G$22</f>
        <v/>
      </c>
      <c r="H7" s="19">
        <f>Premissas!H$22</f>
        <v/>
      </c>
      <c r="I7" s="19">
        <f>Premissas!I$22</f>
        <v/>
      </c>
      <c r="J7" s="19">
        <f>Premissas!J$22</f>
        <v/>
      </c>
      <c r="K7" s="19">
        <f>Premissas!K$22</f>
        <v/>
      </c>
      <c r="L7" s="19">
        <f>Premissas!L$22</f>
        <v/>
      </c>
      <c r="M7" s="19">
        <f>Premissas!M$22</f>
        <v/>
      </c>
      <c r="N7" s="19">
        <f>Premissas!N$22</f>
        <v/>
      </c>
      <c r="O7" s="19">
        <f>Premissas!O$22</f>
        <v/>
      </c>
      <c r="P7" s="19">
        <f>Premissas!P$22</f>
        <v/>
      </c>
    </row>
    <row r="8">
      <c r="A8" s="3" t="inlineStr">
        <is>
          <t>Despesas adm/com/trib (R$)</t>
        </is>
      </c>
      <c r="C8" s="19">
        <f>Premissas!C$23</f>
        <v/>
      </c>
      <c r="D8" s="19">
        <f>Premissas!D$23</f>
        <v/>
      </c>
      <c r="E8" s="19">
        <f>Premissas!E$23</f>
        <v/>
      </c>
      <c r="F8" s="19">
        <f>Premissas!F$23</f>
        <v/>
      </c>
      <c r="G8" s="19">
        <f>Premissas!G$23</f>
        <v/>
      </c>
      <c r="H8" s="19">
        <f>Premissas!H$23</f>
        <v/>
      </c>
      <c r="I8" s="19">
        <f>Premissas!I$23</f>
        <v/>
      </c>
      <c r="J8" s="19">
        <f>Premissas!J$23</f>
        <v/>
      </c>
      <c r="K8" s="19">
        <f>Premissas!K$23</f>
        <v/>
      </c>
      <c r="L8" s="19">
        <f>Premissas!L$23</f>
        <v/>
      </c>
      <c r="M8" s="19">
        <f>Premissas!M$23</f>
        <v/>
      </c>
      <c r="N8" s="19">
        <f>Premissas!N$23</f>
        <v/>
      </c>
      <c r="O8" s="19">
        <f>Premissas!O$23</f>
        <v/>
      </c>
      <c r="P8" s="19">
        <f>Premissas!P$23</f>
        <v/>
      </c>
    </row>
    <row r="9">
      <c r="A9" s="3" t="inlineStr">
        <is>
          <t>Custeio grupo (R$)</t>
        </is>
      </c>
      <c r="C9" s="19">
        <f>Premissas!$B$24</f>
        <v/>
      </c>
      <c r="D9" s="19">
        <f>Premissas!$B$24</f>
        <v/>
      </c>
      <c r="E9" s="19">
        <f>Premissas!$B$24</f>
        <v/>
      </c>
      <c r="F9" s="19">
        <f>Premissas!$B$24</f>
        <v/>
      </c>
      <c r="G9" s="19">
        <f>Premissas!$B$24</f>
        <v/>
      </c>
      <c r="H9" s="19">
        <f>Premissas!$B$24</f>
        <v/>
      </c>
      <c r="I9" s="19">
        <f>Premissas!$B$24</f>
        <v/>
      </c>
      <c r="J9" s="19">
        <f>Premissas!$B$24</f>
        <v/>
      </c>
      <c r="K9" s="19">
        <f>Premissas!$B$24</f>
        <v/>
      </c>
      <c r="L9" s="19">
        <f>Premissas!$B$24</f>
        <v/>
      </c>
      <c r="M9" s="19">
        <f>Premissas!$B$24</f>
        <v/>
      </c>
      <c r="N9" s="19">
        <f>Premissas!$B$24</f>
        <v/>
      </c>
      <c r="O9" s="19">
        <f>Premissas!$B$24</f>
        <v/>
      </c>
      <c r="P9" s="19">
        <f>Premissas!$B$24</f>
        <v/>
      </c>
    </row>
    <row r="10">
      <c r="A10" s="4" t="inlineStr">
        <is>
          <t>TOTAL CUSTOS E DESPESAS (R$)</t>
        </is>
      </c>
      <c r="C10" s="19">
        <f>SUM(C4:C9)</f>
        <v/>
      </c>
      <c r="D10" s="19">
        <f>SUM(D4:D9)</f>
        <v/>
      </c>
      <c r="E10" s="19">
        <f>SUM(E4:E9)</f>
        <v/>
      </c>
      <c r="F10" s="19">
        <f>SUM(F4:F9)</f>
        <v/>
      </c>
      <c r="G10" s="19">
        <f>SUM(G4:G9)</f>
        <v/>
      </c>
      <c r="H10" s="19">
        <f>SUM(H4:H9)</f>
        <v/>
      </c>
      <c r="I10" s="19">
        <f>SUM(I4:I9)</f>
        <v/>
      </c>
      <c r="J10" s="19">
        <f>SUM(J4:J9)</f>
        <v/>
      </c>
      <c r="K10" s="19">
        <f>SUM(K4:K9)</f>
        <v/>
      </c>
      <c r="L10" s="19">
        <f>SUM(L4:L9)</f>
        <v/>
      </c>
      <c r="M10" s="19">
        <f>SUM(M4:M9)</f>
        <v/>
      </c>
      <c r="N10" s="19">
        <f>SUM(N4:N9)</f>
        <v/>
      </c>
      <c r="O10" s="19">
        <f>SUM(O4:O9)</f>
        <v/>
      </c>
      <c r="P10" s="19">
        <f>SUM(P4:P9)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FINANCIAMENTO FNE — SAC ANUAL (juros na carência)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Saldo inicial (R$)</t>
        </is>
      </c>
      <c r="C4" s="14">
        <f>Premissas!$B$30</f>
        <v/>
      </c>
      <c r="D4" s="14">
        <f>C7</f>
        <v/>
      </c>
      <c r="E4" s="14">
        <f>D7</f>
        <v/>
      </c>
      <c r="F4" s="14">
        <f>E7</f>
        <v/>
      </c>
      <c r="G4" s="14">
        <f>F7</f>
        <v/>
      </c>
      <c r="H4" s="14">
        <f>G7</f>
        <v/>
      </c>
      <c r="I4" s="14">
        <f>H7</f>
        <v/>
      </c>
      <c r="J4" s="14">
        <f>I7</f>
        <v/>
      </c>
      <c r="K4" s="14">
        <f>J7</f>
        <v/>
      </c>
      <c r="L4" s="14">
        <f>K7</f>
        <v/>
      </c>
      <c r="M4" s="14">
        <f>L7</f>
        <v/>
      </c>
      <c r="N4" s="14">
        <f>M7</f>
        <v/>
      </c>
      <c r="O4" s="14">
        <f>N7</f>
        <v/>
      </c>
      <c r="P4" s="14">
        <f>O7</f>
        <v/>
      </c>
    </row>
    <row r="5">
      <c r="A5" s="3" t="inlineStr">
        <is>
          <t>Juros (R$)</t>
        </is>
      </c>
      <c r="C5" s="14">
        <f>C4*Premissas!$B$33</f>
        <v/>
      </c>
      <c r="D5" s="14">
        <f>D4*Premissas!$B$33</f>
        <v/>
      </c>
      <c r="E5" s="14">
        <f>E4*Premissas!$B$33</f>
        <v/>
      </c>
      <c r="F5" s="14">
        <f>F4*Premissas!$B$33</f>
        <v/>
      </c>
      <c r="G5" s="14">
        <f>G4*Premissas!$B$33</f>
        <v/>
      </c>
      <c r="H5" s="14">
        <f>H4*Premissas!$B$33</f>
        <v/>
      </c>
      <c r="I5" s="14">
        <f>I4*Premissas!$B$33</f>
        <v/>
      </c>
      <c r="J5" s="14">
        <f>J4*Premissas!$B$33</f>
        <v/>
      </c>
      <c r="K5" s="14">
        <f>K4*Premissas!$B$33</f>
        <v/>
      </c>
      <c r="L5" s="14">
        <f>L4*Premissas!$B$33</f>
        <v/>
      </c>
      <c r="M5" s="14">
        <f>M4*Premissas!$B$33</f>
        <v/>
      </c>
      <c r="N5" s="14">
        <f>N4*Premissas!$B$33</f>
        <v/>
      </c>
      <c r="O5" s="14">
        <f>O4*Premissas!$B$33</f>
        <v/>
      </c>
      <c r="P5" s="14">
        <f>P4*Premissas!$B$33</f>
        <v/>
      </c>
    </row>
    <row r="6">
      <c r="A6" s="3" t="inlineStr">
        <is>
          <t>Amortização (R$)</t>
        </is>
      </c>
      <c r="C6" s="14">
        <f>IF(1&gt;Premissas!$B$32,Premissas!$B$30/(Premissas!$B$31-Premissas!$B$32),0)</f>
        <v/>
      </c>
      <c r="D6" s="14">
        <f>IF(2&gt;Premissas!$B$32,Premissas!$B$30/(Premissas!$B$31-Premissas!$B$32),0)</f>
        <v/>
      </c>
      <c r="E6" s="14">
        <f>IF(3&gt;Premissas!$B$32,Premissas!$B$30/(Premissas!$B$31-Premissas!$B$32),0)</f>
        <v/>
      </c>
      <c r="F6" s="14">
        <f>IF(4&gt;Premissas!$B$32,Premissas!$B$30/(Premissas!$B$31-Premissas!$B$32),0)</f>
        <v/>
      </c>
      <c r="G6" s="14">
        <f>IF(5&gt;Premissas!$B$32,Premissas!$B$30/(Premissas!$B$31-Premissas!$B$32),0)</f>
        <v/>
      </c>
      <c r="H6" s="14">
        <f>IF(6&gt;Premissas!$B$32,Premissas!$B$30/(Premissas!$B$31-Premissas!$B$32),0)</f>
        <v/>
      </c>
      <c r="I6" s="14">
        <f>IF(7&gt;Premissas!$B$32,Premissas!$B$30/(Premissas!$B$31-Premissas!$B$32),0)</f>
        <v/>
      </c>
      <c r="J6" s="14">
        <f>IF(8&gt;Premissas!$B$32,Premissas!$B$30/(Premissas!$B$31-Premissas!$B$32),0)</f>
        <v/>
      </c>
      <c r="K6" s="14">
        <f>IF(9&gt;Premissas!$B$32,Premissas!$B$30/(Premissas!$B$31-Premissas!$B$32),0)</f>
        <v/>
      </c>
      <c r="L6" s="14">
        <f>IF(10&gt;Premissas!$B$32,Premissas!$B$30/(Premissas!$B$31-Premissas!$B$32),0)</f>
        <v/>
      </c>
      <c r="M6" s="14">
        <f>IF(11&gt;Premissas!$B$32,Premissas!$B$30/(Premissas!$B$31-Premissas!$B$32),0)</f>
        <v/>
      </c>
      <c r="N6" s="14">
        <f>IF(12&gt;Premissas!$B$32,Premissas!$B$30/(Premissas!$B$31-Premissas!$B$32),0)</f>
        <v/>
      </c>
      <c r="O6" s="14">
        <f>IF(13&gt;Premissas!$B$32,Premissas!$B$30/(Premissas!$B$31-Premissas!$B$32),0)</f>
        <v/>
      </c>
      <c r="P6" s="14">
        <f>IF(14&gt;Premissas!$B$32,Premissas!$B$30/(Premissas!$B$31-Premissas!$B$32),0)</f>
        <v/>
      </c>
    </row>
    <row r="7">
      <c r="A7" s="3" t="inlineStr">
        <is>
          <t>Saldo final (R$)</t>
        </is>
      </c>
      <c r="C7" s="14">
        <f>C4-C6</f>
        <v/>
      </c>
      <c r="D7" s="14">
        <f>D4-D6</f>
        <v/>
      </c>
      <c r="E7" s="14">
        <f>E4-E6</f>
        <v/>
      </c>
      <c r="F7" s="14">
        <f>F4-F6</f>
        <v/>
      </c>
      <c r="G7" s="14">
        <f>G4-G6</f>
        <v/>
      </c>
      <c r="H7" s="14">
        <f>H4-H6</f>
        <v/>
      </c>
      <c r="I7" s="14">
        <f>I4-I6</f>
        <v/>
      </c>
      <c r="J7" s="14">
        <f>J4-J6</f>
        <v/>
      </c>
      <c r="K7" s="14">
        <f>K4-K6</f>
        <v/>
      </c>
      <c r="L7" s="14">
        <f>L4-L6</f>
        <v/>
      </c>
      <c r="M7" s="14">
        <f>M4-M6</f>
        <v/>
      </c>
      <c r="N7" s="14">
        <f>N4-N6</f>
        <v/>
      </c>
      <c r="O7" s="14">
        <f>O4-O6</f>
        <v/>
      </c>
      <c r="P7" s="14">
        <f>P4-P6</f>
        <v/>
      </c>
    </row>
    <row r="8">
      <c r="A8" s="3" t="inlineStr">
        <is>
          <t>Serviço da dívida (R$)</t>
        </is>
      </c>
      <c r="C8" s="14">
        <f>C5+C6</f>
        <v/>
      </c>
      <c r="D8" s="14">
        <f>D5+D6</f>
        <v/>
      </c>
      <c r="E8" s="14">
        <f>E5+E6</f>
        <v/>
      </c>
      <c r="F8" s="14">
        <f>F5+F6</f>
        <v/>
      </c>
      <c r="G8" s="14">
        <f>G5+G6</f>
        <v/>
      </c>
      <c r="H8" s="14">
        <f>H5+H6</f>
        <v/>
      </c>
      <c r="I8" s="14">
        <f>I5+I6</f>
        <v/>
      </c>
      <c r="J8" s="14">
        <f>J5+J6</f>
        <v/>
      </c>
      <c r="K8" s="14">
        <f>K5+K6</f>
        <v/>
      </c>
      <c r="L8" s="14">
        <f>L5+L6</f>
        <v/>
      </c>
      <c r="M8" s="14">
        <f>M5+M6</f>
        <v/>
      </c>
      <c r="N8" s="14">
        <f>N5+N6</f>
        <v/>
      </c>
      <c r="O8" s="14">
        <f>O5+O6</f>
        <v/>
      </c>
      <c r="P8" s="14">
        <f>P5+P6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DRE PROJETADA — 12 ANOS (Lucro Presumido)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Receita Bruta (R$)</t>
        </is>
      </c>
      <c r="C4" s="19">
        <f>Producao_Receita!C8</f>
        <v/>
      </c>
      <c r="D4" s="19">
        <f>Producao_Receita!D8</f>
        <v/>
      </c>
      <c r="E4" s="19">
        <f>Producao_Receita!E8</f>
        <v/>
      </c>
      <c r="F4" s="19">
        <f>Producao_Receita!F8</f>
        <v/>
      </c>
      <c r="G4" s="19">
        <f>Producao_Receita!G8</f>
        <v/>
      </c>
      <c r="H4" s="19">
        <f>Producao_Receita!H8</f>
        <v/>
      </c>
      <c r="I4" s="19">
        <f>Producao_Receita!I8</f>
        <v/>
      </c>
      <c r="J4" s="19">
        <f>Producao_Receita!J8</f>
        <v/>
      </c>
      <c r="K4" s="19">
        <f>Producao_Receita!K8</f>
        <v/>
      </c>
      <c r="L4" s="19">
        <f>Producao_Receita!L8</f>
        <v/>
      </c>
      <c r="M4" s="19">
        <f>Producao_Receita!M8</f>
        <v/>
      </c>
      <c r="N4" s="19">
        <f>Producao_Receita!N8</f>
        <v/>
      </c>
      <c r="O4" s="19">
        <f>Producao_Receita!O8</f>
        <v/>
      </c>
      <c r="P4" s="19">
        <f>Producao_Receita!P8</f>
        <v/>
      </c>
    </row>
    <row r="5">
      <c r="A5" s="3" t="inlineStr">
        <is>
          <t>(–) Deduções (R$)</t>
        </is>
      </c>
      <c r="C5" s="19">
        <f>Producao_Receita!C9</f>
        <v/>
      </c>
      <c r="D5" s="19">
        <f>Producao_Receita!D9</f>
        <v/>
      </c>
      <c r="E5" s="19">
        <f>Producao_Receita!E9</f>
        <v/>
      </c>
      <c r="F5" s="19">
        <f>Producao_Receita!F9</f>
        <v/>
      </c>
      <c r="G5" s="19">
        <f>Producao_Receita!G9</f>
        <v/>
      </c>
      <c r="H5" s="19">
        <f>Producao_Receita!H9</f>
        <v/>
      </c>
      <c r="I5" s="19">
        <f>Producao_Receita!I9</f>
        <v/>
      </c>
      <c r="J5" s="19">
        <f>Producao_Receita!J9</f>
        <v/>
      </c>
      <c r="K5" s="19">
        <f>Producao_Receita!K9</f>
        <v/>
      </c>
      <c r="L5" s="19">
        <f>Producao_Receita!L9</f>
        <v/>
      </c>
      <c r="M5" s="19">
        <f>Producao_Receita!M9</f>
        <v/>
      </c>
      <c r="N5" s="19">
        <f>Producao_Receita!N9</f>
        <v/>
      </c>
      <c r="O5" s="19">
        <f>Producao_Receita!O9</f>
        <v/>
      </c>
      <c r="P5" s="19">
        <f>Producao_Receita!P9</f>
        <v/>
      </c>
    </row>
    <row r="6">
      <c r="A6" s="4" t="inlineStr">
        <is>
          <t>(=) Receita Líquida (R$)</t>
        </is>
      </c>
      <c r="C6" s="19">
        <f>Producao_Receita!C10</f>
        <v/>
      </c>
      <c r="D6" s="19">
        <f>Producao_Receita!D10</f>
        <v/>
      </c>
      <c r="E6" s="19">
        <f>Producao_Receita!E10</f>
        <v/>
      </c>
      <c r="F6" s="19">
        <f>Producao_Receita!F10</f>
        <v/>
      </c>
      <c r="G6" s="19">
        <f>Producao_Receita!G10</f>
        <v/>
      </c>
      <c r="H6" s="19">
        <f>Producao_Receita!H10</f>
        <v/>
      </c>
      <c r="I6" s="19">
        <f>Producao_Receita!I10</f>
        <v/>
      </c>
      <c r="J6" s="19">
        <f>Producao_Receita!J10</f>
        <v/>
      </c>
      <c r="K6" s="19">
        <f>Producao_Receita!K10</f>
        <v/>
      </c>
      <c r="L6" s="19">
        <f>Producao_Receita!L10</f>
        <v/>
      </c>
      <c r="M6" s="19">
        <f>Producao_Receita!M10</f>
        <v/>
      </c>
      <c r="N6" s="19">
        <f>Producao_Receita!N10</f>
        <v/>
      </c>
      <c r="O6" s="19">
        <f>Producao_Receita!O10</f>
        <v/>
      </c>
      <c r="P6" s="19">
        <f>Producao_Receita!P10</f>
        <v/>
      </c>
    </row>
    <row r="7">
      <c r="A7" s="3" t="inlineStr">
        <is>
          <t>(–) Custos e despesas (R$)</t>
        </is>
      </c>
      <c r="C7" s="19">
        <f>-Custos!C10</f>
        <v/>
      </c>
      <c r="D7" s="19">
        <f>-Custos!D10</f>
        <v/>
      </c>
      <c r="E7" s="19">
        <f>-Custos!E10</f>
        <v/>
      </c>
      <c r="F7" s="19">
        <f>-Custos!F10</f>
        <v/>
      </c>
      <c r="G7" s="19">
        <f>-Custos!G10</f>
        <v/>
      </c>
      <c r="H7" s="19">
        <f>-Custos!H10</f>
        <v/>
      </c>
      <c r="I7" s="19">
        <f>-Custos!I10</f>
        <v/>
      </c>
      <c r="J7" s="19">
        <f>-Custos!J10</f>
        <v/>
      </c>
      <c r="K7" s="19">
        <f>-Custos!K10</f>
        <v/>
      </c>
      <c r="L7" s="19">
        <f>-Custos!L10</f>
        <v/>
      </c>
      <c r="M7" s="19">
        <f>-Custos!M10</f>
        <v/>
      </c>
      <c r="N7" s="19">
        <f>-Custos!N10</f>
        <v/>
      </c>
      <c r="O7" s="19">
        <f>-Custos!O10</f>
        <v/>
      </c>
      <c r="P7" s="19">
        <f>-Custos!P10</f>
        <v/>
      </c>
    </row>
    <row r="8">
      <c r="A8" s="4" t="inlineStr">
        <is>
          <t>(=) EBITDA (R$)</t>
        </is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  <c r="G8" s="19">
        <f>G6+G7</f>
        <v/>
      </c>
      <c r="H8" s="19">
        <f>H6+H7</f>
        <v/>
      </c>
      <c r="I8" s="19">
        <f>I6+I7</f>
        <v/>
      </c>
      <c r="J8" s="19">
        <f>J6+J7</f>
        <v/>
      </c>
      <c r="K8" s="19">
        <f>K6+K7</f>
        <v/>
      </c>
      <c r="L8" s="19">
        <f>L6+L7</f>
        <v/>
      </c>
      <c r="M8" s="19">
        <f>M6+M7</f>
        <v/>
      </c>
      <c r="N8" s="19">
        <f>N6+N7</f>
        <v/>
      </c>
      <c r="O8" s="19">
        <f>O6+O7</f>
        <v/>
      </c>
      <c r="P8" s="19">
        <f>P6+P7</f>
        <v/>
      </c>
    </row>
    <row r="9">
      <c r="A9" s="3" t="inlineStr">
        <is>
          <t>Margem EBITDA (% RL)</t>
        </is>
      </c>
      <c r="C9" s="20">
        <f>IFERROR(C8/C6,0)</f>
        <v/>
      </c>
      <c r="D9" s="20">
        <f>IFERROR(D8/D6,0)</f>
        <v/>
      </c>
      <c r="E9" s="20">
        <f>IFERROR(E8/E6,0)</f>
        <v/>
      </c>
      <c r="F9" s="20">
        <f>IFERROR(F8/F6,0)</f>
        <v/>
      </c>
      <c r="G9" s="20">
        <f>IFERROR(G8/G6,0)</f>
        <v/>
      </c>
      <c r="H9" s="20">
        <f>IFERROR(H8/H6,0)</f>
        <v/>
      </c>
      <c r="I9" s="20">
        <f>IFERROR(I8/I6,0)</f>
        <v/>
      </c>
      <c r="J9" s="20">
        <f>IFERROR(J8/J6,0)</f>
        <v/>
      </c>
      <c r="K9" s="20">
        <f>IFERROR(K8/K6,0)</f>
        <v/>
      </c>
      <c r="L9" s="20">
        <f>IFERROR(L8/L6,0)</f>
        <v/>
      </c>
      <c r="M9" s="20">
        <f>IFERROR(M8/M6,0)</f>
        <v/>
      </c>
      <c r="N9" s="20">
        <f>IFERROR(N8/N6,0)</f>
        <v/>
      </c>
      <c r="O9" s="20">
        <f>IFERROR(O8/O6,0)</f>
        <v/>
      </c>
      <c r="P9" s="20">
        <f>IFERROR(P8/P6,0)</f>
        <v/>
      </c>
    </row>
    <row r="10">
      <c r="A10" s="3" t="inlineStr">
        <is>
          <t>(–) Depreciação (R$)</t>
        </is>
      </c>
      <c r="C10" s="19">
        <f>-Premissas!$B$25</f>
        <v/>
      </c>
      <c r="D10" s="19">
        <f>-Premissas!$B$25</f>
        <v/>
      </c>
      <c r="E10" s="19">
        <f>-Premissas!$B$25</f>
        <v/>
      </c>
      <c r="F10" s="19">
        <f>-Premissas!$B$25</f>
        <v/>
      </c>
      <c r="G10" s="19">
        <f>-Premissas!$B$25</f>
        <v/>
      </c>
      <c r="H10" s="19">
        <f>-Premissas!$B$25</f>
        <v/>
      </c>
      <c r="I10" s="19">
        <f>-Premissas!$B$25</f>
        <v/>
      </c>
      <c r="J10" s="19">
        <f>-Premissas!$B$25</f>
        <v/>
      </c>
      <c r="K10" s="19">
        <f>-Premissas!$B$25</f>
        <v/>
      </c>
      <c r="L10" s="19">
        <f>-Premissas!$B$25</f>
        <v/>
      </c>
      <c r="M10" s="19">
        <f>-Premissas!$B$25</f>
        <v/>
      </c>
      <c r="N10" s="19">
        <f>-Premissas!$B$25</f>
        <v/>
      </c>
      <c r="O10" s="19">
        <f>-Premissas!$B$25</f>
        <v/>
      </c>
      <c r="P10" s="19">
        <f>-Premissas!$B$25</f>
        <v/>
      </c>
    </row>
    <row r="11">
      <c r="A11" s="3" t="inlineStr">
        <is>
          <t>(–) Juros FNE (R$)</t>
        </is>
      </c>
      <c r="C11" s="19">
        <f>-FNE_SAC!C5</f>
        <v/>
      </c>
      <c r="D11" s="19">
        <f>-FNE_SAC!D5</f>
        <v/>
      </c>
      <c r="E11" s="19">
        <f>-FNE_SAC!E5</f>
        <v/>
      </c>
      <c r="F11" s="19">
        <f>-FNE_SAC!F5</f>
        <v/>
      </c>
      <c r="G11" s="19">
        <f>-FNE_SAC!G5</f>
        <v/>
      </c>
      <c r="H11" s="19">
        <f>-FNE_SAC!H5</f>
        <v/>
      </c>
      <c r="I11" s="19">
        <f>-FNE_SAC!I5</f>
        <v/>
      </c>
      <c r="J11" s="19">
        <f>-FNE_SAC!J5</f>
        <v/>
      </c>
      <c r="K11" s="19">
        <f>-FNE_SAC!K5</f>
        <v/>
      </c>
      <c r="L11" s="19">
        <f>-FNE_SAC!L5</f>
        <v/>
      </c>
      <c r="M11" s="19">
        <f>-FNE_SAC!M5</f>
        <v/>
      </c>
      <c r="N11" s="19">
        <f>-FNE_SAC!N5</f>
        <v/>
      </c>
      <c r="O11" s="19">
        <f>-FNE_SAC!O5</f>
        <v/>
      </c>
      <c r="P11" s="19">
        <f>-FNE_SAC!P5</f>
        <v/>
      </c>
    </row>
    <row r="12">
      <c r="A12" s="4" t="inlineStr">
        <is>
          <t>(=) LAIR (R$)</t>
        </is>
      </c>
      <c r="C12" s="19">
        <f>C8+C10+C11</f>
        <v/>
      </c>
      <c r="D12" s="19">
        <f>D8+D10+D11</f>
        <v/>
      </c>
      <c r="E12" s="19">
        <f>E8+E10+E11</f>
        <v/>
      </c>
      <c r="F12" s="19">
        <f>F8+F10+F11</f>
        <v/>
      </c>
      <c r="G12" s="19">
        <f>G8+G10+G11</f>
        <v/>
      </c>
      <c r="H12" s="19">
        <f>H8+H10+H11</f>
        <v/>
      </c>
      <c r="I12" s="19">
        <f>I8+I10+I11</f>
        <v/>
      </c>
      <c r="J12" s="19">
        <f>J8+J10+J11</f>
        <v/>
      </c>
      <c r="K12" s="19">
        <f>K8+K10+K11</f>
        <v/>
      </c>
      <c r="L12" s="19">
        <f>L8+L10+L11</f>
        <v/>
      </c>
      <c r="M12" s="19">
        <f>M8+M10+M11</f>
        <v/>
      </c>
      <c r="N12" s="19">
        <f>N8+N10+N11</f>
        <v/>
      </c>
      <c r="O12" s="19">
        <f>O8+O10+O11</f>
        <v/>
      </c>
      <c r="P12" s="19">
        <f>P8+P10+P11</f>
        <v/>
      </c>
    </row>
    <row r="13">
      <c r="A13" s="3" t="inlineStr">
        <is>
          <t>(–) IRPJ+CSLL presumido (R$)</t>
        </is>
      </c>
      <c r="C13" s="19">
        <f>-(0.15*(0.08*C4)+0.1*MAX(0,0.08*C4-240000)+0.09*(0.12*C4))</f>
        <v/>
      </c>
      <c r="D13" s="19">
        <f>-(0.15*(0.08*D4)+0.1*MAX(0,0.08*D4-240000)+0.09*(0.12*D4))</f>
        <v/>
      </c>
      <c r="E13" s="19">
        <f>-(0.15*(0.08*E4)+0.1*MAX(0,0.08*E4-240000)+0.09*(0.12*E4))</f>
        <v/>
      </c>
      <c r="F13" s="19">
        <f>-(0.15*(0.08*F4)+0.1*MAX(0,0.08*F4-240000)+0.09*(0.12*F4))</f>
        <v/>
      </c>
      <c r="G13" s="19">
        <f>-(0.15*(0.08*G4)+0.1*MAX(0,0.08*G4-240000)+0.09*(0.12*G4))</f>
        <v/>
      </c>
      <c r="H13" s="19">
        <f>-(0.15*(0.08*H4)+0.1*MAX(0,0.08*H4-240000)+0.09*(0.12*H4))</f>
        <v/>
      </c>
      <c r="I13" s="19">
        <f>-(0.15*(0.08*I4)+0.1*MAX(0,0.08*I4-240000)+0.09*(0.12*I4))</f>
        <v/>
      </c>
      <c r="J13" s="19">
        <f>-(0.15*(0.08*J4)+0.1*MAX(0,0.08*J4-240000)+0.09*(0.12*J4))</f>
        <v/>
      </c>
      <c r="K13" s="19">
        <f>-(0.15*(0.08*K4)+0.1*MAX(0,0.08*K4-240000)+0.09*(0.12*K4))</f>
        <v/>
      </c>
      <c r="L13" s="19">
        <f>-(0.15*(0.08*L4)+0.1*MAX(0,0.08*L4-240000)+0.09*(0.12*L4))</f>
        <v/>
      </c>
      <c r="M13" s="19">
        <f>-(0.15*(0.08*M4)+0.1*MAX(0,0.08*M4-240000)+0.09*(0.12*M4))</f>
        <v/>
      </c>
      <c r="N13" s="19">
        <f>-(0.15*(0.08*N4)+0.1*MAX(0,0.08*N4-240000)+0.09*(0.12*N4))</f>
        <v/>
      </c>
      <c r="O13" s="19">
        <f>-(0.15*(0.08*O4)+0.1*MAX(0,0.08*O4-240000)+0.09*(0.12*O4))</f>
        <v/>
      </c>
      <c r="P13" s="19">
        <f>-(0.15*(0.08*P4)+0.1*MAX(0,0.08*P4-240000)+0.09*(0.12*P4))</f>
        <v/>
      </c>
    </row>
    <row r="14">
      <c r="A14" s="4" t="inlineStr">
        <is>
          <t>(=) LUCRO LÍQUIDO (R$)</t>
        </is>
      </c>
      <c r="C14" s="19">
        <f>C12+C13</f>
        <v/>
      </c>
      <c r="D14" s="19">
        <f>D12+D13</f>
        <v/>
      </c>
      <c r="E14" s="19">
        <f>E12+E13</f>
        <v/>
      </c>
      <c r="F14" s="19">
        <f>F12+F13</f>
        <v/>
      </c>
      <c r="G14" s="19">
        <f>G12+G13</f>
        <v/>
      </c>
      <c r="H14" s="19">
        <f>H12+H13</f>
        <v/>
      </c>
      <c r="I14" s="19">
        <f>I12+I13</f>
        <v/>
      </c>
      <c r="J14" s="19">
        <f>J12+J13</f>
        <v/>
      </c>
      <c r="K14" s="19">
        <f>K12+K13</f>
        <v/>
      </c>
      <c r="L14" s="19">
        <f>L12+L13</f>
        <v/>
      </c>
      <c r="M14" s="19">
        <f>M12+M13</f>
        <v/>
      </c>
      <c r="N14" s="19">
        <f>N12+N13</f>
        <v/>
      </c>
      <c r="O14" s="19">
        <f>O12+O13</f>
        <v/>
      </c>
      <c r="P14" s="19">
        <f>P12+P13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FLUXO DE CAIXA E INDICADORES</t>
        </is>
      </c>
    </row>
    <row r="3">
      <c r="B3" s="21" t="inlineStr">
        <is>
          <t>Ano 0</t>
        </is>
      </c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Δ Capital de giro (R$)</t>
        </is>
      </c>
      <c r="C4" s="14">
        <f>MAX(0,(Producao_Receita!C8-0)*Premissas!$B$26)</f>
        <v/>
      </c>
      <c r="D4" s="14">
        <f>MAX(0,(Producao_Receita!D8-Producao_Receita!C8)*Premissas!$B$26)</f>
        <v/>
      </c>
      <c r="E4" s="14">
        <f>MAX(0,(Producao_Receita!E8-Producao_Receita!D8)*Premissas!$B$26)</f>
        <v/>
      </c>
      <c r="F4" s="14">
        <f>MAX(0,(Producao_Receita!F8-Producao_Receita!E8)*Premissas!$B$26)</f>
        <v/>
      </c>
      <c r="G4" s="14">
        <f>MAX(0,(Producao_Receita!G8-Producao_Receita!F8)*Premissas!$B$26)</f>
        <v/>
      </c>
      <c r="H4" s="14">
        <f>MAX(0,(Producao_Receita!H8-Producao_Receita!G8)*Premissas!$B$26)</f>
        <v/>
      </c>
      <c r="I4" s="14">
        <f>MAX(0,(Producao_Receita!I8-Producao_Receita!H8)*Premissas!$B$26)</f>
        <v/>
      </c>
      <c r="J4" s="14">
        <f>MAX(0,(Producao_Receita!J8-Producao_Receita!I8)*Premissas!$B$26)</f>
        <v/>
      </c>
      <c r="K4" s="14">
        <f>MAX(0,(Producao_Receita!K8-Producao_Receita!J8)*Premissas!$B$26)</f>
        <v/>
      </c>
      <c r="L4" s="14">
        <f>MAX(0,(Producao_Receita!L8-Producao_Receita!K8)*Premissas!$B$26)</f>
        <v/>
      </c>
      <c r="M4" s="14">
        <f>MAX(0,(Producao_Receita!M8-Producao_Receita!L8)*Premissas!$B$26)</f>
        <v/>
      </c>
      <c r="N4" s="14">
        <f>MAX(0,(Producao_Receita!N8-Producao_Receita!M8)*Premissas!$B$26)</f>
        <v/>
      </c>
      <c r="O4" s="14">
        <f>MAX(0,(Producao_Receita!O8-Producao_Receita!N8)*Premissas!$B$26)</f>
        <v/>
      </c>
      <c r="P4" s="14">
        <f>MAX(0,(Producao_Receita!P8-Producao_Receita!O8)*Premissas!$B$26)</f>
        <v/>
      </c>
    </row>
    <row r="5">
      <c r="A5" s="3" t="inlineStr">
        <is>
          <t>FC do PROJETO (R$)</t>
        </is>
      </c>
      <c r="B5" s="14">
        <f>-Premissas!$B$29</f>
        <v/>
      </c>
      <c r="C5" s="19">
        <f>DRE_Projetada!C8+DRE_Projetada!C13-C4</f>
        <v/>
      </c>
      <c r="D5" s="19">
        <f>DRE_Projetada!D8+DRE_Projetada!D13-D4</f>
        <v/>
      </c>
      <c r="E5" s="19">
        <f>DRE_Projetada!E8+DRE_Projetada!E13-E4</f>
        <v/>
      </c>
      <c r="F5" s="19">
        <f>DRE_Projetada!F8+DRE_Projetada!F13-F4</f>
        <v/>
      </c>
      <c r="G5" s="19">
        <f>DRE_Projetada!G8+DRE_Projetada!G13-G4</f>
        <v/>
      </c>
      <c r="H5" s="19">
        <f>DRE_Projetada!H8+DRE_Projetada!H13-H4</f>
        <v/>
      </c>
      <c r="I5" s="19">
        <f>DRE_Projetada!I8+DRE_Projetada!I13-I4</f>
        <v/>
      </c>
      <c r="J5" s="19">
        <f>DRE_Projetada!J8+DRE_Projetada!J13-J4</f>
        <v/>
      </c>
      <c r="K5" s="19">
        <f>DRE_Projetada!K8+DRE_Projetada!K13-K4</f>
        <v/>
      </c>
      <c r="L5" s="19">
        <f>DRE_Projetada!L8+DRE_Projetada!L13-L4</f>
        <v/>
      </c>
      <c r="M5" s="19">
        <f>DRE_Projetada!M8+DRE_Projetada!M13-M4</f>
        <v/>
      </c>
      <c r="N5" s="19">
        <f>DRE_Projetada!N8+DRE_Projetada!N13-N4</f>
        <v/>
      </c>
      <c r="O5" s="19">
        <f>DRE_Projetada!O8+DRE_Projetada!O13-O4</f>
        <v/>
      </c>
      <c r="P5" s="19">
        <f>DRE_Projetada!P8+DRE_Projetada!P13-P4</f>
        <v/>
      </c>
    </row>
    <row r="6">
      <c r="A6" s="3" t="inlineStr">
        <is>
          <t>FC do ACIONISTA (R$)</t>
        </is>
      </c>
      <c r="B6" s="14">
        <f>-(Premissas!$B$29-Premissas!$B$30)</f>
        <v/>
      </c>
      <c r="C6" s="19">
        <f>C5-FNE_SAC!C8</f>
        <v/>
      </c>
      <c r="D6" s="19">
        <f>D5-FNE_SAC!D8</f>
        <v/>
      </c>
      <c r="E6" s="19">
        <f>E5-FNE_SAC!E8</f>
        <v/>
      </c>
      <c r="F6" s="19">
        <f>F5-FNE_SAC!F8</f>
        <v/>
      </c>
      <c r="G6" s="19">
        <f>G5-FNE_SAC!G8</f>
        <v/>
      </c>
      <c r="H6" s="19">
        <f>H5-FNE_SAC!H8</f>
        <v/>
      </c>
      <c r="I6" s="19">
        <f>I5-FNE_SAC!I8</f>
        <v/>
      </c>
      <c r="J6" s="19">
        <f>J5-FNE_SAC!J8</f>
        <v/>
      </c>
      <c r="K6" s="19">
        <f>K5-FNE_SAC!K8</f>
        <v/>
      </c>
      <c r="L6" s="19">
        <f>L5-FNE_SAC!L8</f>
        <v/>
      </c>
      <c r="M6" s="19">
        <f>M5-FNE_SAC!M8</f>
        <v/>
      </c>
      <c r="N6" s="19">
        <f>N5-FNE_SAC!N8</f>
        <v/>
      </c>
      <c r="O6" s="19">
        <f>O5-FNE_SAC!O8</f>
        <v/>
      </c>
      <c r="P6" s="19">
        <f>P5-FNE_SAC!P8</f>
        <v/>
      </c>
    </row>
    <row r="7">
      <c r="A7" s="3" t="inlineStr">
        <is>
          <t>FC projeto acumulado (R$)</t>
        </is>
      </c>
      <c r="B7" s="14">
        <f>B5</f>
        <v/>
      </c>
      <c r="C7" s="14">
        <f>B7+C5</f>
        <v/>
      </c>
      <c r="D7" s="14">
        <f>C7+D5</f>
        <v/>
      </c>
      <c r="E7" s="14">
        <f>D7+E5</f>
        <v/>
      </c>
      <c r="F7" s="14">
        <f>E7+F5</f>
        <v/>
      </c>
      <c r="G7" s="14">
        <f>F7+G5</f>
        <v/>
      </c>
      <c r="H7" s="14">
        <f>G7+H5</f>
        <v/>
      </c>
      <c r="I7" s="14">
        <f>H7+I5</f>
        <v/>
      </c>
      <c r="J7" s="14">
        <f>I7+J5</f>
        <v/>
      </c>
      <c r="K7" s="14">
        <f>J7+K5</f>
        <v/>
      </c>
      <c r="L7" s="14">
        <f>K7+L5</f>
        <v/>
      </c>
      <c r="M7" s="14">
        <f>L7+M5</f>
        <v/>
      </c>
      <c r="N7" s="14">
        <f>M7+N5</f>
        <v/>
      </c>
      <c r="O7" s="14">
        <f>N7+O5</f>
        <v/>
      </c>
      <c r="P7" s="14">
        <f>O7+P5</f>
        <v/>
      </c>
    </row>
    <row r="8">
      <c r="A8" s="3" t="inlineStr">
        <is>
          <t>DSCR — (EBITDA−IR)/serviço</t>
        </is>
      </c>
      <c r="C8" s="17">
        <f>IFERROR((DRE_Projetada!C8+DRE_Projetada!C13)/FNE_SAC!C8,"—")</f>
        <v/>
      </c>
      <c r="D8" s="17">
        <f>IFERROR((DRE_Projetada!D8+DRE_Projetada!D13)/FNE_SAC!D8,"—")</f>
        <v/>
      </c>
      <c r="E8" s="17">
        <f>IFERROR((DRE_Projetada!E8+DRE_Projetada!E13)/FNE_SAC!E8,"—")</f>
        <v/>
      </c>
      <c r="F8" s="17">
        <f>IFERROR((DRE_Projetada!F8+DRE_Projetada!F13)/FNE_SAC!F8,"—")</f>
        <v/>
      </c>
      <c r="G8" s="17">
        <f>IFERROR((DRE_Projetada!G8+DRE_Projetada!G13)/FNE_SAC!G8,"—")</f>
        <v/>
      </c>
      <c r="H8" s="17">
        <f>IFERROR((DRE_Projetada!H8+DRE_Projetada!H13)/FNE_SAC!H8,"—")</f>
        <v/>
      </c>
      <c r="I8" s="17">
        <f>IFERROR((DRE_Projetada!I8+DRE_Projetada!I13)/FNE_SAC!I8,"—")</f>
        <v/>
      </c>
      <c r="J8" s="17">
        <f>IFERROR((DRE_Projetada!J8+DRE_Projetada!J13)/FNE_SAC!J8,"—")</f>
        <v/>
      </c>
      <c r="K8" s="17">
        <f>IFERROR((DRE_Projetada!K8+DRE_Projetada!K13)/FNE_SAC!K8,"—")</f>
        <v/>
      </c>
      <c r="L8" s="17">
        <f>IFERROR((DRE_Projetada!L8+DRE_Projetada!L13)/FNE_SAC!L8,"—")</f>
        <v/>
      </c>
      <c r="M8" s="17">
        <f>IFERROR((DRE_Projetada!M8+DRE_Projetada!M13)/FNE_SAC!M8,"—")</f>
        <v/>
      </c>
      <c r="N8" s="17">
        <f>IFERROR((DRE_Projetada!N8+DRE_Projetada!N13)/FNE_SAC!N8,"—")</f>
        <v/>
      </c>
      <c r="O8" s="17">
        <f>IFERROR((DRE_Projetada!O8+DRE_Projetada!O13)/FNE_SAC!O8,"—")</f>
        <v/>
      </c>
      <c r="P8" s="17">
        <f>IFERROR((DRE_Projetada!P8+DRE_Projetada!P13)/FNE_SAC!P8,"—")</f>
        <v/>
      </c>
    </row>
    <row r="10">
      <c r="A10" s="4" t="inlineStr">
        <is>
          <t>INDICADORES</t>
        </is>
      </c>
    </row>
    <row r="11">
      <c r="A11" s="3" t="inlineStr">
        <is>
          <t>TIR do projeto (% a.a.)</t>
        </is>
      </c>
      <c r="B11" s="22">
        <f>IRR(B5:P5)</f>
        <v/>
      </c>
    </row>
    <row r="12">
      <c r="A12" s="3" t="inlineStr">
        <is>
          <t>TIR do acionista (% a.a.)</t>
        </is>
      </c>
      <c r="B12" s="22">
        <f>IRR(B6:P6)</f>
        <v/>
      </c>
    </row>
    <row r="13">
      <c r="A13" s="3" t="inlineStr">
        <is>
          <t>VPL do projeto @ TMA (R$)</t>
        </is>
      </c>
      <c r="B13" s="23">
        <f>NPV(Premissas!$B$34,C5:P5)+B5</f>
        <v/>
      </c>
    </row>
    <row r="14">
      <c r="A14" s="3" t="inlineStr">
        <is>
          <t>Payback (anos)</t>
        </is>
      </c>
      <c r="B14" s="24">
        <f>COUNTIF(B7:P7,"&lt;0")</f>
        <v/>
      </c>
    </row>
    <row r="15">
      <c r="A15" s="3" t="inlineStr">
        <is>
          <t>DSCR mínimo (anos de amortização)</t>
        </is>
      </c>
      <c r="B15" s="25">
        <f>MIN(E8:P8)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30" customWidth="1" min="4" max="4"/>
  </cols>
  <sheetData>
    <row r="1">
      <c r="A1" s="1" t="inlineStr">
        <is>
          <t>CAPACIDADE DE PAGAMENTO — MOTOR OFICIAL BNB (janela 30–50%)</t>
        </is>
      </c>
    </row>
    <row r="2">
      <c r="A2" s="2" t="inlineStr">
        <is>
          <t>Rédito = Receita BRUTA × (1 − custo padrão). Valores calculados no algoritmo VBA real do banco (script da consultoria, validado ao centésimo). Custo padrão proposto: 68,62% (DRE real PVV); tabela indústria: 67,77% — VALIDAR com o analista.</t>
        </is>
      </c>
    </row>
    <row r="4">
      <c r="A4" s="4" t="inlineStr">
        <is>
          <t>Configuração</t>
        </is>
      </c>
      <c r="B4" s="4" t="inlineStr">
        <is>
          <t>Comprometimento máx.</t>
        </is>
      </c>
      <c r="C4" s="4" t="inlineStr">
        <is>
          <t>Veredito</t>
        </is>
      </c>
      <c r="D4" s="4" t="inlineStr">
        <is>
          <t>Observação</t>
        </is>
      </c>
    </row>
    <row r="5">
      <c r="A5" s="3" t="inlineStr">
        <is>
          <t>Pleito R$ 24,29 mi · 14a · 2 car + 12 amort · receita ultra-conservadora</t>
        </is>
      </c>
      <c r="B5" s="15" t="n">
        <v>0.5095582712098438</v>
      </c>
      <c r="C5" s="26" t="inlineStr">
        <is>
          <t>NÃO PASSA</t>
        </is>
      </c>
      <c r="D5" s="2" t="inlineStr">
        <is>
          <t>51,0% — 1 p.p. fora; fecha com preço R$ 74/t (46,5%), platô antecipado (49,8%) ou 95% (42,0%)</t>
        </is>
      </c>
    </row>
    <row r="6">
      <c r="A6" s="3" t="inlineStr">
        <is>
          <t>Pleito R$ 24,29 mi · 14a · 2 car + 12 amort · preço R$ 82/t</t>
        </is>
      </c>
      <c r="B6" s="15" t="n">
        <v>0.413330734071942</v>
      </c>
      <c r="C6" s="27" t="inlineStr">
        <is>
          <t>PASSA</t>
        </is>
      </c>
      <c r="D6" s="2" t="inlineStr">
        <is>
          <t>41,3% — colchão</t>
        </is>
      </c>
    </row>
    <row r="7">
      <c r="A7" s="3" t="inlineStr">
        <is>
          <t>Pleito R$ 24,29 mi · 14a · 2 car + 12 amort · produção 95% da licença</t>
        </is>
      </c>
      <c r="B7" s="15" t="n">
        <v>0.4195555249059341</v>
      </c>
      <c r="C7" s="27" t="inlineStr">
        <is>
          <t>PASSA</t>
        </is>
      </c>
      <c r="D7" s="2" t="inlineStr">
        <is>
          <t>42,0% — colchão</t>
        </is>
      </c>
    </row>
    <row r="8">
      <c r="A8" s="3" t="inlineStr">
        <is>
          <t>Pleito R$ 24,29 mi · 14a · 3 car + 11 amort · receita-base</t>
        </is>
      </c>
      <c r="B8" s="15" t="n">
        <v>0.5449953606863867</v>
      </c>
      <c r="C8" s="26" t="inlineStr">
        <is>
          <t>NÃO PASSA</t>
        </is>
      </c>
      <c r="D8" s="2" t="inlineStr">
        <is>
          <t>54,5%</t>
        </is>
      </c>
    </row>
    <row r="9">
      <c r="A9" s="3" t="inlineStr">
        <is>
          <t>Pleito R$ 24,29 mi · 14a · 4 car + 10 amort · receita-base</t>
        </is>
      </c>
      <c r="B9" s="15" t="n">
        <v>0.6010854034324153</v>
      </c>
      <c r="C9" s="26" t="inlineStr">
        <is>
          <t>NÃO PASSA</t>
        </is>
      </c>
      <c r="D9" s="2" t="inlineStr">
        <is>
          <t>60,1%</t>
        </is>
      </c>
    </row>
    <row r="10">
      <c r="A10" s="3" t="inlineStr">
        <is>
          <t>Pleito R$ 24,29 mi · 12a/3c · receita-base (sem condição Mulher)</t>
        </is>
      </c>
      <c r="B10" s="15" t="n">
        <v>0.6700428550535171</v>
      </c>
      <c r="C10" s="26" t="inlineStr">
        <is>
          <t>NÃO PASSA</t>
        </is>
      </c>
      <c r="D10" s="2" t="inlineStr">
        <is>
          <t>67,0% — referência</t>
        </is>
      </c>
    </row>
    <row r="12">
      <c r="A12" s="4" t="inlineStr">
        <is>
          <t>FINANCIAMENTO MÁXIMO QUE PASSA (≤50%)</t>
        </is>
      </c>
    </row>
    <row r="13">
      <c r="A13" s="3" t="inlineStr">
        <is>
          <t>14a · 2c+12a · receita-base</t>
        </is>
      </c>
      <c r="B13" s="14" t="n">
        <v>23964142.38999998</v>
      </c>
    </row>
    <row r="14">
      <c r="A14" s="3" t="inlineStr">
        <is>
          <t>14a · 2c+12a · preço R$ 82/t</t>
        </is>
      </c>
      <c r="B14" s="14" t="n">
        <v>27958836.32254746</v>
      </c>
    </row>
    <row r="15">
      <c r="A15" s="3" t="inlineStr">
        <is>
          <t>14a · 2c+12a · produção 95% da licença</t>
        </is>
      </c>
      <c r="B15" s="14" t="n">
        <v>27660200.76147405</v>
      </c>
    </row>
    <row r="16">
      <c r="A16" s="3" t="inlineStr">
        <is>
          <t>14a · 4c+10a · receita-base (comparação)</t>
        </is>
      </c>
      <c r="B16" s="14" t="n">
        <v>21200497.68732259</v>
      </c>
    </row>
    <row r="18">
      <c r="A18" s="2" t="inlineStr">
        <is>
          <t>Formulas sem cache: o Excel recalcula ao abrir. Nota: valores estáticos (o algoritmo do banco não é replicável em fórmula de planilha). Para recalcular após mudar premissas, rodar o script capacidade_pagamento.py da skill do consultor.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A1" s="1" t="inlineStr">
        <is>
          <t>CENÁRIOS PRONTOS (valores calculados — referência rápida)</t>
        </is>
      </c>
    </row>
    <row r="3">
      <c r="A3" s="21" t="inlineStr">
        <is>
          <t>Cenário</t>
        </is>
      </c>
      <c r="B3" s="21" t="inlineStr">
        <is>
          <t>RB platô (R$)</t>
        </is>
      </c>
      <c r="C3" s="21" t="inlineStr">
        <is>
          <t>EBITDA platô (R$)</t>
        </is>
      </c>
      <c r="D3" s="21" t="inlineStr">
        <is>
          <t>LL platô (R$)</t>
        </is>
      </c>
      <c r="E3" s="21" t="inlineStr">
        <is>
          <t>DSCR mín</t>
        </is>
      </c>
      <c r="F3" s="21" t="inlineStr">
        <is>
          <t>TIR proj.</t>
        </is>
      </c>
      <c r="G3" s="21" t="inlineStr">
        <is>
          <t>VPL @12%</t>
        </is>
      </c>
      <c r="H3" s="21" t="inlineStr">
        <is>
          <t>Comprom. BNB</t>
        </is>
      </c>
    </row>
    <row r="4">
      <c r="A4" s="3" t="inlineStr">
        <is>
          <t>BASE (preço 68,50 · 14a 2c+12a · taxa 10,3493%)</t>
        </is>
      </c>
      <c r="B4" s="14" t="n">
        <v>17452800</v>
      </c>
      <c r="C4" s="14" t="n">
        <v>6467040</v>
      </c>
      <c r="D4" s="14" t="n">
        <v>1499090.53503473</v>
      </c>
      <c r="E4" s="17" t="n">
        <v>1.050930705812949</v>
      </c>
      <c r="F4" s="15" t="n">
        <v>0.1494322271217648</v>
      </c>
      <c r="G4" s="14" t="n">
        <v>4927889.77581582</v>
      </c>
      <c r="H4" s="3" t="inlineStr">
        <is>
          <t>51,0% ✗ (1 p.p.)</t>
        </is>
      </c>
    </row>
    <row r="5">
      <c r="A5" s="3" t="inlineStr">
        <is>
          <t>CONSERVADOR (preço −15% · ramp +6m)</t>
        </is>
      </c>
      <c r="B5" s="14" t="n">
        <v>15233400</v>
      </c>
      <c r="C5" s="14" t="n">
        <v>4536162</v>
      </c>
      <c r="D5" s="14" t="n">
        <v>-363429.9449652701</v>
      </c>
      <c r="E5" s="17" t="n">
        <v>0.7089153059117655</v>
      </c>
      <c r="F5" s="15" t="n">
        <v>0.07908943923859313</v>
      </c>
      <c r="G5" s="14" t="n">
        <v>-6303892.299403776</v>
      </c>
      <c r="H5" s="3" t="inlineStr">
        <is>
          <t>—</t>
        </is>
      </c>
    </row>
    <row r="6">
      <c r="A6" s="3" t="inlineStr">
        <is>
          <t>ESTRESSE (conservador + juros 11,35%)</t>
        </is>
      </c>
      <c r="B6" s="14" t="n">
        <v>15233400</v>
      </c>
      <c r="C6" s="14" t="n">
        <v>4383828</v>
      </c>
      <c r="D6" s="14" t="n">
        <v>-738426.65886527</v>
      </c>
      <c r="E6" s="17" t="n">
        <v>0.6455742570145453</v>
      </c>
      <c r="F6" s="15" t="n">
        <v>0.07325198415876433</v>
      </c>
      <c r="G6" s="14" t="n">
        <v>-7129164.450326623</v>
      </c>
      <c r="H6" s="3" t="inlineStr">
        <is>
          <t>—</t>
        </is>
      </c>
    </row>
    <row r="7">
      <c r="A7" s="3" t="inlineStr">
        <is>
          <t>RESERVA ATUAL (platô 9.200 t/mês)</t>
        </is>
      </c>
      <c r="B7" s="14" t="n">
        <v>9146640</v>
      </c>
      <c r="C7" s="14" t="n">
        <v>2019324</v>
      </c>
      <c r="D7" s="14" t="n">
        <v>-2692795.73696527</v>
      </c>
      <c r="E7" s="17" t="n">
        <v>0.4069684272780721</v>
      </c>
      <c r="F7" s="15" t="n">
        <v>-0.009372448266384226</v>
      </c>
      <c r="G7" s="14" t="n">
        <v>-14776093.99485386</v>
      </c>
      <c r="H7" s="3" t="inlineStr">
        <is>
          <t>—</t>
        </is>
      </c>
    </row>
    <row r="8">
      <c r="A8" s="3" t="inlineStr">
        <is>
          <t>UPSIDE (preço 82 — ref. PVV)</t>
        </is>
      </c>
      <c r="B8" s="14" t="n">
        <v>20368800</v>
      </c>
      <c r="C8" s="14" t="n">
        <v>9003960</v>
      </c>
      <c r="D8" s="14" t="n">
        <v>3946197.735034729</v>
      </c>
      <c r="E8" s="17" t="n">
        <v>1.500294004953189</v>
      </c>
      <c r="F8" s="15" t="n">
        <v>0.2194947337644882</v>
      </c>
      <c r="G8" s="14" t="n">
        <v>18315725.66144409</v>
      </c>
      <c r="H8" s="3" t="inlineStr">
        <is>
          <t>41,3% ✓</t>
        </is>
      </c>
    </row>
    <row r="9">
      <c r="A9" s="3" t="inlineStr">
        <is>
          <t>95% DA LICENÇA (20.892 t/mês do ano 3)</t>
        </is>
      </c>
      <c r="B9" s="14" t="n">
        <v>19830366.5</v>
      </c>
      <c r="C9" s="14" t="n">
        <v>7876051.855</v>
      </c>
      <c r="D9" s="14" t="n">
        <v>2834873.34183473</v>
      </c>
      <c r="E9" s="17" t="n">
        <v>1.644723685727977</v>
      </c>
      <c r="F9" s="15" t="n">
        <v>0.1892432140057955</v>
      </c>
      <c r="G9" s="14" t="n">
        <v>12340507.25206514</v>
      </c>
      <c r="H9" s="3" t="inlineStr">
        <is>
          <t>42,0% ✓</t>
        </is>
      </c>
    </row>
    <row r="11">
      <c r="A11" s="2" t="inlineStr">
        <is>
          <t>Recomendação: 14 anos = 2 carência + 12 amortização (condição FNE Mulher) segue sendo a melhor montagem. Na taxa real (10,3493%), a receita ultra-conservadora fica 1 p.p. fora da janela (51,0%) — o pleito fecha com preço ≥ R$ 74/t (46,5%; é o FOB real do grupo), platô antecipado ao ano 3 (49,8%) ou 95% da licença (42,0%); colchões não contados: bônus de adimplência (48,2%) e custo padrão tabela (49,1%). DSCR do ano 3: 1,05 no SAC constante — negociar amortização equalizada/crescente.</t>
        </is>
      </c>
    </row>
    <row r="13">
      <c r="A13" s="4" t="inlineStr">
        <is>
          <t>PRODUÇÃO NECESSÁRIA POR ANO (solver sobre o motor · preço R$ 68,50/t · valores em t/mês; % = fração da licença de 8.000 m³ in situ)</t>
        </is>
      </c>
    </row>
    <row r="14">
      <c r="A14" s="21" t="inlineStr">
        <is>
          <t>Ano</t>
        </is>
      </c>
      <c r="B14" s="21" t="inlineStr">
        <is>
          <t>Serviço da dívida (R$)</t>
        </is>
      </c>
      <c r="C14" s="21" t="inlineStr">
        <is>
          <t>Mínimo (DSCR 1,0)</t>
        </is>
      </c>
      <c r="D14" s="21" t="inlineStr">
        <is>
          <t>Conforto (DSCR 1,2)</t>
        </is>
      </c>
      <c r="E14" s="21" t="inlineStr">
        <is>
          <t>Recomendado (DSCR 1,3)</t>
        </is>
      </c>
      <c r="F14" s="21" t="inlineStr">
        <is>
          <t>% licença (recom.)</t>
        </is>
      </c>
      <c r="G14" s="21" t="inlineStr">
        <is>
          <t>Plano atual (t/mês)</t>
        </is>
      </c>
    </row>
    <row r="15">
      <c r="A15" s="28" t="n">
        <v>1</v>
      </c>
      <c r="B15" s="14" t="n">
        <v>2513894.42723484</v>
      </c>
      <c r="C15" s="28" t="n">
        <v>8908</v>
      </c>
      <c r="D15" s="28" t="n">
        <v>9977</v>
      </c>
      <c r="E15" s="28" t="n">
        <v>10511</v>
      </c>
      <c r="F15" s="15" t="n">
        <v>0.478</v>
      </c>
      <c r="G15" s="28" t="n">
        <v>5250</v>
      </c>
    </row>
    <row r="16">
      <c r="A16" s="28" t="n">
        <v>2</v>
      </c>
      <c r="B16" s="14" t="n">
        <v>2513894.42723484</v>
      </c>
      <c r="C16" s="28" t="n">
        <v>9652</v>
      </c>
      <c r="D16" s="28" t="n">
        <v>10721</v>
      </c>
      <c r="E16" s="28" t="n">
        <v>11256</v>
      </c>
      <c r="F16" s="15" t="n">
        <v>0.512</v>
      </c>
      <c r="G16" s="28" t="n">
        <v>10500</v>
      </c>
    </row>
    <row r="17">
      <c r="A17" s="28" t="n">
        <v>3</v>
      </c>
      <c r="B17" s="14" t="n">
        <v>4538100.91723484</v>
      </c>
      <c r="C17" s="28" t="n">
        <v>14515</v>
      </c>
      <c r="D17" s="28" t="n">
        <v>16465</v>
      </c>
      <c r="E17" s="28" t="n">
        <v>17460</v>
      </c>
      <c r="F17" s="15" t="n">
        <v>0.794</v>
      </c>
      <c r="G17" s="28" t="n">
        <v>15000</v>
      </c>
    </row>
    <row r="18">
      <c r="A18" s="28" t="n">
        <v>4</v>
      </c>
      <c r="B18" s="14" t="n">
        <v>4328609.71496527</v>
      </c>
      <c r="C18" s="28" t="n">
        <v>14522</v>
      </c>
      <c r="D18" s="28" t="n">
        <v>16356</v>
      </c>
      <c r="E18" s="28" t="n">
        <v>17293</v>
      </c>
      <c r="F18" s="15" t="n">
        <v>0.7859999999999999</v>
      </c>
      <c r="G18" s="28" t="n">
        <v>18000</v>
      </c>
    </row>
    <row r="19">
      <c r="A19" s="28" t="n">
        <v>5</v>
      </c>
      <c r="B19" s="14" t="n">
        <v>4119118.5126957</v>
      </c>
      <c r="C19" s="28" t="n">
        <v>14088</v>
      </c>
      <c r="D19" s="28" t="n">
        <v>15812</v>
      </c>
      <c r="E19" s="28" t="n">
        <v>16704</v>
      </c>
      <c r="F19" s="15" t="n">
        <v>0.76</v>
      </c>
      <c r="G19" s="28" t="n">
        <v>18000</v>
      </c>
    </row>
    <row r="20">
      <c r="A20" s="28" t="n">
        <v>6</v>
      </c>
      <c r="B20" s="14" t="n">
        <v>3909627.31042613</v>
      </c>
      <c r="C20" s="28" t="n">
        <v>13653</v>
      </c>
      <c r="D20" s="28" t="n">
        <v>15274</v>
      </c>
      <c r="E20" s="28" t="n">
        <v>16114</v>
      </c>
      <c r="F20" s="15" t="n">
        <v>0.733</v>
      </c>
      <c r="G20" s="28" t="n">
        <v>18000</v>
      </c>
    </row>
    <row r="21">
      <c r="A21" s="28" t="n">
        <v>7</v>
      </c>
      <c r="B21" s="14" t="n">
        <v>3700136.10815656</v>
      </c>
      <c r="C21" s="28" t="n">
        <v>13219</v>
      </c>
      <c r="D21" s="28" t="n">
        <v>14753</v>
      </c>
      <c r="E21" s="28" t="n">
        <v>15524</v>
      </c>
      <c r="F21" s="15" t="n">
        <v>0.706</v>
      </c>
      <c r="G21" s="28" t="n">
        <v>18000</v>
      </c>
    </row>
    <row r="22">
      <c r="A22" s="28" t="n">
        <v>8</v>
      </c>
      <c r="B22" s="14" t="n">
        <v>3490644.90588699</v>
      </c>
      <c r="C22" s="28" t="n">
        <v>12785</v>
      </c>
      <c r="D22" s="28" t="n">
        <v>14232</v>
      </c>
      <c r="E22" s="28" t="n">
        <v>14956</v>
      </c>
      <c r="F22" s="15" t="n">
        <v>0.68</v>
      </c>
      <c r="G22" s="28" t="n">
        <v>18000</v>
      </c>
    </row>
    <row r="23">
      <c r="A23" s="28" t="n">
        <v>9</v>
      </c>
      <c r="B23" s="14" t="n">
        <v>3281153.70361742</v>
      </c>
      <c r="C23" s="28" t="n">
        <v>12350</v>
      </c>
      <c r="D23" s="28" t="n">
        <v>13711</v>
      </c>
      <c r="E23" s="28" t="n">
        <v>14391</v>
      </c>
      <c r="F23" s="15" t="n">
        <v>0.654</v>
      </c>
      <c r="G23" s="28" t="n">
        <v>18000</v>
      </c>
    </row>
    <row r="24">
      <c r="A24" s="28" t="n">
        <v>10</v>
      </c>
      <c r="B24" s="14" t="n">
        <v>3071662.50134785</v>
      </c>
      <c r="C24" s="28" t="n">
        <v>11916</v>
      </c>
      <c r="D24" s="28" t="n">
        <v>13190</v>
      </c>
      <c r="E24" s="28" t="n">
        <v>13826</v>
      </c>
      <c r="F24" s="15" t="n">
        <v>0.629</v>
      </c>
      <c r="G24" s="28" t="n">
        <v>18000</v>
      </c>
    </row>
    <row r="25">
      <c r="A25" s="28" t="n">
        <v>11</v>
      </c>
      <c r="B25" s="14" t="n">
        <v>2862171.29907828</v>
      </c>
      <c r="C25" s="28" t="n">
        <v>11482</v>
      </c>
      <c r="D25" s="28" t="n">
        <v>12668</v>
      </c>
      <c r="E25" s="28" t="n">
        <v>13262</v>
      </c>
      <c r="F25" s="15" t="n">
        <v>0.603</v>
      </c>
      <c r="G25" s="28" t="n">
        <v>18000</v>
      </c>
    </row>
    <row r="26">
      <c r="A26" s="28" t="n">
        <v>12</v>
      </c>
      <c r="B26" s="14" t="n">
        <v>2652680.09680871</v>
      </c>
      <c r="C26" s="28" t="n">
        <v>11047</v>
      </c>
      <c r="D26" s="28" t="n">
        <v>12147</v>
      </c>
      <c r="E26" s="28" t="n">
        <v>12697</v>
      </c>
      <c r="F26" s="15" t="n">
        <v>0.5770000000000001</v>
      </c>
      <c r="G26" s="28" t="n">
        <v>18000</v>
      </c>
    </row>
    <row r="27">
      <c r="A27" s="28" t="n">
        <v>13</v>
      </c>
      <c r="B27" s="14" t="n">
        <v>2443188.89453914</v>
      </c>
      <c r="C27" s="28" t="n">
        <v>10613</v>
      </c>
      <c r="D27" s="28" t="n">
        <v>11626</v>
      </c>
      <c r="E27" s="28" t="n">
        <v>12133</v>
      </c>
      <c r="F27" s="15" t="n">
        <v>0.552</v>
      </c>
      <c r="G27" s="28" t="n">
        <v>18000</v>
      </c>
    </row>
    <row r="28">
      <c r="A28" s="28" t="n">
        <v>14</v>
      </c>
      <c r="B28" s="14" t="n">
        <v>2233697.69226957</v>
      </c>
      <c r="C28" s="28" t="n">
        <v>10179</v>
      </c>
      <c r="D28" s="28" t="n">
        <v>11105</v>
      </c>
      <c r="E28" s="28" t="n">
        <v>11568</v>
      </c>
      <c r="F28" s="15" t="n">
        <v>0.526</v>
      </c>
      <c r="G28" s="28" t="n">
        <v>18000</v>
      </c>
    </row>
    <row r="29">
      <c r="A29" s="2" t="inlineStr">
        <is>
          <t>Leitura (taxa 10,3493%): ano 3 é o pico (recomendado 17.460 t/mês = 79% da licença); anos 1–2 (carência) o mínimo cobre só juros — gap de ~R$ 1,7 mi no usos e fontes. Cenário 95% da licença: comprometimento 42,0%, DSCR mín 1,64 (1,17 a preço −15%), máx financiável R$ 27,7 mi; contrapartida: reserva medida esgota no ano 7 — sondagem/RFP antes.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2026-08-05T00:07:15Z</dcterms:created>
  <dcterms:modified xsi:type="dcterms:W3CDTF">2026-08-05T00:07:15Z</dcterms:modified>
</cp:coreProperties>
</file>