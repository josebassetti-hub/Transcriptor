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Entradas" sheetId="2" state="visible" r:id="rId2"/>
    <sheet xmlns:r="http://schemas.openxmlformats.org/officeDocument/2006/relationships" name="Malha" sheetId="3" state="visible" r:id="rId3"/>
    <sheet xmlns:r="http://schemas.openxmlformats.org/officeDocument/2006/relationships" name="Result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&quot; km&quot;"/>
    <numFmt numFmtId="165" formatCode="#,##0&quot; m&quot;"/>
    <numFmt numFmtId="166" formatCode="0.000"/>
    <numFmt numFmtId="167" formatCode="0.0"/>
    <numFmt numFmtId="168" formatCode="#,##0&quot; m²&quot;"/>
    <numFmt numFmtId="169" formatCode="#,##0&quot; t&quot;"/>
  </numFmts>
  <fonts count="7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  <font>
      <b val="1"/>
      <color rgb="000000FF"/>
      <sz val="10"/>
    </font>
    <font>
      <b val="1"/>
      <color rgb="00FFFFFF"/>
      <sz val="10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EDF2F9"/>
      </patternFill>
    </fill>
    <fill>
      <patternFill patternType="solid">
        <fgColor rgb="00EAF1FF"/>
      </patternFill>
    </fill>
    <fill>
      <patternFill patternType="solid">
        <fgColor rgb="001F3B5C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164" fontId="4" fillId="3" borderId="0" pivotButton="0" quotePrefix="0" xfId="0"/>
    <xf numFmtId="0" fontId="5" fillId="4" borderId="0" pivotButton="0" quotePrefix="0" xfId="0"/>
    <xf numFmtId="165" fontId="4" fillId="3" borderId="0" pivotButton="0" quotePrefix="0" xfId="0"/>
    <xf numFmtId="1" fontId="4" fillId="3" borderId="0" pivotButton="0" quotePrefix="0" xfId="0"/>
    <xf numFmtId="9" fontId="4" fillId="3" borderId="0" pivotButton="0" quotePrefix="0" xfId="0"/>
    <xf numFmtId="0" fontId="6" fillId="0" borderId="0" applyAlignment="1" pivotButton="0" quotePrefix="0" xfId="0">
      <alignment vertical="top" wrapText="1"/>
    </xf>
    <xf numFmtId="0" fontId="4" fillId="3" borderId="0" pivotButton="0" quotePrefix="0" xfId="0"/>
    <xf numFmtId="166" fontId="2" fillId="0" borderId="0" pivotButton="0" quotePrefix="0" xfId="0"/>
    <xf numFmtId="165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1" fontId="3" fillId="0" borderId="0" pivotButton="0" quotePrefix="0" xfId="0"/>
    <xf numFmtId="164" fontId="2" fillId="0" borderId="0" pivotButton="0" quotePrefix="0" xfId="0"/>
    <xf numFmtId="164" fontId="3" fillId="5" borderId="0" pivotButton="0" quotePrefix="0" xfId="0"/>
    <xf numFmtId="168" fontId="3" fillId="5" borderId="0" pivotButton="0" quotePrefix="0" xfId="0"/>
    <xf numFmtId="168" fontId="3" fillId="0" borderId="0" pivotButton="0" quotePrefix="0" xfId="0"/>
    <xf numFmtId="9" fontId="2" fillId="0" borderId="0" pivotButton="0" quotePrefix="0" xfId="0"/>
    <xf numFmtId="2" fontId="4" fillId="3" borderId="0" pivotButton="0" quotePrefix="0" xfId="0"/>
    <xf numFmtId="169" fontId="3" fillId="0" borderId="0" pivotButton="0" quotePrefix="0" xfId="0"/>
    <xf numFmtId="169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LEVANTAMENTO DA MALHA VIÁRIA DE GURIRI — PROTOCOLO DE 17 MEDIÇÕES</t>
        </is>
      </c>
    </row>
    <row r="2" ht="58" customHeight="1">
      <c r="A2" s="2" t="inlineStr">
        <is>
          <t>Objetivo: medir a malha inteira do balneário (comprimento de cada rua e avenida, m² e o que falta pavimentar) SEM medir rua por rua. Como Guriri é uma grade regular numa ilha alongada, 17 medições no Google Maps determinam a malha toda; a planilha calcula o resto e confere os totais contra três âncoras independentes (contrato da Bacia 1, contagem oficial de logradouros e a estimativa atual do Estudo).</t>
        </is>
      </c>
    </row>
    <row r="4">
      <c r="A4" s="3" t="inlineStr">
        <is>
          <t>PASSO 1 — Extensão norte–sul (1 medição).</t>
        </is>
      </c>
    </row>
    <row r="5" ht="44" customHeight="1">
      <c r="A5" s="2" t="inlineStr">
        <is>
          <t>No Google Maps, clique com o botão direito no cruzamento mais ao NORTE da malha urbanizada (onde as ruas acabam) e escolha 'Medir distância'; estenda a linha pelo eixo da avenida principal até o cruzamento mais ao SUL. Anote em km na célula B5 da aba Entradas.</t>
        </is>
      </c>
    </row>
    <row r="7">
      <c r="A7" s="3" t="inlineStr">
        <is>
          <t>PASSO 2 — Largura leste–oeste em 5 estações (5 medições).</t>
        </is>
      </c>
    </row>
    <row r="8" ht="44" customHeight="1">
      <c r="A8" s="2" t="inlineStr">
        <is>
          <t>Divida mentalmente a ilha em 5 pontos: extremo norte, um quarto, centro (na altura da ponte/eixo comercial), três quartos e extremo sul. Em cada ponto, meça a rua transversal mais próxima, da beira-mar até onde a malha urbanizada termina (mangue/rio). Anote em METROS em B8:B12.</t>
        </is>
      </c>
    </row>
    <row r="10">
      <c r="A10" s="3" t="inlineStr">
        <is>
          <t>PASSO 3 — Quantas avenidas existem em cada estação (5 contagens).</t>
        </is>
      </c>
    </row>
    <row r="11" ht="44" customHeight="1">
      <c r="A11" s="2" t="inlineStr">
        <is>
          <t>Nas mesmas 5 alturas, conte no satélite quantas vias LONGITUDINAIS (paralelas à praia) existem — inclua a beira-mar. A ilha afina: no centro haverá mais avenidas que nas pontas. Anote em C8:C12.</t>
        </is>
      </c>
    </row>
    <row r="13">
      <c r="A13" s="3" t="inlineStr">
        <is>
          <t>PASSO 4 — Última rua numerada de cada lado (2 leituras).</t>
        </is>
      </c>
    </row>
    <row r="14" ht="44" customHeight="1">
      <c r="A14" s="2" t="inlineStr">
        <is>
          <t>As ruas transversais são numeradas a partir do centro. Navegue até o fim da malha ao NORTE e anote o número da última rua (ex.: Rua 31); repita ao SUL. Células B15 e B16.</t>
        </is>
      </c>
    </row>
    <row r="16">
      <c r="A16" s="3" t="inlineStr">
        <is>
          <t>PASSO 5 — Largura de caixa típica (4 medições).</t>
        </is>
      </c>
    </row>
    <row r="17" ht="44" customHeight="1">
      <c r="A17" s="2" t="inlineStr">
        <is>
          <t>Com a régua do Maps no satélite, meça a largura da via (meio-fio a meio-fio) de DUAS avenidas e DUAS ruas representativas. Anote em metros em B19:B22.</t>
        </is>
      </c>
    </row>
    <row r="19">
      <c r="A19" s="3" t="inlineStr">
        <is>
          <t>PASSO 6 — Status de pavimento por zona (inspeção visual, sem medir).</t>
        </is>
      </c>
    </row>
    <row r="20" ht="44" customHeight="1">
      <c r="A20" s="2" t="inlineStr">
        <is>
          <t>No satélite, via pavimentada aparece cinza-escuro (asfalto) ou cinza-claro uniforme (bloco); via de areia aparece bege/clara. Para cada uma das 5 zonas, estime o percentual pavimentado das AVENIDAS e das RUAS (0 a 100%) e preencha a grade D8:E12. Não precisa de precisão: use 0/25/50/75/100.</t>
        </is>
      </c>
    </row>
    <row r="22">
      <c r="A22" s="3" t="inlineStr">
        <is>
          <t>DICAS.</t>
        </is>
      </c>
    </row>
    <row r="23" ht="44" customHeight="1">
      <c r="A23" s="2" t="inlineStr">
        <is>
          <t>Faça tudo no modo satélite com o zoom em ~200 m. Se uma estação cair num trecho sem malha (dunas/mangue), use a rua urbanizada mais próxima. Os nomes oficiais têm duas numerações — bairros Guriri Norte e Guriri Sul — por isso o Passo 4 pede um número por lado.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60" customWidth="1" min="7" max="7"/>
  </cols>
  <sheetData>
    <row r="1">
      <c r="A1" s="4" t="inlineStr">
        <is>
          <t>ENTRADAS — preencha SOMENTE as células azuis (17 medições + grade de status)</t>
        </is>
      </c>
    </row>
    <row r="3">
      <c r="A3" s="5" t="inlineStr">
        <is>
          <t>PASSO 1 · EXTENSÃO DA MALHA</t>
        </is>
      </c>
    </row>
    <row r="5">
      <c r="A5" s="6" t="inlineStr">
        <is>
          <t>Extensão norte–sul da malha urbanizada (km)</t>
        </is>
      </c>
      <c r="B5" s="7" t="n"/>
    </row>
    <row r="7">
      <c r="A7" s="8" t="inlineStr">
        <is>
          <t>Estação</t>
        </is>
      </c>
      <c r="B7" s="8" t="inlineStr">
        <is>
          <t>Largura E–O (m)</t>
        </is>
      </c>
      <c r="C7" s="8" t="inlineStr">
        <is>
          <t>Nº de avenidas</t>
        </is>
      </c>
      <c r="D7" s="8" t="inlineStr">
        <is>
          <t>% avenidas pavimentadas</t>
        </is>
      </c>
      <c r="E7" s="8" t="inlineStr">
        <is>
          <t>% ruas pavimentadas</t>
        </is>
      </c>
    </row>
    <row r="8">
      <c r="A8" s="6" t="inlineStr">
        <is>
          <t>Extremo norte</t>
        </is>
      </c>
      <c r="B8" s="9" t="n"/>
      <c r="C8" s="10" t="n"/>
      <c r="D8" s="11" t="n"/>
      <c r="E8" s="11" t="n"/>
    </row>
    <row r="9">
      <c r="A9" s="6" t="inlineStr">
        <is>
          <t>Um quarto</t>
        </is>
      </c>
      <c r="B9" s="9" t="n"/>
      <c r="C9" s="10" t="n"/>
      <c r="D9" s="11" t="n"/>
      <c r="E9" s="11" t="n"/>
    </row>
    <row r="10">
      <c r="A10" s="6" t="inlineStr">
        <is>
          <t>Centro</t>
        </is>
      </c>
      <c r="B10" s="9" t="n"/>
      <c r="C10" s="10" t="n"/>
      <c r="D10" s="11" t="n"/>
      <c r="E10" s="11" t="n"/>
    </row>
    <row r="11">
      <c r="A11" s="6" t="inlineStr">
        <is>
          <t>Três quartos</t>
        </is>
      </c>
      <c r="B11" s="9" t="n"/>
      <c r="C11" s="10" t="n"/>
      <c r="D11" s="11" t="n"/>
      <c r="E11" s="11" t="n"/>
    </row>
    <row r="12">
      <c r="A12" s="6" t="inlineStr">
        <is>
          <t>Extremo sul</t>
        </is>
      </c>
      <c r="B12" s="9" t="n"/>
      <c r="C12" s="10" t="n"/>
      <c r="D12" s="11" t="n"/>
      <c r="E12" s="11" t="n"/>
    </row>
    <row r="14">
      <c r="A14" s="5" t="inlineStr">
        <is>
          <t>PASSO 4 · RUAS NUMERADAS</t>
        </is>
      </c>
    </row>
    <row r="15">
      <c r="A15" s="6" t="inlineStr">
        <is>
          <t>Número da última rua — lado NORTE (bairro Guriri Norte)</t>
        </is>
      </c>
      <c r="B15" s="10" t="n"/>
    </row>
    <row r="16">
      <c r="A16" s="6" t="inlineStr">
        <is>
          <t>Número da última rua — lado SUL (bairro Guriri Sul)</t>
        </is>
      </c>
      <c r="B16" s="10" t="n"/>
    </row>
    <row r="18">
      <c r="A18" s="5" t="inlineStr">
        <is>
          <t>PASSO 5 · CAIXA DAS VIAS</t>
        </is>
      </c>
    </row>
    <row r="19">
      <c r="A19" s="6" t="inlineStr">
        <is>
          <t>Largura da avenida A (m)</t>
        </is>
      </c>
      <c r="B19" s="9" t="n"/>
    </row>
    <row r="20">
      <c r="A20" s="6" t="inlineStr">
        <is>
          <t>Largura da avenida B (m)</t>
        </is>
      </c>
      <c r="B20" s="9" t="n"/>
    </row>
    <row r="21">
      <c r="A21" s="6" t="inlineStr">
        <is>
          <t>Largura da rua A (m)</t>
        </is>
      </c>
      <c r="B21" s="9" t="n"/>
    </row>
    <row r="22">
      <c r="A22" s="6" t="inlineStr">
        <is>
          <t>Largura da rua B (m)</t>
        </is>
      </c>
      <c r="B22" s="9" t="n"/>
    </row>
    <row r="24">
      <c r="A24" s="12" t="inlineStr">
        <is>
          <t>Total de medições azuis: 17 (B5, B8:B12, C8:C12, B15, B16, B19:B22) + grade de status D8:E12. Datas e observações:</t>
        </is>
      </c>
    </row>
    <row r="25">
      <c r="A25" s="6" t="inlineStr">
        <is>
          <t>Data do levantamento / observações</t>
        </is>
      </c>
      <c r="B25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5" customWidth="1" min="3" max="3"/>
    <col width="15" customWidth="1" min="4" max="4"/>
    <col width="14" customWidth="1" min="5" max="5"/>
    <col width="15" customWidth="1" min="6" max="6"/>
    <col width="3" customWidth="1" min="7" max="7"/>
    <col width="46" customWidth="1" min="8" max="8"/>
  </cols>
  <sheetData>
    <row r="1">
      <c r="A1" s="4" t="inlineStr">
        <is>
          <t>MALHA RUA A RUA — gerada pelas 17 medições (nada a preencher aqui)</t>
        </is>
      </c>
    </row>
    <row r="2" ht="44" customHeight="1">
      <c r="A2" s="12" t="inlineStr">
        <is>
          <t>Modelo declarado: as ruas transversais de cada lado espalham-se uniformemente entre o extremo e o centro; o comprimento de cada uma é a largura da ilha interpolada linearmente entre as 5 estações; cada avenida j existe nas zonas em que a contagem de avenidas é ≥ j, com comprimento = nº dessas zonas × (extensão ÷ 5).</t>
        </is>
      </c>
    </row>
    <row r="4">
      <c r="A4" s="8" t="inlineStr">
        <is>
          <t>Rua</t>
        </is>
      </c>
      <c r="B4" s="8" t="inlineStr">
        <is>
          <t>Posição (0=extremo N, 1=extremo S)</t>
        </is>
      </c>
      <c r="C4" s="8" t="inlineStr">
        <is>
          <t>Zona (1–5)</t>
        </is>
      </c>
      <c r="D4" s="8" t="inlineStr">
        <is>
          <t>Comprimento (m)</t>
        </is>
      </c>
      <c r="E4" s="8" t="inlineStr">
        <is>
          <t>Caixa (m)</t>
        </is>
      </c>
      <c r="F4" s="8" t="inlineStr">
        <is>
          <t>Área (m²)</t>
        </is>
      </c>
    </row>
    <row r="5">
      <c r="A5" s="6">
        <f>IF(1&lt;=Entradas!$B$15,"Rua 1 (N)","")</f>
        <v/>
      </c>
      <c r="B5" s="14">
        <f>IF(1&lt;=Entradas!$B$15,0.5-0.5*((1-0.5)/Entradas!$B$15),"")</f>
        <v/>
      </c>
      <c r="C5" s="6">
        <f>IF($B5="",0,MIN(5,INT($B5*5)+1))</f>
        <v/>
      </c>
      <c r="D5" s="15">
        <f>IF($B5="","",IF($B5&lt;=0.25,Entradas!$B$8+(Entradas!$B$9-Entradas!$B$8)*($B5/0.25),IF($B5&lt;=0.5,Entradas!$B$9+(Entradas!$B$10-Entradas!$B$9)*(($B5-0.25)/0.25),IF($B5&lt;=0.75,Entradas!$B$10+(Entradas!$B$11-Entradas!$B$10)*(($B5-0.5)/0.25),Entradas!$B$11+(Entradas!$B$12-Entradas!$B$11)*(($B5-0.75)/0.25)))))</f>
        <v/>
      </c>
      <c r="E5" s="16">
        <f>IF($B5="","",AVERAGE(Entradas!$B$21:$B$22))</f>
        <v/>
      </c>
      <c r="F5" s="17">
        <f>IF($B5="",0,$D5*$E5)</f>
        <v/>
      </c>
    </row>
    <row r="6">
      <c r="A6" s="6">
        <f>IF(2&lt;=Entradas!$B$15,"Rua 2 (N)","")</f>
        <v/>
      </c>
      <c r="B6" s="14">
        <f>IF(2&lt;=Entradas!$B$15,0.5-0.5*((2-0.5)/Entradas!$B$15),"")</f>
        <v/>
      </c>
      <c r="C6" s="6">
        <f>IF($B6="",0,MIN(5,INT($B6*5)+1))</f>
        <v/>
      </c>
      <c r="D6" s="15">
        <f>IF($B6="","",IF($B6&lt;=0.25,Entradas!$B$8+(Entradas!$B$9-Entradas!$B$8)*($B6/0.25),IF($B6&lt;=0.5,Entradas!$B$9+(Entradas!$B$10-Entradas!$B$9)*(($B6-0.25)/0.25),IF($B6&lt;=0.75,Entradas!$B$10+(Entradas!$B$11-Entradas!$B$10)*(($B6-0.5)/0.25),Entradas!$B$11+(Entradas!$B$12-Entradas!$B$11)*(($B6-0.75)/0.25)))))</f>
        <v/>
      </c>
      <c r="E6" s="16">
        <f>IF($B6="","",AVERAGE(Entradas!$B$21:$B$22))</f>
        <v/>
      </c>
      <c r="F6" s="17">
        <f>IF($B6="",0,$D6*$E6)</f>
        <v/>
      </c>
    </row>
    <row r="7">
      <c r="A7" s="6">
        <f>IF(3&lt;=Entradas!$B$15,"Rua 3 (N)","")</f>
        <v/>
      </c>
      <c r="B7" s="14">
        <f>IF(3&lt;=Entradas!$B$15,0.5-0.5*((3-0.5)/Entradas!$B$15),"")</f>
        <v/>
      </c>
      <c r="C7" s="6">
        <f>IF($B7="",0,MIN(5,INT($B7*5)+1))</f>
        <v/>
      </c>
      <c r="D7" s="15">
        <f>IF($B7="","",IF($B7&lt;=0.25,Entradas!$B$8+(Entradas!$B$9-Entradas!$B$8)*($B7/0.25),IF($B7&lt;=0.5,Entradas!$B$9+(Entradas!$B$10-Entradas!$B$9)*(($B7-0.25)/0.25),IF($B7&lt;=0.75,Entradas!$B$10+(Entradas!$B$11-Entradas!$B$10)*(($B7-0.5)/0.25),Entradas!$B$11+(Entradas!$B$12-Entradas!$B$11)*(($B7-0.75)/0.25)))))</f>
        <v/>
      </c>
      <c r="E7" s="16">
        <f>IF($B7="","",AVERAGE(Entradas!$B$21:$B$22))</f>
        <v/>
      </c>
      <c r="F7" s="17">
        <f>IF($B7="",0,$D7*$E7)</f>
        <v/>
      </c>
    </row>
    <row r="8">
      <c r="A8" s="6">
        <f>IF(4&lt;=Entradas!$B$15,"Rua 4 (N)","")</f>
        <v/>
      </c>
      <c r="B8" s="14">
        <f>IF(4&lt;=Entradas!$B$15,0.5-0.5*((4-0.5)/Entradas!$B$15),"")</f>
        <v/>
      </c>
      <c r="C8" s="6">
        <f>IF($B8="",0,MIN(5,INT($B8*5)+1))</f>
        <v/>
      </c>
      <c r="D8" s="15">
        <f>IF($B8="","",IF($B8&lt;=0.25,Entradas!$B$8+(Entradas!$B$9-Entradas!$B$8)*($B8/0.25),IF($B8&lt;=0.5,Entradas!$B$9+(Entradas!$B$10-Entradas!$B$9)*(($B8-0.25)/0.25),IF($B8&lt;=0.75,Entradas!$B$10+(Entradas!$B$11-Entradas!$B$10)*(($B8-0.5)/0.25),Entradas!$B$11+(Entradas!$B$12-Entradas!$B$11)*(($B8-0.75)/0.25)))))</f>
        <v/>
      </c>
      <c r="E8" s="16">
        <f>IF($B8="","",AVERAGE(Entradas!$B$21:$B$22))</f>
        <v/>
      </c>
      <c r="F8" s="17">
        <f>IF($B8="",0,$D8*$E8)</f>
        <v/>
      </c>
    </row>
    <row r="9">
      <c r="A9" s="6">
        <f>IF(5&lt;=Entradas!$B$15,"Rua 5 (N)","")</f>
        <v/>
      </c>
      <c r="B9" s="14">
        <f>IF(5&lt;=Entradas!$B$15,0.5-0.5*((5-0.5)/Entradas!$B$15),"")</f>
        <v/>
      </c>
      <c r="C9" s="6">
        <f>IF($B9="",0,MIN(5,INT($B9*5)+1))</f>
        <v/>
      </c>
      <c r="D9" s="15">
        <f>IF($B9="","",IF($B9&lt;=0.25,Entradas!$B$8+(Entradas!$B$9-Entradas!$B$8)*($B9/0.25),IF($B9&lt;=0.5,Entradas!$B$9+(Entradas!$B$10-Entradas!$B$9)*(($B9-0.25)/0.25),IF($B9&lt;=0.75,Entradas!$B$10+(Entradas!$B$11-Entradas!$B$10)*(($B9-0.5)/0.25),Entradas!$B$11+(Entradas!$B$12-Entradas!$B$11)*(($B9-0.75)/0.25)))))</f>
        <v/>
      </c>
      <c r="E9" s="16">
        <f>IF($B9="","",AVERAGE(Entradas!$B$21:$B$22))</f>
        <v/>
      </c>
      <c r="F9" s="17">
        <f>IF($B9="",0,$D9*$E9)</f>
        <v/>
      </c>
    </row>
    <row r="10">
      <c r="A10" s="6">
        <f>IF(6&lt;=Entradas!$B$15,"Rua 6 (N)","")</f>
        <v/>
      </c>
      <c r="B10" s="14">
        <f>IF(6&lt;=Entradas!$B$15,0.5-0.5*((6-0.5)/Entradas!$B$15),"")</f>
        <v/>
      </c>
      <c r="C10" s="6">
        <f>IF($B10="",0,MIN(5,INT($B10*5)+1))</f>
        <v/>
      </c>
      <c r="D10" s="15">
        <f>IF($B10="","",IF($B10&lt;=0.25,Entradas!$B$8+(Entradas!$B$9-Entradas!$B$8)*($B10/0.25),IF($B10&lt;=0.5,Entradas!$B$9+(Entradas!$B$10-Entradas!$B$9)*(($B10-0.25)/0.25),IF($B10&lt;=0.75,Entradas!$B$10+(Entradas!$B$11-Entradas!$B$10)*(($B10-0.5)/0.25),Entradas!$B$11+(Entradas!$B$12-Entradas!$B$11)*(($B10-0.75)/0.25)))))</f>
        <v/>
      </c>
      <c r="E10" s="16">
        <f>IF($B10="","",AVERAGE(Entradas!$B$21:$B$22))</f>
        <v/>
      </c>
      <c r="F10" s="17">
        <f>IF($B10="",0,$D10*$E10)</f>
        <v/>
      </c>
    </row>
    <row r="11">
      <c r="A11" s="6">
        <f>IF(7&lt;=Entradas!$B$15,"Rua 7 (N)","")</f>
        <v/>
      </c>
      <c r="B11" s="14">
        <f>IF(7&lt;=Entradas!$B$15,0.5-0.5*((7-0.5)/Entradas!$B$15),"")</f>
        <v/>
      </c>
      <c r="C11" s="6">
        <f>IF($B11="",0,MIN(5,INT($B11*5)+1))</f>
        <v/>
      </c>
      <c r="D11" s="15">
        <f>IF($B11="","",IF($B11&lt;=0.25,Entradas!$B$8+(Entradas!$B$9-Entradas!$B$8)*($B11/0.25),IF($B11&lt;=0.5,Entradas!$B$9+(Entradas!$B$10-Entradas!$B$9)*(($B11-0.25)/0.25),IF($B11&lt;=0.75,Entradas!$B$10+(Entradas!$B$11-Entradas!$B$10)*(($B11-0.5)/0.25),Entradas!$B$11+(Entradas!$B$12-Entradas!$B$11)*(($B11-0.75)/0.25)))))</f>
        <v/>
      </c>
      <c r="E11" s="16">
        <f>IF($B11="","",AVERAGE(Entradas!$B$21:$B$22))</f>
        <v/>
      </c>
      <c r="F11" s="17">
        <f>IF($B11="",0,$D11*$E11)</f>
        <v/>
      </c>
    </row>
    <row r="12">
      <c r="A12" s="6">
        <f>IF(8&lt;=Entradas!$B$15,"Rua 8 (N)","")</f>
        <v/>
      </c>
      <c r="B12" s="14">
        <f>IF(8&lt;=Entradas!$B$15,0.5-0.5*((8-0.5)/Entradas!$B$15),"")</f>
        <v/>
      </c>
      <c r="C12" s="6">
        <f>IF($B12="",0,MIN(5,INT($B12*5)+1))</f>
        <v/>
      </c>
      <c r="D12" s="15">
        <f>IF($B12="","",IF($B12&lt;=0.25,Entradas!$B$8+(Entradas!$B$9-Entradas!$B$8)*($B12/0.25),IF($B12&lt;=0.5,Entradas!$B$9+(Entradas!$B$10-Entradas!$B$9)*(($B12-0.25)/0.25),IF($B12&lt;=0.75,Entradas!$B$10+(Entradas!$B$11-Entradas!$B$10)*(($B12-0.5)/0.25),Entradas!$B$11+(Entradas!$B$12-Entradas!$B$11)*(($B12-0.75)/0.25)))))</f>
        <v/>
      </c>
      <c r="E12" s="16">
        <f>IF($B12="","",AVERAGE(Entradas!$B$21:$B$22))</f>
        <v/>
      </c>
      <c r="F12" s="17">
        <f>IF($B12="",0,$D12*$E12)</f>
        <v/>
      </c>
    </row>
    <row r="13">
      <c r="A13" s="6">
        <f>IF(9&lt;=Entradas!$B$15,"Rua 9 (N)","")</f>
        <v/>
      </c>
      <c r="B13" s="14">
        <f>IF(9&lt;=Entradas!$B$15,0.5-0.5*((9-0.5)/Entradas!$B$15),"")</f>
        <v/>
      </c>
      <c r="C13" s="6">
        <f>IF($B13="",0,MIN(5,INT($B13*5)+1))</f>
        <v/>
      </c>
      <c r="D13" s="15">
        <f>IF($B13="","",IF($B13&lt;=0.25,Entradas!$B$8+(Entradas!$B$9-Entradas!$B$8)*($B13/0.25),IF($B13&lt;=0.5,Entradas!$B$9+(Entradas!$B$10-Entradas!$B$9)*(($B13-0.25)/0.25),IF($B13&lt;=0.75,Entradas!$B$10+(Entradas!$B$11-Entradas!$B$10)*(($B13-0.5)/0.25),Entradas!$B$11+(Entradas!$B$12-Entradas!$B$11)*(($B13-0.75)/0.25)))))</f>
        <v/>
      </c>
      <c r="E13" s="16">
        <f>IF($B13="","",AVERAGE(Entradas!$B$21:$B$22))</f>
        <v/>
      </c>
      <c r="F13" s="17">
        <f>IF($B13="",0,$D13*$E13)</f>
        <v/>
      </c>
    </row>
    <row r="14">
      <c r="A14" s="6">
        <f>IF(10&lt;=Entradas!$B$15,"Rua 10 (N)","")</f>
        <v/>
      </c>
      <c r="B14" s="14">
        <f>IF(10&lt;=Entradas!$B$15,0.5-0.5*((10-0.5)/Entradas!$B$15),"")</f>
        <v/>
      </c>
      <c r="C14" s="6">
        <f>IF($B14="",0,MIN(5,INT($B14*5)+1))</f>
        <v/>
      </c>
      <c r="D14" s="15">
        <f>IF($B14="","",IF($B14&lt;=0.25,Entradas!$B$8+(Entradas!$B$9-Entradas!$B$8)*($B14/0.25),IF($B14&lt;=0.5,Entradas!$B$9+(Entradas!$B$10-Entradas!$B$9)*(($B14-0.25)/0.25),IF($B14&lt;=0.75,Entradas!$B$10+(Entradas!$B$11-Entradas!$B$10)*(($B14-0.5)/0.25),Entradas!$B$11+(Entradas!$B$12-Entradas!$B$11)*(($B14-0.75)/0.25)))))</f>
        <v/>
      </c>
      <c r="E14" s="16">
        <f>IF($B14="","",AVERAGE(Entradas!$B$21:$B$22))</f>
        <v/>
      </c>
      <c r="F14" s="17">
        <f>IF($B14="",0,$D14*$E14)</f>
        <v/>
      </c>
    </row>
    <row r="15">
      <c r="A15" s="6">
        <f>IF(11&lt;=Entradas!$B$15,"Rua 11 (N)","")</f>
        <v/>
      </c>
      <c r="B15" s="14">
        <f>IF(11&lt;=Entradas!$B$15,0.5-0.5*((11-0.5)/Entradas!$B$15),"")</f>
        <v/>
      </c>
      <c r="C15" s="6">
        <f>IF($B15="",0,MIN(5,INT($B15*5)+1))</f>
        <v/>
      </c>
      <c r="D15" s="15">
        <f>IF($B15="","",IF($B15&lt;=0.25,Entradas!$B$8+(Entradas!$B$9-Entradas!$B$8)*($B15/0.25),IF($B15&lt;=0.5,Entradas!$B$9+(Entradas!$B$10-Entradas!$B$9)*(($B15-0.25)/0.25),IF($B15&lt;=0.75,Entradas!$B$10+(Entradas!$B$11-Entradas!$B$10)*(($B15-0.5)/0.25),Entradas!$B$11+(Entradas!$B$12-Entradas!$B$11)*(($B15-0.75)/0.25)))))</f>
        <v/>
      </c>
      <c r="E15" s="16">
        <f>IF($B15="","",AVERAGE(Entradas!$B$21:$B$22))</f>
        <v/>
      </c>
      <c r="F15" s="17">
        <f>IF($B15="",0,$D15*$E15)</f>
        <v/>
      </c>
    </row>
    <row r="16">
      <c r="A16" s="6">
        <f>IF(12&lt;=Entradas!$B$15,"Rua 12 (N)","")</f>
        <v/>
      </c>
      <c r="B16" s="14">
        <f>IF(12&lt;=Entradas!$B$15,0.5-0.5*((12-0.5)/Entradas!$B$15),"")</f>
        <v/>
      </c>
      <c r="C16" s="6">
        <f>IF($B16="",0,MIN(5,INT($B16*5)+1))</f>
        <v/>
      </c>
      <c r="D16" s="15">
        <f>IF($B16="","",IF($B16&lt;=0.25,Entradas!$B$8+(Entradas!$B$9-Entradas!$B$8)*($B16/0.25),IF($B16&lt;=0.5,Entradas!$B$9+(Entradas!$B$10-Entradas!$B$9)*(($B16-0.25)/0.25),IF($B16&lt;=0.75,Entradas!$B$10+(Entradas!$B$11-Entradas!$B$10)*(($B16-0.5)/0.25),Entradas!$B$11+(Entradas!$B$12-Entradas!$B$11)*(($B16-0.75)/0.25)))))</f>
        <v/>
      </c>
      <c r="E16" s="16">
        <f>IF($B16="","",AVERAGE(Entradas!$B$21:$B$22))</f>
        <v/>
      </c>
      <c r="F16" s="17">
        <f>IF($B16="",0,$D16*$E16)</f>
        <v/>
      </c>
    </row>
    <row r="17">
      <c r="A17" s="6">
        <f>IF(13&lt;=Entradas!$B$15,"Rua 13 (N)","")</f>
        <v/>
      </c>
      <c r="B17" s="14">
        <f>IF(13&lt;=Entradas!$B$15,0.5-0.5*((13-0.5)/Entradas!$B$15),"")</f>
        <v/>
      </c>
      <c r="C17" s="6">
        <f>IF($B17="",0,MIN(5,INT($B17*5)+1))</f>
        <v/>
      </c>
      <c r="D17" s="15">
        <f>IF($B17="","",IF($B17&lt;=0.25,Entradas!$B$8+(Entradas!$B$9-Entradas!$B$8)*($B17/0.25),IF($B17&lt;=0.5,Entradas!$B$9+(Entradas!$B$10-Entradas!$B$9)*(($B17-0.25)/0.25),IF($B17&lt;=0.75,Entradas!$B$10+(Entradas!$B$11-Entradas!$B$10)*(($B17-0.5)/0.25),Entradas!$B$11+(Entradas!$B$12-Entradas!$B$11)*(($B17-0.75)/0.25)))))</f>
        <v/>
      </c>
      <c r="E17" s="16">
        <f>IF($B17="","",AVERAGE(Entradas!$B$21:$B$22))</f>
        <v/>
      </c>
      <c r="F17" s="17">
        <f>IF($B17="",0,$D17*$E17)</f>
        <v/>
      </c>
    </row>
    <row r="18">
      <c r="A18" s="6">
        <f>IF(14&lt;=Entradas!$B$15,"Rua 14 (N)","")</f>
        <v/>
      </c>
      <c r="B18" s="14">
        <f>IF(14&lt;=Entradas!$B$15,0.5-0.5*((14-0.5)/Entradas!$B$15),"")</f>
        <v/>
      </c>
      <c r="C18" s="6">
        <f>IF($B18="",0,MIN(5,INT($B18*5)+1))</f>
        <v/>
      </c>
      <c r="D18" s="15">
        <f>IF($B18="","",IF($B18&lt;=0.25,Entradas!$B$8+(Entradas!$B$9-Entradas!$B$8)*($B18/0.25),IF($B18&lt;=0.5,Entradas!$B$9+(Entradas!$B$10-Entradas!$B$9)*(($B18-0.25)/0.25),IF($B18&lt;=0.75,Entradas!$B$10+(Entradas!$B$11-Entradas!$B$10)*(($B18-0.5)/0.25),Entradas!$B$11+(Entradas!$B$12-Entradas!$B$11)*(($B18-0.75)/0.25)))))</f>
        <v/>
      </c>
      <c r="E18" s="16">
        <f>IF($B18="","",AVERAGE(Entradas!$B$21:$B$22))</f>
        <v/>
      </c>
      <c r="F18" s="17">
        <f>IF($B18="",0,$D18*$E18)</f>
        <v/>
      </c>
    </row>
    <row r="19">
      <c r="A19" s="6">
        <f>IF(15&lt;=Entradas!$B$15,"Rua 15 (N)","")</f>
        <v/>
      </c>
      <c r="B19" s="14">
        <f>IF(15&lt;=Entradas!$B$15,0.5-0.5*((15-0.5)/Entradas!$B$15),"")</f>
        <v/>
      </c>
      <c r="C19" s="6">
        <f>IF($B19="",0,MIN(5,INT($B19*5)+1))</f>
        <v/>
      </c>
      <c r="D19" s="15">
        <f>IF($B19="","",IF($B19&lt;=0.25,Entradas!$B$8+(Entradas!$B$9-Entradas!$B$8)*($B19/0.25),IF($B19&lt;=0.5,Entradas!$B$9+(Entradas!$B$10-Entradas!$B$9)*(($B19-0.25)/0.25),IF($B19&lt;=0.75,Entradas!$B$10+(Entradas!$B$11-Entradas!$B$10)*(($B19-0.5)/0.25),Entradas!$B$11+(Entradas!$B$12-Entradas!$B$11)*(($B19-0.75)/0.25)))))</f>
        <v/>
      </c>
      <c r="E19" s="16">
        <f>IF($B19="","",AVERAGE(Entradas!$B$21:$B$22))</f>
        <v/>
      </c>
      <c r="F19" s="17">
        <f>IF($B19="",0,$D19*$E19)</f>
        <v/>
      </c>
    </row>
    <row r="20">
      <c r="A20" s="6">
        <f>IF(16&lt;=Entradas!$B$15,"Rua 16 (N)","")</f>
        <v/>
      </c>
      <c r="B20" s="14">
        <f>IF(16&lt;=Entradas!$B$15,0.5-0.5*((16-0.5)/Entradas!$B$15),"")</f>
        <v/>
      </c>
      <c r="C20" s="6">
        <f>IF($B20="",0,MIN(5,INT($B20*5)+1))</f>
        <v/>
      </c>
      <c r="D20" s="15">
        <f>IF($B20="","",IF($B20&lt;=0.25,Entradas!$B$8+(Entradas!$B$9-Entradas!$B$8)*($B20/0.25),IF($B20&lt;=0.5,Entradas!$B$9+(Entradas!$B$10-Entradas!$B$9)*(($B20-0.25)/0.25),IF($B20&lt;=0.75,Entradas!$B$10+(Entradas!$B$11-Entradas!$B$10)*(($B20-0.5)/0.25),Entradas!$B$11+(Entradas!$B$12-Entradas!$B$11)*(($B20-0.75)/0.25)))))</f>
        <v/>
      </c>
      <c r="E20" s="16">
        <f>IF($B20="","",AVERAGE(Entradas!$B$21:$B$22))</f>
        <v/>
      </c>
      <c r="F20" s="17">
        <f>IF($B20="",0,$D20*$E20)</f>
        <v/>
      </c>
    </row>
    <row r="21">
      <c r="A21" s="6">
        <f>IF(17&lt;=Entradas!$B$15,"Rua 17 (N)","")</f>
        <v/>
      </c>
      <c r="B21" s="14">
        <f>IF(17&lt;=Entradas!$B$15,0.5-0.5*((17-0.5)/Entradas!$B$15),"")</f>
        <v/>
      </c>
      <c r="C21" s="6">
        <f>IF($B21="",0,MIN(5,INT($B21*5)+1))</f>
        <v/>
      </c>
      <c r="D21" s="15">
        <f>IF($B21="","",IF($B21&lt;=0.25,Entradas!$B$8+(Entradas!$B$9-Entradas!$B$8)*($B21/0.25),IF($B21&lt;=0.5,Entradas!$B$9+(Entradas!$B$10-Entradas!$B$9)*(($B21-0.25)/0.25),IF($B21&lt;=0.75,Entradas!$B$10+(Entradas!$B$11-Entradas!$B$10)*(($B21-0.5)/0.25),Entradas!$B$11+(Entradas!$B$12-Entradas!$B$11)*(($B21-0.75)/0.25)))))</f>
        <v/>
      </c>
      <c r="E21" s="16">
        <f>IF($B21="","",AVERAGE(Entradas!$B$21:$B$22))</f>
        <v/>
      </c>
      <c r="F21" s="17">
        <f>IF($B21="",0,$D21*$E21)</f>
        <v/>
      </c>
    </row>
    <row r="22">
      <c r="A22" s="6">
        <f>IF(18&lt;=Entradas!$B$15,"Rua 18 (N)","")</f>
        <v/>
      </c>
      <c r="B22" s="14">
        <f>IF(18&lt;=Entradas!$B$15,0.5-0.5*((18-0.5)/Entradas!$B$15),"")</f>
        <v/>
      </c>
      <c r="C22" s="6">
        <f>IF($B22="",0,MIN(5,INT($B22*5)+1))</f>
        <v/>
      </c>
      <c r="D22" s="15">
        <f>IF($B22="","",IF($B22&lt;=0.25,Entradas!$B$8+(Entradas!$B$9-Entradas!$B$8)*($B22/0.25),IF($B22&lt;=0.5,Entradas!$B$9+(Entradas!$B$10-Entradas!$B$9)*(($B22-0.25)/0.25),IF($B22&lt;=0.75,Entradas!$B$10+(Entradas!$B$11-Entradas!$B$10)*(($B22-0.5)/0.25),Entradas!$B$11+(Entradas!$B$12-Entradas!$B$11)*(($B22-0.75)/0.25)))))</f>
        <v/>
      </c>
      <c r="E22" s="16">
        <f>IF($B22="","",AVERAGE(Entradas!$B$21:$B$22))</f>
        <v/>
      </c>
      <c r="F22" s="17">
        <f>IF($B22="",0,$D22*$E22)</f>
        <v/>
      </c>
    </row>
    <row r="23">
      <c r="A23" s="6">
        <f>IF(19&lt;=Entradas!$B$15,"Rua 19 (N)","")</f>
        <v/>
      </c>
      <c r="B23" s="14">
        <f>IF(19&lt;=Entradas!$B$15,0.5-0.5*((19-0.5)/Entradas!$B$15),"")</f>
        <v/>
      </c>
      <c r="C23" s="6">
        <f>IF($B23="",0,MIN(5,INT($B23*5)+1))</f>
        <v/>
      </c>
      <c r="D23" s="15">
        <f>IF($B23="","",IF($B23&lt;=0.25,Entradas!$B$8+(Entradas!$B$9-Entradas!$B$8)*($B23/0.25),IF($B23&lt;=0.5,Entradas!$B$9+(Entradas!$B$10-Entradas!$B$9)*(($B23-0.25)/0.25),IF($B23&lt;=0.75,Entradas!$B$10+(Entradas!$B$11-Entradas!$B$10)*(($B23-0.5)/0.25),Entradas!$B$11+(Entradas!$B$12-Entradas!$B$11)*(($B23-0.75)/0.25)))))</f>
        <v/>
      </c>
      <c r="E23" s="16">
        <f>IF($B23="","",AVERAGE(Entradas!$B$21:$B$22))</f>
        <v/>
      </c>
      <c r="F23" s="17">
        <f>IF($B23="",0,$D23*$E23)</f>
        <v/>
      </c>
    </row>
    <row r="24">
      <c r="A24" s="6">
        <f>IF(20&lt;=Entradas!$B$15,"Rua 20 (N)","")</f>
        <v/>
      </c>
      <c r="B24" s="14">
        <f>IF(20&lt;=Entradas!$B$15,0.5-0.5*((20-0.5)/Entradas!$B$15),"")</f>
        <v/>
      </c>
      <c r="C24" s="6">
        <f>IF($B24="",0,MIN(5,INT($B24*5)+1))</f>
        <v/>
      </c>
      <c r="D24" s="15">
        <f>IF($B24="","",IF($B24&lt;=0.25,Entradas!$B$8+(Entradas!$B$9-Entradas!$B$8)*($B24/0.25),IF($B24&lt;=0.5,Entradas!$B$9+(Entradas!$B$10-Entradas!$B$9)*(($B24-0.25)/0.25),IF($B24&lt;=0.75,Entradas!$B$10+(Entradas!$B$11-Entradas!$B$10)*(($B24-0.5)/0.25),Entradas!$B$11+(Entradas!$B$12-Entradas!$B$11)*(($B24-0.75)/0.25)))))</f>
        <v/>
      </c>
      <c r="E24" s="16">
        <f>IF($B24="","",AVERAGE(Entradas!$B$21:$B$22))</f>
        <v/>
      </c>
      <c r="F24" s="17">
        <f>IF($B24="",0,$D24*$E24)</f>
        <v/>
      </c>
    </row>
    <row r="25">
      <c r="A25" s="6">
        <f>IF(21&lt;=Entradas!$B$15,"Rua 21 (N)","")</f>
        <v/>
      </c>
      <c r="B25" s="14">
        <f>IF(21&lt;=Entradas!$B$15,0.5-0.5*((21-0.5)/Entradas!$B$15),"")</f>
        <v/>
      </c>
      <c r="C25" s="6">
        <f>IF($B25="",0,MIN(5,INT($B25*5)+1))</f>
        <v/>
      </c>
      <c r="D25" s="15">
        <f>IF($B25="","",IF($B25&lt;=0.25,Entradas!$B$8+(Entradas!$B$9-Entradas!$B$8)*($B25/0.25),IF($B25&lt;=0.5,Entradas!$B$9+(Entradas!$B$10-Entradas!$B$9)*(($B25-0.25)/0.25),IF($B25&lt;=0.75,Entradas!$B$10+(Entradas!$B$11-Entradas!$B$10)*(($B25-0.5)/0.25),Entradas!$B$11+(Entradas!$B$12-Entradas!$B$11)*(($B25-0.75)/0.25)))))</f>
        <v/>
      </c>
      <c r="E25" s="16">
        <f>IF($B25="","",AVERAGE(Entradas!$B$21:$B$22))</f>
        <v/>
      </c>
      <c r="F25" s="17">
        <f>IF($B25="",0,$D25*$E25)</f>
        <v/>
      </c>
    </row>
    <row r="26">
      <c r="A26" s="6">
        <f>IF(22&lt;=Entradas!$B$15,"Rua 22 (N)","")</f>
        <v/>
      </c>
      <c r="B26" s="14">
        <f>IF(22&lt;=Entradas!$B$15,0.5-0.5*((22-0.5)/Entradas!$B$15),"")</f>
        <v/>
      </c>
      <c r="C26" s="6">
        <f>IF($B26="",0,MIN(5,INT($B26*5)+1))</f>
        <v/>
      </c>
      <c r="D26" s="15">
        <f>IF($B26="","",IF($B26&lt;=0.25,Entradas!$B$8+(Entradas!$B$9-Entradas!$B$8)*($B26/0.25),IF($B26&lt;=0.5,Entradas!$B$9+(Entradas!$B$10-Entradas!$B$9)*(($B26-0.25)/0.25),IF($B26&lt;=0.75,Entradas!$B$10+(Entradas!$B$11-Entradas!$B$10)*(($B26-0.5)/0.25),Entradas!$B$11+(Entradas!$B$12-Entradas!$B$11)*(($B26-0.75)/0.25)))))</f>
        <v/>
      </c>
      <c r="E26" s="16">
        <f>IF($B26="","",AVERAGE(Entradas!$B$21:$B$22))</f>
        <v/>
      </c>
      <c r="F26" s="17">
        <f>IF($B26="",0,$D26*$E26)</f>
        <v/>
      </c>
    </row>
    <row r="27">
      <c r="A27" s="6">
        <f>IF(23&lt;=Entradas!$B$15,"Rua 23 (N)","")</f>
        <v/>
      </c>
      <c r="B27" s="14">
        <f>IF(23&lt;=Entradas!$B$15,0.5-0.5*((23-0.5)/Entradas!$B$15),"")</f>
        <v/>
      </c>
      <c r="C27" s="6">
        <f>IF($B27="",0,MIN(5,INT($B27*5)+1))</f>
        <v/>
      </c>
      <c r="D27" s="15">
        <f>IF($B27="","",IF($B27&lt;=0.25,Entradas!$B$8+(Entradas!$B$9-Entradas!$B$8)*($B27/0.25),IF($B27&lt;=0.5,Entradas!$B$9+(Entradas!$B$10-Entradas!$B$9)*(($B27-0.25)/0.25),IF($B27&lt;=0.75,Entradas!$B$10+(Entradas!$B$11-Entradas!$B$10)*(($B27-0.5)/0.25),Entradas!$B$11+(Entradas!$B$12-Entradas!$B$11)*(($B27-0.75)/0.25)))))</f>
        <v/>
      </c>
      <c r="E27" s="16">
        <f>IF($B27="","",AVERAGE(Entradas!$B$21:$B$22))</f>
        <v/>
      </c>
      <c r="F27" s="17">
        <f>IF($B27="",0,$D27*$E27)</f>
        <v/>
      </c>
    </row>
    <row r="28">
      <c r="A28" s="6">
        <f>IF(24&lt;=Entradas!$B$15,"Rua 24 (N)","")</f>
        <v/>
      </c>
      <c r="B28" s="14">
        <f>IF(24&lt;=Entradas!$B$15,0.5-0.5*((24-0.5)/Entradas!$B$15),"")</f>
        <v/>
      </c>
      <c r="C28" s="6">
        <f>IF($B28="",0,MIN(5,INT($B28*5)+1))</f>
        <v/>
      </c>
      <c r="D28" s="15">
        <f>IF($B28="","",IF($B28&lt;=0.25,Entradas!$B$8+(Entradas!$B$9-Entradas!$B$8)*($B28/0.25),IF($B28&lt;=0.5,Entradas!$B$9+(Entradas!$B$10-Entradas!$B$9)*(($B28-0.25)/0.25),IF($B28&lt;=0.75,Entradas!$B$10+(Entradas!$B$11-Entradas!$B$10)*(($B28-0.5)/0.25),Entradas!$B$11+(Entradas!$B$12-Entradas!$B$11)*(($B28-0.75)/0.25)))))</f>
        <v/>
      </c>
      <c r="E28" s="16">
        <f>IF($B28="","",AVERAGE(Entradas!$B$21:$B$22))</f>
        <v/>
      </c>
      <c r="F28" s="17">
        <f>IF($B28="",0,$D28*$E28)</f>
        <v/>
      </c>
    </row>
    <row r="29">
      <c r="A29" s="6">
        <f>IF(25&lt;=Entradas!$B$15,"Rua 25 (N)","")</f>
        <v/>
      </c>
      <c r="B29" s="14">
        <f>IF(25&lt;=Entradas!$B$15,0.5-0.5*((25-0.5)/Entradas!$B$15),"")</f>
        <v/>
      </c>
      <c r="C29" s="6">
        <f>IF($B29="",0,MIN(5,INT($B29*5)+1))</f>
        <v/>
      </c>
      <c r="D29" s="15">
        <f>IF($B29="","",IF($B29&lt;=0.25,Entradas!$B$8+(Entradas!$B$9-Entradas!$B$8)*($B29/0.25),IF($B29&lt;=0.5,Entradas!$B$9+(Entradas!$B$10-Entradas!$B$9)*(($B29-0.25)/0.25),IF($B29&lt;=0.75,Entradas!$B$10+(Entradas!$B$11-Entradas!$B$10)*(($B29-0.5)/0.25),Entradas!$B$11+(Entradas!$B$12-Entradas!$B$11)*(($B29-0.75)/0.25)))))</f>
        <v/>
      </c>
      <c r="E29" s="16">
        <f>IF($B29="","",AVERAGE(Entradas!$B$21:$B$22))</f>
        <v/>
      </c>
      <c r="F29" s="17">
        <f>IF($B29="",0,$D29*$E29)</f>
        <v/>
      </c>
    </row>
    <row r="30">
      <c r="A30" s="6">
        <f>IF(26&lt;=Entradas!$B$15,"Rua 26 (N)","")</f>
        <v/>
      </c>
      <c r="B30" s="14">
        <f>IF(26&lt;=Entradas!$B$15,0.5-0.5*((26-0.5)/Entradas!$B$15),"")</f>
        <v/>
      </c>
      <c r="C30" s="6">
        <f>IF($B30="",0,MIN(5,INT($B30*5)+1))</f>
        <v/>
      </c>
      <c r="D30" s="15">
        <f>IF($B30="","",IF($B30&lt;=0.25,Entradas!$B$8+(Entradas!$B$9-Entradas!$B$8)*($B30/0.25),IF($B30&lt;=0.5,Entradas!$B$9+(Entradas!$B$10-Entradas!$B$9)*(($B30-0.25)/0.25),IF($B30&lt;=0.75,Entradas!$B$10+(Entradas!$B$11-Entradas!$B$10)*(($B30-0.5)/0.25),Entradas!$B$11+(Entradas!$B$12-Entradas!$B$11)*(($B30-0.75)/0.25)))))</f>
        <v/>
      </c>
      <c r="E30" s="16">
        <f>IF($B30="","",AVERAGE(Entradas!$B$21:$B$22))</f>
        <v/>
      </c>
      <c r="F30" s="17">
        <f>IF($B30="",0,$D30*$E30)</f>
        <v/>
      </c>
    </row>
    <row r="31">
      <c r="A31" s="6">
        <f>IF(27&lt;=Entradas!$B$15,"Rua 27 (N)","")</f>
        <v/>
      </c>
      <c r="B31" s="14">
        <f>IF(27&lt;=Entradas!$B$15,0.5-0.5*((27-0.5)/Entradas!$B$15),"")</f>
        <v/>
      </c>
      <c r="C31" s="6">
        <f>IF($B31="",0,MIN(5,INT($B31*5)+1))</f>
        <v/>
      </c>
      <c r="D31" s="15">
        <f>IF($B31="","",IF($B31&lt;=0.25,Entradas!$B$8+(Entradas!$B$9-Entradas!$B$8)*($B31/0.25),IF($B31&lt;=0.5,Entradas!$B$9+(Entradas!$B$10-Entradas!$B$9)*(($B31-0.25)/0.25),IF($B31&lt;=0.75,Entradas!$B$10+(Entradas!$B$11-Entradas!$B$10)*(($B31-0.5)/0.25),Entradas!$B$11+(Entradas!$B$12-Entradas!$B$11)*(($B31-0.75)/0.25)))))</f>
        <v/>
      </c>
      <c r="E31" s="16">
        <f>IF($B31="","",AVERAGE(Entradas!$B$21:$B$22))</f>
        <v/>
      </c>
      <c r="F31" s="17">
        <f>IF($B31="",0,$D31*$E31)</f>
        <v/>
      </c>
    </row>
    <row r="32">
      <c r="A32" s="6">
        <f>IF(28&lt;=Entradas!$B$15,"Rua 28 (N)","")</f>
        <v/>
      </c>
      <c r="B32" s="14">
        <f>IF(28&lt;=Entradas!$B$15,0.5-0.5*((28-0.5)/Entradas!$B$15),"")</f>
        <v/>
      </c>
      <c r="C32" s="6">
        <f>IF($B32="",0,MIN(5,INT($B32*5)+1))</f>
        <v/>
      </c>
      <c r="D32" s="15">
        <f>IF($B32="","",IF($B32&lt;=0.25,Entradas!$B$8+(Entradas!$B$9-Entradas!$B$8)*($B32/0.25),IF($B32&lt;=0.5,Entradas!$B$9+(Entradas!$B$10-Entradas!$B$9)*(($B32-0.25)/0.25),IF($B32&lt;=0.75,Entradas!$B$10+(Entradas!$B$11-Entradas!$B$10)*(($B32-0.5)/0.25),Entradas!$B$11+(Entradas!$B$12-Entradas!$B$11)*(($B32-0.75)/0.25)))))</f>
        <v/>
      </c>
      <c r="E32" s="16">
        <f>IF($B32="","",AVERAGE(Entradas!$B$21:$B$22))</f>
        <v/>
      </c>
      <c r="F32" s="17">
        <f>IF($B32="",0,$D32*$E32)</f>
        <v/>
      </c>
    </row>
    <row r="33">
      <c r="A33" s="6">
        <f>IF(29&lt;=Entradas!$B$15,"Rua 29 (N)","")</f>
        <v/>
      </c>
      <c r="B33" s="14">
        <f>IF(29&lt;=Entradas!$B$15,0.5-0.5*((29-0.5)/Entradas!$B$15),"")</f>
        <v/>
      </c>
      <c r="C33" s="6">
        <f>IF($B33="",0,MIN(5,INT($B33*5)+1))</f>
        <v/>
      </c>
      <c r="D33" s="15">
        <f>IF($B33="","",IF($B33&lt;=0.25,Entradas!$B$8+(Entradas!$B$9-Entradas!$B$8)*($B33/0.25),IF($B33&lt;=0.5,Entradas!$B$9+(Entradas!$B$10-Entradas!$B$9)*(($B33-0.25)/0.25),IF($B33&lt;=0.75,Entradas!$B$10+(Entradas!$B$11-Entradas!$B$10)*(($B33-0.5)/0.25),Entradas!$B$11+(Entradas!$B$12-Entradas!$B$11)*(($B33-0.75)/0.25)))))</f>
        <v/>
      </c>
      <c r="E33" s="16">
        <f>IF($B33="","",AVERAGE(Entradas!$B$21:$B$22))</f>
        <v/>
      </c>
      <c r="F33" s="17">
        <f>IF($B33="",0,$D33*$E33)</f>
        <v/>
      </c>
    </row>
    <row r="34">
      <c r="A34" s="6">
        <f>IF(30&lt;=Entradas!$B$15,"Rua 30 (N)","")</f>
        <v/>
      </c>
      <c r="B34" s="14">
        <f>IF(30&lt;=Entradas!$B$15,0.5-0.5*((30-0.5)/Entradas!$B$15),"")</f>
        <v/>
      </c>
      <c r="C34" s="6">
        <f>IF($B34="",0,MIN(5,INT($B34*5)+1))</f>
        <v/>
      </c>
      <c r="D34" s="15">
        <f>IF($B34="","",IF($B34&lt;=0.25,Entradas!$B$8+(Entradas!$B$9-Entradas!$B$8)*($B34/0.25),IF($B34&lt;=0.5,Entradas!$B$9+(Entradas!$B$10-Entradas!$B$9)*(($B34-0.25)/0.25),IF($B34&lt;=0.75,Entradas!$B$10+(Entradas!$B$11-Entradas!$B$10)*(($B34-0.5)/0.25),Entradas!$B$11+(Entradas!$B$12-Entradas!$B$11)*(($B34-0.75)/0.25)))))</f>
        <v/>
      </c>
      <c r="E34" s="16">
        <f>IF($B34="","",AVERAGE(Entradas!$B$21:$B$22))</f>
        <v/>
      </c>
      <c r="F34" s="17">
        <f>IF($B34="",0,$D34*$E34)</f>
        <v/>
      </c>
    </row>
    <row r="35">
      <c r="A35" s="6">
        <f>IF(31&lt;=Entradas!$B$15,"Rua 31 (N)","")</f>
        <v/>
      </c>
      <c r="B35" s="14">
        <f>IF(31&lt;=Entradas!$B$15,0.5-0.5*((31-0.5)/Entradas!$B$15),"")</f>
        <v/>
      </c>
      <c r="C35" s="6">
        <f>IF($B35="",0,MIN(5,INT($B35*5)+1))</f>
        <v/>
      </c>
      <c r="D35" s="15">
        <f>IF($B35="","",IF($B35&lt;=0.25,Entradas!$B$8+(Entradas!$B$9-Entradas!$B$8)*($B35/0.25),IF($B35&lt;=0.5,Entradas!$B$9+(Entradas!$B$10-Entradas!$B$9)*(($B35-0.25)/0.25),IF($B35&lt;=0.75,Entradas!$B$10+(Entradas!$B$11-Entradas!$B$10)*(($B35-0.5)/0.25),Entradas!$B$11+(Entradas!$B$12-Entradas!$B$11)*(($B35-0.75)/0.25)))))</f>
        <v/>
      </c>
      <c r="E35" s="16">
        <f>IF($B35="","",AVERAGE(Entradas!$B$21:$B$22))</f>
        <v/>
      </c>
      <c r="F35" s="17">
        <f>IF($B35="",0,$D35*$E35)</f>
        <v/>
      </c>
    </row>
    <row r="36">
      <c r="A36" s="6">
        <f>IF(32&lt;=Entradas!$B$15,"Rua 32 (N)","")</f>
        <v/>
      </c>
      <c r="B36" s="14">
        <f>IF(32&lt;=Entradas!$B$15,0.5-0.5*((32-0.5)/Entradas!$B$15),"")</f>
        <v/>
      </c>
      <c r="C36" s="6">
        <f>IF($B36="",0,MIN(5,INT($B36*5)+1))</f>
        <v/>
      </c>
      <c r="D36" s="15">
        <f>IF($B36="","",IF($B36&lt;=0.25,Entradas!$B$8+(Entradas!$B$9-Entradas!$B$8)*($B36/0.25),IF($B36&lt;=0.5,Entradas!$B$9+(Entradas!$B$10-Entradas!$B$9)*(($B36-0.25)/0.25),IF($B36&lt;=0.75,Entradas!$B$10+(Entradas!$B$11-Entradas!$B$10)*(($B36-0.5)/0.25),Entradas!$B$11+(Entradas!$B$12-Entradas!$B$11)*(($B36-0.75)/0.25)))))</f>
        <v/>
      </c>
      <c r="E36" s="16">
        <f>IF($B36="","",AVERAGE(Entradas!$B$21:$B$22))</f>
        <v/>
      </c>
      <c r="F36" s="17">
        <f>IF($B36="",0,$D36*$E36)</f>
        <v/>
      </c>
    </row>
    <row r="37">
      <c r="A37" s="6">
        <f>IF(33&lt;=Entradas!$B$15,"Rua 33 (N)","")</f>
        <v/>
      </c>
      <c r="B37" s="14">
        <f>IF(33&lt;=Entradas!$B$15,0.5-0.5*((33-0.5)/Entradas!$B$15),"")</f>
        <v/>
      </c>
      <c r="C37" s="6">
        <f>IF($B37="",0,MIN(5,INT($B37*5)+1))</f>
        <v/>
      </c>
      <c r="D37" s="15">
        <f>IF($B37="","",IF($B37&lt;=0.25,Entradas!$B$8+(Entradas!$B$9-Entradas!$B$8)*($B37/0.25),IF($B37&lt;=0.5,Entradas!$B$9+(Entradas!$B$10-Entradas!$B$9)*(($B37-0.25)/0.25),IF($B37&lt;=0.75,Entradas!$B$10+(Entradas!$B$11-Entradas!$B$10)*(($B37-0.5)/0.25),Entradas!$B$11+(Entradas!$B$12-Entradas!$B$11)*(($B37-0.75)/0.25)))))</f>
        <v/>
      </c>
      <c r="E37" s="16">
        <f>IF($B37="","",AVERAGE(Entradas!$B$21:$B$22))</f>
        <v/>
      </c>
      <c r="F37" s="17">
        <f>IF($B37="",0,$D37*$E37)</f>
        <v/>
      </c>
    </row>
    <row r="38">
      <c r="A38" s="6">
        <f>IF(34&lt;=Entradas!$B$15,"Rua 34 (N)","")</f>
        <v/>
      </c>
      <c r="B38" s="14">
        <f>IF(34&lt;=Entradas!$B$15,0.5-0.5*((34-0.5)/Entradas!$B$15),"")</f>
        <v/>
      </c>
      <c r="C38" s="6">
        <f>IF($B38="",0,MIN(5,INT($B38*5)+1))</f>
        <v/>
      </c>
      <c r="D38" s="15">
        <f>IF($B38="","",IF($B38&lt;=0.25,Entradas!$B$8+(Entradas!$B$9-Entradas!$B$8)*($B38/0.25),IF($B38&lt;=0.5,Entradas!$B$9+(Entradas!$B$10-Entradas!$B$9)*(($B38-0.25)/0.25),IF($B38&lt;=0.75,Entradas!$B$10+(Entradas!$B$11-Entradas!$B$10)*(($B38-0.5)/0.25),Entradas!$B$11+(Entradas!$B$12-Entradas!$B$11)*(($B38-0.75)/0.25)))))</f>
        <v/>
      </c>
      <c r="E38" s="16">
        <f>IF($B38="","",AVERAGE(Entradas!$B$21:$B$22))</f>
        <v/>
      </c>
      <c r="F38" s="17">
        <f>IF($B38="",0,$D38*$E38)</f>
        <v/>
      </c>
    </row>
    <row r="39">
      <c r="A39" s="6">
        <f>IF(35&lt;=Entradas!$B$15,"Rua 35 (N)","")</f>
        <v/>
      </c>
      <c r="B39" s="14">
        <f>IF(35&lt;=Entradas!$B$15,0.5-0.5*((35-0.5)/Entradas!$B$15),"")</f>
        <v/>
      </c>
      <c r="C39" s="6">
        <f>IF($B39="",0,MIN(5,INT($B39*5)+1))</f>
        <v/>
      </c>
      <c r="D39" s="15">
        <f>IF($B39="","",IF($B39&lt;=0.25,Entradas!$B$8+(Entradas!$B$9-Entradas!$B$8)*($B39/0.25),IF($B39&lt;=0.5,Entradas!$B$9+(Entradas!$B$10-Entradas!$B$9)*(($B39-0.25)/0.25),IF($B39&lt;=0.75,Entradas!$B$10+(Entradas!$B$11-Entradas!$B$10)*(($B39-0.5)/0.25),Entradas!$B$11+(Entradas!$B$12-Entradas!$B$11)*(($B39-0.75)/0.25)))))</f>
        <v/>
      </c>
      <c r="E39" s="16">
        <f>IF($B39="","",AVERAGE(Entradas!$B$21:$B$22))</f>
        <v/>
      </c>
      <c r="F39" s="17">
        <f>IF($B39="",0,$D39*$E39)</f>
        <v/>
      </c>
    </row>
    <row r="40">
      <c r="A40" s="6">
        <f>IF(36&lt;=Entradas!$B$15,"Rua 36 (N)","")</f>
        <v/>
      </c>
      <c r="B40" s="14">
        <f>IF(36&lt;=Entradas!$B$15,0.5-0.5*((36-0.5)/Entradas!$B$15),"")</f>
        <v/>
      </c>
      <c r="C40" s="6">
        <f>IF($B40="",0,MIN(5,INT($B40*5)+1))</f>
        <v/>
      </c>
      <c r="D40" s="15">
        <f>IF($B40="","",IF($B40&lt;=0.25,Entradas!$B$8+(Entradas!$B$9-Entradas!$B$8)*($B40/0.25),IF($B40&lt;=0.5,Entradas!$B$9+(Entradas!$B$10-Entradas!$B$9)*(($B40-0.25)/0.25),IF($B40&lt;=0.75,Entradas!$B$10+(Entradas!$B$11-Entradas!$B$10)*(($B40-0.5)/0.25),Entradas!$B$11+(Entradas!$B$12-Entradas!$B$11)*(($B40-0.75)/0.25)))))</f>
        <v/>
      </c>
      <c r="E40" s="16">
        <f>IF($B40="","",AVERAGE(Entradas!$B$21:$B$22))</f>
        <v/>
      </c>
      <c r="F40" s="17">
        <f>IF($B40="",0,$D40*$E40)</f>
        <v/>
      </c>
    </row>
    <row r="41">
      <c r="A41" s="6">
        <f>IF(37&lt;=Entradas!$B$15,"Rua 37 (N)","")</f>
        <v/>
      </c>
      <c r="B41" s="14">
        <f>IF(37&lt;=Entradas!$B$15,0.5-0.5*((37-0.5)/Entradas!$B$15),"")</f>
        <v/>
      </c>
      <c r="C41" s="6">
        <f>IF($B41="",0,MIN(5,INT($B41*5)+1))</f>
        <v/>
      </c>
      <c r="D41" s="15">
        <f>IF($B41="","",IF($B41&lt;=0.25,Entradas!$B$8+(Entradas!$B$9-Entradas!$B$8)*($B41/0.25),IF($B41&lt;=0.5,Entradas!$B$9+(Entradas!$B$10-Entradas!$B$9)*(($B41-0.25)/0.25),IF($B41&lt;=0.75,Entradas!$B$10+(Entradas!$B$11-Entradas!$B$10)*(($B41-0.5)/0.25),Entradas!$B$11+(Entradas!$B$12-Entradas!$B$11)*(($B41-0.75)/0.25)))))</f>
        <v/>
      </c>
      <c r="E41" s="16">
        <f>IF($B41="","",AVERAGE(Entradas!$B$21:$B$22))</f>
        <v/>
      </c>
      <c r="F41" s="17">
        <f>IF($B41="",0,$D41*$E41)</f>
        <v/>
      </c>
    </row>
    <row r="42">
      <c r="A42" s="6">
        <f>IF(38&lt;=Entradas!$B$15,"Rua 38 (N)","")</f>
        <v/>
      </c>
      <c r="B42" s="14">
        <f>IF(38&lt;=Entradas!$B$15,0.5-0.5*((38-0.5)/Entradas!$B$15),"")</f>
        <v/>
      </c>
      <c r="C42" s="6">
        <f>IF($B42="",0,MIN(5,INT($B42*5)+1))</f>
        <v/>
      </c>
      <c r="D42" s="15">
        <f>IF($B42="","",IF($B42&lt;=0.25,Entradas!$B$8+(Entradas!$B$9-Entradas!$B$8)*($B42/0.25),IF($B42&lt;=0.5,Entradas!$B$9+(Entradas!$B$10-Entradas!$B$9)*(($B42-0.25)/0.25),IF($B42&lt;=0.75,Entradas!$B$10+(Entradas!$B$11-Entradas!$B$10)*(($B42-0.5)/0.25),Entradas!$B$11+(Entradas!$B$12-Entradas!$B$11)*(($B42-0.75)/0.25)))))</f>
        <v/>
      </c>
      <c r="E42" s="16">
        <f>IF($B42="","",AVERAGE(Entradas!$B$21:$B$22))</f>
        <v/>
      </c>
      <c r="F42" s="17">
        <f>IF($B42="",0,$D42*$E42)</f>
        <v/>
      </c>
    </row>
    <row r="43">
      <c r="A43" s="6">
        <f>IF(39&lt;=Entradas!$B$15,"Rua 39 (N)","")</f>
        <v/>
      </c>
      <c r="B43" s="14">
        <f>IF(39&lt;=Entradas!$B$15,0.5-0.5*((39-0.5)/Entradas!$B$15),"")</f>
        <v/>
      </c>
      <c r="C43" s="6">
        <f>IF($B43="",0,MIN(5,INT($B43*5)+1))</f>
        <v/>
      </c>
      <c r="D43" s="15">
        <f>IF($B43="","",IF($B43&lt;=0.25,Entradas!$B$8+(Entradas!$B$9-Entradas!$B$8)*($B43/0.25),IF($B43&lt;=0.5,Entradas!$B$9+(Entradas!$B$10-Entradas!$B$9)*(($B43-0.25)/0.25),IF($B43&lt;=0.75,Entradas!$B$10+(Entradas!$B$11-Entradas!$B$10)*(($B43-0.5)/0.25),Entradas!$B$11+(Entradas!$B$12-Entradas!$B$11)*(($B43-0.75)/0.25)))))</f>
        <v/>
      </c>
      <c r="E43" s="16">
        <f>IF($B43="","",AVERAGE(Entradas!$B$21:$B$22))</f>
        <v/>
      </c>
      <c r="F43" s="17">
        <f>IF($B43="",0,$D43*$E43)</f>
        <v/>
      </c>
    </row>
    <row r="44">
      <c r="A44" s="6">
        <f>IF(40&lt;=Entradas!$B$15,"Rua 40 (N)","")</f>
        <v/>
      </c>
      <c r="B44" s="14">
        <f>IF(40&lt;=Entradas!$B$15,0.5-0.5*((40-0.5)/Entradas!$B$15),"")</f>
        <v/>
      </c>
      <c r="C44" s="6">
        <f>IF($B44="",0,MIN(5,INT($B44*5)+1))</f>
        <v/>
      </c>
      <c r="D44" s="15">
        <f>IF($B44="","",IF($B44&lt;=0.25,Entradas!$B$8+(Entradas!$B$9-Entradas!$B$8)*($B44/0.25),IF($B44&lt;=0.5,Entradas!$B$9+(Entradas!$B$10-Entradas!$B$9)*(($B44-0.25)/0.25),IF($B44&lt;=0.75,Entradas!$B$10+(Entradas!$B$11-Entradas!$B$10)*(($B44-0.5)/0.25),Entradas!$B$11+(Entradas!$B$12-Entradas!$B$11)*(($B44-0.75)/0.25)))))</f>
        <v/>
      </c>
      <c r="E44" s="16">
        <f>IF($B44="","",AVERAGE(Entradas!$B$21:$B$22))</f>
        <v/>
      </c>
      <c r="F44" s="17">
        <f>IF($B44="",0,$D44*$E44)</f>
        <v/>
      </c>
    </row>
    <row r="45">
      <c r="A45" s="6">
        <f>IF(1&lt;=Entradas!$B$16,"Rua 1 (S)","")</f>
        <v/>
      </c>
      <c r="B45" s="14">
        <f>IF(1&lt;=Entradas!$B$16,0.5+0.5*((1-0.5)/Entradas!$B$16),"")</f>
        <v/>
      </c>
      <c r="C45" s="6">
        <f>IF($B45="",0,MIN(5,INT($B45*5)+1))</f>
        <v/>
      </c>
      <c r="D45" s="15">
        <f>IF($B45="","",IF($B45&lt;=0.25,Entradas!$B$8+(Entradas!$B$9-Entradas!$B$8)*($B45/0.25),IF($B45&lt;=0.5,Entradas!$B$9+(Entradas!$B$10-Entradas!$B$9)*(($B45-0.25)/0.25),IF($B45&lt;=0.75,Entradas!$B$10+(Entradas!$B$11-Entradas!$B$10)*(($B45-0.5)/0.25),Entradas!$B$11+(Entradas!$B$12-Entradas!$B$11)*(($B45-0.75)/0.25)))))</f>
        <v/>
      </c>
      <c r="E45" s="16">
        <f>IF($B45="","",AVERAGE(Entradas!$B$21:$B$22))</f>
        <v/>
      </c>
      <c r="F45" s="17">
        <f>IF($B45="",0,$D45*$E45)</f>
        <v/>
      </c>
    </row>
    <row r="46">
      <c r="A46" s="6">
        <f>IF(2&lt;=Entradas!$B$16,"Rua 2 (S)","")</f>
        <v/>
      </c>
      <c r="B46" s="14">
        <f>IF(2&lt;=Entradas!$B$16,0.5+0.5*((2-0.5)/Entradas!$B$16),"")</f>
        <v/>
      </c>
      <c r="C46" s="6">
        <f>IF($B46="",0,MIN(5,INT($B46*5)+1))</f>
        <v/>
      </c>
      <c r="D46" s="15">
        <f>IF($B46="","",IF($B46&lt;=0.25,Entradas!$B$8+(Entradas!$B$9-Entradas!$B$8)*($B46/0.25),IF($B46&lt;=0.5,Entradas!$B$9+(Entradas!$B$10-Entradas!$B$9)*(($B46-0.25)/0.25),IF($B46&lt;=0.75,Entradas!$B$10+(Entradas!$B$11-Entradas!$B$10)*(($B46-0.5)/0.25),Entradas!$B$11+(Entradas!$B$12-Entradas!$B$11)*(($B46-0.75)/0.25)))))</f>
        <v/>
      </c>
      <c r="E46" s="16">
        <f>IF($B46="","",AVERAGE(Entradas!$B$21:$B$22))</f>
        <v/>
      </c>
      <c r="F46" s="17">
        <f>IF($B46="",0,$D46*$E46)</f>
        <v/>
      </c>
    </row>
    <row r="47">
      <c r="A47" s="6">
        <f>IF(3&lt;=Entradas!$B$16,"Rua 3 (S)","")</f>
        <v/>
      </c>
      <c r="B47" s="14">
        <f>IF(3&lt;=Entradas!$B$16,0.5+0.5*((3-0.5)/Entradas!$B$16),"")</f>
        <v/>
      </c>
      <c r="C47" s="6">
        <f>IF($B47="",0,MIN(5,INT($B47*5)+1))</f>
        <v/>
      </c>
      <c r="D47" s="15">
        <f>IF($B47="","",IF($B47&lt;=0.25,Entradas!$B$8+(Entradas!$B$9-Entradas!$B$8)*($B47/0.25),IF($B47&lt;=0.5,Entradas!$B$9+(Entradas!$B$10-Entradas!$B$9)*(($B47-0.25)/0.25),IF($B47&lt;=0.75,Entradas!$B$10+(Entradas!$B$11-Entradas!$B$10)*(($B47-0.5)/0.25),Entradas!$B$11+(Entradas!$B$12-Entradas!$B$11)*(($B47-0.75)/0.25)))))</f>
        <v/>
      </c>
      <c r="E47" s="16">
        <f>IF($B47="","",AVERAGE(Entradas!$B$21:$B$22))</f>
        <v/>
      </c>
      <c r="F47" s="17">
        <f>IF($B47="",0,$D47*$E47)</f>
        <v/>
      </c>
    </row>
    <row r="48">
      <c r="A48" s="6">
        <f>IF(4&lt;=Entradas!$B$16,"Rua 4 (S)","")</f>
        <v/>
      </c>
      <c r="B48" s="14">
        <f>IF(4&lt;=Entradas!$B$16,0.5+0.5*((4-0.5)/Entradas!$B$16),"")</f>
        <v/>
      </c>
      <c r="C48" s="6">
        <f>IF($B48="",0,MIN(5,INT($B48*5)+1))</f>
        <v/>
      </c>
      <c r="D48" s="15">
        <f>IF($B48="","",IF($B48&lt;=0.25,Entradas!$B$8+(Entradas!$B$9-Entradas!$B$8)*($B48/0.25),IF($B48&lt;=0.5,Entradas!$B$9+(Entradas!$B$10-Entradas!$B$9)*(($B48-0.25)/0.25),IF($B48&lt;=0.75,Entradas!$B$10+(Entradas!$B$11-Entradas!$B$10)*(($B48-0.5)/0.25),Entradas!$B$11+(Entradas!$B$12-Entradas!$B$11)*(($B48-0.75)/0.25)))))</f>
        <v/>
      </c>
      <c r="E48" s="16">
        <f>IF($B48="","",AVERAGE(Entradas!$B$21:$B$22))</f>
        <v/>
      </c>
      <c r="F48" s="17">
        <f>IF($B48="",0,$D48*$E48)</f>
        <v/>
      </c>
    </row>
    <row r="49">
      <c r="A49" s="6">
        <f>IF(5&lt;=Entradas!$B$16,"Rua 5 (S)","")</f>
        <v/>
      </c>
      <c r="B49" s="14">
        <f>IF(5&lt;=Entradas!$B$16,0.5+0.5*((5-0.5)/Entradas!$B$16),"")</f>
        <v/>
      </c>
      <c r="C49" s="6">
        <f>IF($B49="",0,MIN(5,INT($B49*5)+1))</f>
        <v/>
      </c>
      <c r="D49" s="15">
        <f>IF($B49="","",IF($B49&lt;=0.25,Entradas!$B$8+(Entradas!$B$9-Entradas!$B$8)*($B49/0.25),IF($B49&lt;=0.5,Entradas!$B$9+(Entradas!$B$10-Entradas!$B$9)*(($B49-0.25)/0.25),IF($B49&lt;=0.75,Entradas!$B$10+(Entradas!$B$11-Entradas!$B$10)*(($B49-0.5)/0.25),Entradas!$B$11+(Entradas!$B$12-Entradas!$B$11)*(($B49-0.75)/0.25)))))</f>
        <v/>
      </c>
      <c r="E49" s="16">
        <f>IF($B49="","",AVERAGE(Entradas!$B$21:$B$22))</f>
        <v/>
      </c>
      <c r="F49" s="17">
        <f>IF($B49="",0,$D49*$E49)</f>
        <v/>
      </c>
    </row>
    <row r="50">
      <c r="A50" s="6">
        <f>IF(6&lt;=Entradas!$B$16,"Rua 6 (S)","")</f>
        <v/>
      </c>
      <c r="B50" s="14">
        <f>IF(6&lt;=Entradas!$B$16,0.5+0.5*((6-0.5)/Entradas!$B$16),"")</f>
        <v/>
      </c>
      <c r="C50" s="6">
        <f>IF($B50="",0,MIN(5,INT($B50*5)+1))</f>
        <v/>
      </c>
      <c r="D50" s="15">
        <f>IF($B50="","",IF($B50&lt;=0.25,Entradas!$B$8+(Entradas!$B$9-Entradas!$B$8)*($B50/0.25),IF($B50&lt;=0.5,Entradas!$B$9+(Entradas!$B$10-Entradas!$B$9)*(($B50-0.25)/0.25),IF($B50&lt;=0.75,Entradas!$B$10+(Entradas!$B$11-Entradas!$B$10)*(($B50-0.5)/0.25),Entradas!$B$11+(Entradas!$B$12-Entradas!$B$11)*(($B50-0.75)/0.25)))))</f>
        <v/>
      </c>
      <c r="E50" s="16">
        <f>IF($B50="","",AVERAGE(Entradas!$B$21:$B$22))</f>
        <v/>
      </c>
      <c r="F50" s="17">
        <f>IF($B50="",0,$D50*$E50)</f>
        <v/>
      </c>
    </row>
    <row r="51">
      <c r="A51" s="6">
        <f>IF(7&lt;=Entradas!$B$16,"Rua 7 (S)","")</f>
        <v/>
      </c>
      <c r="B51" s="14">
        <f>IF(7&lt;=Entradas!$B$16,0.5+0.5*((7-0.5)/Entradas!$B$16),"")</f>
        <v/>
      </c>
      <c r="C51" s="6">
        <f>IF($B51="",0,MIN(5,INT($B51*5)+1))</f>
        <v/>
      </c>
      <c r="D51" s="15">
        <f>IF($B51="","",IF($B51&lt;=0.25,Entradas!$B$8+(Entradas!$B$9-Entradas!$B$8)*($B51/0.25),IF($B51&lt;=0.5,Entradas!$B$9+(Entradas!$B$10-Entradas!$B$9)*(($B51-0.25)/0.25),IF($B51&lt;=0.75,Entradas!$B$10+(Entradas!$B$11-Entradas!$B$10)*(($B51-0.5)/0.25),Entradas!$B$11+(Entradas!$B$12-Entradas!$B$11)*(($B51-0.75)/0.25)))))</f>
        <v/>
      </c>
      <c r="E51" s="16">
        <f>IF($B51="","",AVERAGE(Entradas!$B$21:$B$22))</f>
        <v/>
      </c>
      <c r="F51" s="17">
        <f>IF($B51="",0,$D51*$E51)</f>
        <v/>
      </c>
    </row>
    <row r="52">
      <c r="A52" s="6">
        <f>IF(8&lt;=Entradas!$B$16,"Rua 8 (S)","")</f>
        <v/>
      </c>
      <c r="B52" s="14">
        <f>IF(8&lt;=Entradas!$B$16,0.5+0.5*((8-0.5)/Entradas!$B$16),"")</f>
        <v/>
      </c>
      <c r="C52" s="6">
        <f>IF($B52="",0,MIN(5,INT($B52*5)+1))</f>
        <v/>
      </c>
      <c r="D52" s="15">
        <f>IF($B52="","",IF($B52&lt;=0.25,Entradas!$B$8+(Entradas!$B$9-Entradas!$B$8)*($B52/0.25),IF($B52&lt;=0.5,Entradas!$B$9+(Entradas!$B$10-Entradas!$B$9)*(($B52-0.25)/0.25),IF($B52&lt;=0.75,Entradas!$B$10+(Entradas!$B$11-Entradas!$B$10)*(($B52-0.5)/0.25),Entradas!$B$11+(Entradas!$B$12-Entradas!$B$11)*(($B52-0.75)/0.25)))))</f>
        <v/>
      </c>
      <c r="E52" s="16">
        <f>IF($B52="","",AVERAGE(Entradas!$B$21:$B$22))</f>
        <v/>
      </c>
      <c r="F52" s="17">
        <f>IF($B52="",0,$D52*$E52)</f>
        <v/>
      </c>
    </row>
    <row r="53">
      <c r="A53" s="6">
        <f>IF(9&lt;=Entradas!$B$16,"Rua 9 (S)","")</f>
        <v/>
      </c>
      <c r="B53" s="14">
        <f>IF(9&lt;=Entradas!$B$16,0.5+0.5*((9-0.5)/Entradas!$B$16),"")</f>
        <v/>
      </c>
      <c r="C53" s="6">
        <f>IF($B53="",0,MIN(5,INT($B53*5)+1))</f>
        <v/>
      </c>
      <c r="D53" s="15">
        <f>IF($B53="","",IF($B53&lt;=0.25,Entradas!$B$8+(Entradas!$B$9-Entradas!$B$8)*($B53/0.25),IF($B53&lt;=0.5,Entradas!$B$9+(Entradas!$B$10-Entradas!$B$9)*(($B53-0.25)/0.25),IF($B53&lt;=0.75,Entradas!$B$10+(Entradas!$B$11-Entradas!$B$10)*(($B53-0.5)/0.25),Entradas!$B$11+(Entradas!$B$12-Entradas!$B$11)*(($B53-0.75)/0.25)))))</f>
        <v/>
      </c>
      <c r="E53" s="16">
        <f>IF($B53="","",AVERAGE(Entradas!$B$21:$B$22))</f>
        <v/>
      </c>
      <c r="F53" s="17">
        <f>IF($B53="",0,$D53*$E53)</f>
        <v/>
      </c>
    </row>
    <row r="54">
      <c r="A54" s="6">
        <f>IF(10&lt;=Entradas!$B$16,"Rua 10 (S)","")</f>
        <v/>
      </c>
      <c r="B54" s="14">
        <f>IF(10&lt;=Entradas!$B$16,0.5+0.5*((10-0.5)/Entradas!$B$16),"")</f>
        <v/>
      </c>
      <c r="C54" s="6">
        <f>IF($B54="",0,MIN(5,INT($B54*5)+1))</f>
        <v/>
      </c>
      <c r="D54" s="15">
        <f>IF($B54="","",IF($B54&lt;=0.25,Entradas!$B$8+(Entradas!$B$9-Entradas!$B$8)*($B54/0.25),IF($B54&lt;=0.5,Entradas!$B$9+(Entradas!$B$10-Entradas!$B$9)*(($B54-0.25)/0.25),IF($B54&lt;=0.75,Entradas!$B$10+(Entradas!$B$11-Entradas!$B$10)*(($B54-0.5)/0.25),Entradas!$B$11+(Entradas!$B$12-Entradas!$B$11)*(($B54-0.75)/0.25)))))</f>
        <v/>
      </c>
      <c r="E54" s="16">
        <f>IF($B54="","",AVERAGE(Entradas!$B$21:$B$22))</f>
        <v/>
      </c>
      <c r="F54" s="17">
        <f>IF($B54="",0,$D54*$E54)</f>
        <v/>
      </c>
    </row>
    <row r="55">
      <c r="A55" s="6">
        <f>IF(11&lt;=Entradas!$B$16,"Rua 11 (S)","")</f>
        <v/>
      </c>
      <c r="B55" s="14">
        <f>IF(11&lt;=Entradas!$B$16,0.5+0.5*((11-0.5)/Entradas!$B$16),"")</f>
        <v/>
      </c>
      <c r="C55" s="6">
        <f>IF($B55="",0,MIN(5,INT($B55*5)+1))</f>
        <v/>
      </c>
      <c r="D55" s="15">
        <f>IF($B55="","",IF($B55&lt;=0.25,Entradas!$B$8+(Entradas!$B$9-Entradas!$B$8)*($B55/0.25),IF($B55&lt;=0.5,Entradas!$B$9+(Entradas!$B$10-Entradas!$B$9)*(($B55-0.25)/0.25),IF($B55&lt;=0.75,Entradas!$B$10+(Entradas!$B$11-Entradas!$B$10)*(($B55-0.5)/0.25),Entradas!$B$11+(Entradas!$B$12-Entradas!$B$11)*(($B55-0.75)/0.25)))))</f>
        <v/>
      </c>
      <c r="E55" s="16">
        <f>IF($B55="","",AVERAGE(Entradas!$B$21:$B$22))</f>
        <v/>
      </c>
      <c r="F55" s="17">
        <f>IF($B55="",0,$D55*$E55)</f>
        <v/>
      </c>
    </row>
    <row r="56">
      <c r="A56" s="6">
        <f>IF(12&lt;=Entradas!$B$16,"Rua 12 (S)","")</f>
        <v/>
      </c>
      <c r="B56" s="14">
        <f>IF(12&lt;=Entradas!$B$16,0.5+0.5*((12-0.5)/Entradas!$B$16),"")</f>
        <v/>
      </c>
      <c r="C56" s="6">
        <f>IF($B56="",0,MIN(5,INT($B56*5)+1))</f>
        <v/>
      </c>
      <c r="D56" s="15">
        <f>IF($B56="","",IF($B56&lt;=0.25,Entradas!$B$8+(Entradas!$B$9-Entradas!$B$8)*($B56/0.25),IF($B56&lt;=0.5,Entradas!$B$9+(Entradas!$B$10-Entradas!$B$9)*(($B56-0.25)/0.25),IF($B56&lt;=0.75,Entradas!$B$10+(Entradas!$B$11-Entradas!$B$10)*(($B56-0.5)/0.25),Entradas!$B$11+(Entradas!$B$12-Entradas!$B$11)*(($B56-0.75)/0.25)))))</f>
        <v/>
      </c>
      <c r="E56" s="16">
        <f>IF($B56="","",AVERAGE(Entradas!$B$21:$B$22))</f>
        <v/>
      </c>
      <c r="F56" s="17">
        <f>IF($B56="",0,$D56*$E56)</f>
        <v/>
      </c>
    </row>
    <row r="57">
      <c r="A57" s="6">
        <f>IF(13&lt;=Entradas!$B$16,"Rua 13 (S)","")</f>
        <v/>
      </c>
      <c r="B57" s="14">
        <f>IF(13&lt;=Entradas!$B$16,0.5+0.5*((13-0.5)/Entradas!$B$16),"")</f>
        <v/>
      </c>
      <c r="C57" s="6">
        <f>IF($B57="",0,MIN(5,INT($B57*5)+1))</f>
        <v/>
      </c>
      <c r="D57" s="15">
        <f>IF($B57="","",IF($B57&lt;=0.25,Entradas!$B$8+(Entradas!$B$9-Entradas!$B$8)*($B57/0.25),IF($B57&lt;=0.5,Entradas!$B$9+(Entradas!$B$10-Entradas!$B$9)*(($B57-0.25)/0.25),IF($B57&lt;=0.75,Entradas!$B$10+(Entradas!$B$11-Entradas!$B$10)*(($B57-0.5)/0.25),Entradas!$B$11+(Entradas!$B$12-Entradas!$B$11)*(($B57-0.75)/0.25)))))</f>
        <v/>
      </c>
      <c r="E57" s="16">
        <f>IF($B57="","",AVERAGE(Entradas!$B$21:$B$22))</f>
        <v/>
      </c>
      <c r="F57" s="17">
        <f>IF($B57="",0,$D57*$E57)</f>
        <v/>
      </c>
    </row>
    <row r="58">
      <c r="A58" s="6">
        <f>IF(14&lt;=Entradas!$B$16,"Rua 14 (S)","")</f>
        <v/>
      </c>
      <c r="B58" s="14">
        <f>IF(14&lt;=Entradas!$B$16,0.5+0.5*((14-0.5)/Entradas!$B$16),"")</f>
        <v/>
      </c>
      <c r="C58" s="6">
        <f>IF($B58="",0,MIN(5,INT($B58*5)+1))</f>
        <v/>
      </c>
      <c r="D58" s="15">
        <f>IF($B58="","",IF($B58&lt;=0.25,Entradas!$B$8+(Entradas!$B$9-Entradas!$B$8)*($B58/0.25),IF($B58&lt;=0.5,Entradas!$B$9+(Entradas!$B$10-Entradas!$B$9)*(($B58-0.25)/0.25),IF($B58&lt;=0.75,Entradas!$B$10+(Entradas!$B$11-Entradas!$B$10)*(($B58-0.5)/0.25),Entradas!$B$11+(Entradas!$B$12-Entradas!$B$11)*(($B58-0.75)/0.25)))))</f>
        <v/>
      </c>
      <c r="E58" s="16">
        <f>IF($B58="","",AVERAGE(Entradas!$B$21:$B$22))</f>
        <v/>
      </c>
      <c r="F58" s="17">
        <f>IF($B58="",0,$D58*$E58)</f>
        <v/>
      </c>
    </row>
    <row r="59">
      <c r="A59" s="6">
        <f>IF(15&lt;=Entradas!$B$16,"Rua 15 (S)","")</f>
        <v/>
      </c>
      <c r="B59" s="14">
        <f>IF(15&lt;=Entradas!$B$16,0.5+0.5*((15-0.5)/Entradas!$B$16),"")</f>
        <v/>
      </c>
      <c r="C59" s="6">
        <f>IF($B59="",0,MIN(5,INT($B59*5)+1))</f>
        <v/>
      </c>
      <c r="D59" s="15">
        <f>IF($B59="","",IF($B59&lt;=0.25,Entradas!$B$8+(Entradas!$B$9-Entradas!$B$8)*($B59/0.25),IF($B59&lt;=0.5,Entradas!$B$9+(Entradas!$B$10-Entradas!$B$9)*(($B59-0.25)/0.25),IF($B59&lt;=0.75,Entradas!$B$10+(Entradas!$B$11-Entradas!$B$10)*(($B59-0.5)/0.25),Entradas!$B$11+(Entradas!$B$12-Entradas!$B$11)*(($B59-0.75)/0.25)))))</f>
        <v/>
      </c>
      <c r="E59" s="16">
        <f>IF($B59="","",AVERAGE(Entradas!$B$21:$B$22))</f>
        <v/>
      </c>
      <c r="F59" s="17">
        <f>IF($B59="",0,$D59*$E59)</f>
        <v/>
      </c>
    </row>
    <row r="60">
      <c r="A60" s="6">
        <f>IF(16&lt;=Entradas!$B$16,"Rua 16 (S)","")</f>
        <v/>
      </c>
      <c r="B60" s="14">
        <f>IF(16&lt;=Entradas!$B$16,0.5+0.5*((16-0.5)/Entradas!$B$16),"")</f>
        <v/>
      </c>
      <c r="C60" s="6">
        <f>IF($B60="",0,MIN(5,INT($B60*5)+1))</f>
        <v/>
      </c>
      <c r="D60" s="15">
        <f>IF($B60="","",IF($B60&lt;=0.25,Entradas!$B$8+(Entradas!$B$9-Entradas!$B$8)*($B60/0.25),IF($B60&lt;=0.5,Entradas!$B$9+(Entradas!$B$10-Entradas!$B$9)*(($B60-0.25)/0.25),IF($B60&lt;=0.75,Entradas!$B$10+(Entradas!$B$11-Entradas!$B$10)*(($B60-0.5)/0.25),Entradas!$B$11+(Entradas!$B$12-Entradas!$B$11)*(($B60-0.75)/0.25)))))</f>
        <v/>
      </c>
      <c r="E60" s="16">
        <f>IF($B60="","",AVERAGE(Entradas!$B$21:$B$22))</f>
        <v/>
      </c>
      <c r="F60" s="17">
        <f>IF($B60="",0,$D60*$E60)</f>
        <v/>
      </c>
    </row>
    <row r="61">
      <c r="A61" s="6">
        <f>IF(17&lt;=Entradas!$B$16,"Rua 17 (S)","")</f>
        <v/>
      </c>
      <c r="B61" s="14">
        <f>IF(17&lt;=Entradas!$B$16,0.5+0.5*((17-0.5)/Entradas!$B$16),"")</f>
        <v/>
      </c>
      <c r="C61" s="6">
        <f>IF($B61="",0,MIN(5,INT($B61*5)+1))</f>
        <v/>
      </c>
      <c r="D61" s="15">
        <f>IF($B61="","",IF($B61&lt;=0.25,Entradas!$B$8+(Entradas!$B$9-Entradas!$B$8)*($B61/0.25),IF($B61&lt;=0.5,Entradas!$B$9+(Entradas!$B$10-Entradas!$B$9)*(($B61-0.25)/0.25),IF($B61&lt;=0.75,Entradas!$B$10+(Entradas!$B$11-Entradas!$B$10)*(($B61-0.5)/0.25),Entradas!$B$11+(Entradas!$B$12-Entradas!$B$11)*(($B61-0.75)/0.25)))))</f>
        <v/>
      </c>
      <c r="E61" s="16">
        <f>IF($B61="","",AVERAGE(Entradas!$B$21:$B$22))</f>
        <v/>
      </c>
      <c r="F61" s="17">
        <f>IF($B61="",0,$D61*$E61)</f>
        <v/>
      </c>
    </row>
    <row r="62">
      <c r="A62" s="6">
        <f>IF(18&lt;=Entradas!$B$16,"Rua 18 (S)","")</f>
        <v/>
      </c>
      <c r="B62" s="14">
        <f>IF(18&lt;=Entradas!$B$16,0.5+0.5*((18-0.5)/Entradas!$B$16),"")</f>
        <v/>
      </c>
      <c r="C62" s="6">
        <f>IF($B62="",0,MIN(5,INT($B62*5)+1))</f>
        <v/>
      </c>
      <c r="D62" s="15">
        <f>IF($B62="","",IF($B62&lt;=0.25,Entradas!$B$8+(Entradas!$B$9-Entradas!$B$8)*($B62/0.25),IF($B62&lt;=0.5,Entradas!$B$9+(Entradas!$B$10-Entradas!$B$9)*(($B62-0.25)/0.25),IF($B62&lt;=0.75,Entradas!$B$10+(Entradas!$B$11-Entradas!$B$10)*(($B62-0.5)/0.25),Entradas!$B$11+(Entradas!$B$12-Entradas!$B$11)*(($B62-0.75)/0.25)))))</f>
        <v/>
      </c>
      <c r="E62" s="16">
        <f>IF($B62="","",AVERAGE(Entradas!$B$21:$B$22))</f>
        <v/>
      </c>
      <c r="F62" s="17">
        <f>IF($B62="",0,$D62*$E62)</f>
        <v/>
      </c>
    </row>
    <row r="63">
      <c r="A63" s="6">
        <f>IF(19&lt;=Entradas!$B$16,"Rua 19 (S)","")</f>
        <v/>
      </c>
      <c r="B63" s="14">
        <f>IF(19&lt;=Entradas!$B$16,0.5+0.5*((19-0.5)/Entradas!$B$16),"")</f>
        <v/>
      </c>
      <c r="C63" s="6">
        <f>IF($B63="",0,MIN(5,INT($B63*5)+1))</f>
        <v/>
      </c>
      <c r="D63" s="15">
        <f>IF($B63="","",IF($B63&lt;=0.25,Entradas!$B$8+(Entradas!$B$9-Entradas!$B$8)*($B63/0.25),IF($B63&lt;=0.5,Entradas!$B$9+(Entradas!$B$10-Entradas!$B$9)*(($B63-0.25)/0.25),IF($B63&lt;=0.75,Entradas!$B$10+(Entradas!$B$11-Entradas!$B$10)*(($B63-0.5)/0.25),Entradas!$B$11+(Entradas!$B$12-Entradas!$B$11)*(($B63-0.75)/0.25)))))</f>
        <v/>
      </c>
      <c r="E63" s="16">
        <f>IF($B63="","",AVERAGE(Entradas!$B$21:$B$22))</f>
        <v/>
      </c>
      <c r="F63" s="17">
        <f>IF($B63="",0,$D63*$E63)</f>
        <v/>
      </c>
    </row>
    <row r="64">
      <c r="A64" s="6">
        <f>IF(20&lt;=Entradas!$B$16,"Rua 20 (S)","")</f>
        <v/>
      </c>
      <c r="B64" s="14">
        <f>IF(20&lt;=Entradas!$B$16,0.5+0.5*((20-0.5)/Entradas!$B$16),"")</f>
        <v/>
      </c>
      <c r="C64" s="6">
        <f>IF($B64="",0,MIN(5,INT($B64*5)+1))</f>
        <v/>
      </c>
      <c r="D64" s="15">
        <f>IF($B64="","",IF($B64&lt;=0.25,Entradas!$B$8+(Entradas!$B$9-Entradas!$B$8)*($B64/0.25),IF($B64&lt;=0.5,Entradas!$B$9+(Entradas!$B$10-Entradas!$B$9)*(($B64-0.25)/0.25),IF($B64&lt;=0.75,Entradas!$B$10+(Entradas!$B$11-Entradas!$B$10)*(($B64-0.5)/0.25),Entradas!$B$11+(Entradas!$B$12-Entradas!$B$11)*(($B64-0.75)/0.25)))))</f>
        <v/>
      </c>
      <c r="E64" s="16">
        <f>IF($B64="","",AVERAGE(Entradas!$B$21:$B$22))</f>
        <v/>
      </c>
      <c r="F64" s="17">
        <f>IF($B64="",0,$D64*$E64)</f>
        <v/>
      </c>
    </row>
    <row r="65">
      <c r="A65" s="6">
        <f>IF(21&lt;=Entradas!$B$16,"Rua 21 (S)","")</f>
        <v/>
      </c>
      <c r="B65" s="14">
        <f>IF(21&lt;=Entradas!$B$16,0.5+0.5*((21-0.5)/Entradas!$B$16),"")</f>
        <v/>
      </c>
      <c r="C65" s="6">
        <f>IF($B65="",0,MIN(5,INT($B65*5)+1))</f>
        <v/>
      </c>
      <c r="D65" s="15">
        <f>IF($B65="","",IF($B65&lt;=0.25,Entradas!$B$8+(Entradas!$B$9-Entradas!$B$8)*($B65/0.25),IF($B65&lt;=0.5,Entradas!$B$9+(Entradas!$B$10-Entradas!$B$9)*(($B65-0.25)/0.25),IF($B65&lt;=0.75,Entradas!$B$10+(Entradas!$B$11-Entradas!$B$10)*(($B65-0.5)/0.25),Entradas!$B$11+(Entradas!$B$12-Entradas!$B$11)*(($B65-0.75)/0.25)))))</f>
        <v/>
      </c>
      <c r="E65" s="16">
        <f>IF($B65="","",AVERAGE(Entradas!$B$21:$B$22))</f>
        <v/>
      </c>
      <c r="F65" s="17">
        <f>IF($B65="",0,$D65*$E65)</f>
        <v/>
      </c>
    </row>
    <row r="66">
      <c r="A66" s="6">
        <f>IF(22&lt;=Entradas!$B$16,"Rua 22 (S)","")</f>
        <v/>
      </c>
      <c r="B66" s="14">
        <f>IF(22&lt;=Entradas!$B$16,0.5+0.5*((22-0.5)/Entradas!$B$16),"")</f>
        <v/>
      </c>
      <c r="C66" s="6">
        <f>IF($B66="",0,MIN(5,INT($B66*5)+1))</f>
        <v/>
      </c>
      <c r="D66" s="15">
        <f>IF($B66="","",IF($B66&lt;=0.25,Entradas!$B$8+(Entradas!$B$9-Entradas!$B$8)*($B66/0.25),IF($B66&lt;=0.5,Entradas!$B$9+(Entradas!$B$10-Entradas!$B$9)*(($B66-0.25)/0.25),IF($B66&lt;=0.75,Entradas!$B$10+(Entradas!$B$11-Entradas!$B$10)*(($B66-0.5)/0.25),Entradas!$B$11+(Entradas!$B$12-Entradas!$B$11)*(($B66-0.75)/0.25)))))</f>
        <v/>
      </c>
      <c r="E66" s="16">
        <f>IF($B66="","",AVERAGE(Entradas!$B$21:$B$22))</f>
        <v/>
      </c>
      <c r="F66" s="17">
        <f>IF($B66="",0,$D66*$E66)</f>
        <v/>
      </c>
    </row>
    <row r="67">
      <c r="A67" s="6">
        <f>IF(23&lt;=Entradas!$B$16,"Rua 23 (S)","")</f>
        <v/>
      </c>
      <c r="B67" s="14">
        <f>IF(23&lt;=Entradas!$B$16,0.5+0.5*((23-0.5)/Entradas!$B$16),"")</f>
        <v/>
      </c>
      <c r="C67" s="6">
        <f>IF($B67="",0,MIN(5,INT($B67*5)+1))</f>
        <v/>
      </c>
      <c r="D67" s="15">
        <f>IF($B67="","",IF($B67&lt;=0.25,Entradas!$B$8+(Entradas!$B$9-Entradas!$B$8)*($B67/0.25),IF($B67&lt;=0.5,Entradas!$B$9+(Entradas!$B$10-Entradas!$B$9)*(($B67-0.25)/0.25),IF($B67&lt;=0.75,Entradas!$B$10+(Entradas!$B$11-Entradas!$B$10)*(($B67-0.5)/0.25),Entradas!$B$11+(Entradas!$B$12-Entradas!$B$11)*(($B67-0.75)/0.25)))))</f>
        <v/>
      </c>
      <c r="E67" s="16">
        <f>IF($B67="","",AVERAGE(Entradas!$B$21:$B$22))</f>
        <v/>
      </c>
      <c r="F67" s="17">
        <f>IF($B67="",0,$D67*$E67)</f>
        <v/>
      </c>
    </row>
    <row r="68">
      <c r="A68" s="6">
        <f>IF(24&lt;=Entradas!$B$16,"Rua 24 (S)","")</f>
        <v/>
      </c>
      <c r="B68" s="14">
        <f>IF(24&lt;=Entradas!$B$16,0.5+0.5*((24-0.5)/Entradas!$B$16),"")</f>
        <v/>
      </c>
      <c r="C68" s="6">
        <f>IF($B68="",0,MIN(5,INT($B68*5)+1))</f>
        <v/>
      </c>
      <c r="D68" s="15">
        <f>IF($B68="","",IF($B68&lt;=0.25,Entradas!$B$8+(Entradas!$B$9-Entradas!$B$8)*($B68/0.25),IF($B68&lt;=0.5,Entradas!$B$9+(Entradas!$B$10-Entradas!$B$9)*(($B68-0.25)/0.25),IF($B68&lt;=0.75,Entradas!$B$10+(Entradas!$B$11-Entradas!$B$10)*(($B68-0.5)/0.25),Entradas!$B$11+(Entradas!$B$12-Entradas!$B$11)*(($B68-0.75)/0.25)))))</f>
        <v/>
      </c>
      <c r="E68" s="16">
        <f>IF($B68="","",AVERAGE(Entradas!$B$21:$B$22))</f>
        <v/>
      </c>
      <c r="F68" s="17">
        <f>IF($B68="",0,$D68*$E68)</f>
        <v/>
      </c>
    </row>
    <row r="69">
      <c r="A69" s="6">
        <f>IF(25&lt;=Entradas!$B$16,"Rua 25 (S)","")</f>
        <v/>
      </c>
      <c r="B69" s="14">
        <f>IF(25&lt;=Entradas!$B$16,0.5+0.5*((25-0.5)/Entradas!$B$16),"")</f>
        <v/>
      </c>
      <c r="C69" s="6">
        <f>IF($B69="",0,MIN(5,INT($B69*5)+1))</f>
        <v/>
      </c>
      <c r="D69" s="15">
        <f>IF($B69="","",IF($B69&lt;=0.25,Entradas!$B$8+(Entradas!$B$9-Entradas!$B$8)*($B69/0.25),IF($B69&lt;=0.5,Entradas!$B$9+(Entradas!$B$10-Entradas!$B$9)*(($B69-0.25)/0.25),IF($B69&lt;=0.75,Entradas!$B$10+(Entradas!$B$11-Entradas!$B$10)*(($B69-0.5)/0.25),Entradas!$B$11+(Entradas!$B$12-Entradas!$B$11)*(($B69-0.75)/0.25)))))</f>
        <v/>
      </c>
      <c r="E69" s="16">
        <f>IF($B69="","",AVERAGE(Entradas!$B$21:$B$22))</f>
        <v/>
      </c>
      <c r="F69" s="17">
        <f>IF($B69="",0,$D69*$E69)</f>
        <v/>
      </c>
    </row>
    <row r="70">
      <c r="A70" s="6">
        <f>IF(26&lt;=Entradas!$B$16,"Rua 26 (S)","")</f>
        <v/>
      </c>
      <c r="B70" s="14">
        <f>IF(26&lt;=Entradas!$B$16,0.5+0.5*((26-0.5)/Entradas!$B$16),"")</f>
        <v/>
      </c>
      <c r="C70" s="6">
        <f>IF($B70="",0,MIN(5,INT($B70*5)+1))</f>
        <v/>
      </c>
      <c r="D70" s="15">
        <f>IF($B70="","",IF($B70&lt;=0.25,Entradas!$B$8+(Entradas!$B$9-Entradas!$B$8)*($B70/0.25),IF($B70&lt;=0.5,Entradas!$B$9+(Entradas!$B$10-Entradas!$B$9)*(($B70-0.25)/0.25),IF($B70&lt;=0.75,Entradas!$B$10+(Entradas!$B$11-Entradas!$B$10)*(($B70-0.5)/0.25),Entradas!$B$11+(Entradas!$B$12-Entradas!$B$11)*(($B70-0.75)/0.25)))))</f>
        <v/>
      </c>
      <c r="E70" s="16">
        <f>IF($B70="","",AVERAGE(Entradas!$B$21:$B$22))</f>
        <v/>
      </c>
      <c r="F70" s="17">
        <f>IF($B70="",0,$D70*$E70)</f>
        <v/>
      </c>
    </row>
    <row r="71">
      <c r="A71" s="6">
        <f>IF(27&lt;=Entradas!$B$16,"Rua 27 (S)","")</f>
        <v/>
      </c>
      <c r="B71" s="14">
        <f>IF(27&lt;=Entradas!$B$16,0.5+0.5*((27-0.5)/Entradas!$B$16),"")</f>
        <v/>
      </c>
      <c r="C71" s="6">
        <f>IF($B71="",0,MIN(5,INT($B71*5)+1))</f>
        <v/>
      </c>
      <c r="D71" s="15">
        <f>IF($B71="","",IF($B71&lt;=0.25,Entradas!$B$8+(Entradas!$B$9-Entradas!$B$8)*($B71/0.25),IF($B71&lt;=0.5,Entradas!$B$9+(Entradas!$B$10-Entradas!$B$9)*(($B71-0.25)/0.25),IF($B71&lt;=0.75,Entradas!$B$10+(Entradas!$B$11-Entradas!$B$10)*(($B71-0.5)/0.25),Entradas!$B$11+(Entradas!$B$12-Entradas!$B$11)*(($B71-0.75)/0.25)))))</f>
        <v/>
      </c>
      <c r="E71" s="16">
        <f>IF($B71="","",AVERAGE(Entradas!$B$21:$B$22))</f>
        <v/>
      </c>
      <c r="F71" s="17">
        <f>IF($B71="",0,$D71*$E71)</f>
        <v/>
      </c>
    </row>
    <row r="72">
      <c r="A72" s="6">
        <f>IF(28&lt;=Entradas!$B$16,"Rua 28 (S)","")</f>
        <v/>
      </c>
      <c r="B72" s="14">
        <f>IF(28&lt;=Entradas!$B$16,0.5+0.5*((28-0.5)/Entradas!$B$16),"")</f>
        <v/>
      </c>
      <c r="C72" s="6">
        <f>IF($B72="",0,MIN(5,INT($B72*5)+1))</f>
        <v/>
      </c>
      <c r="D72" s="15">
        <f>IF($B72="","",IF($B72&lt;=0.25,Entradas!$B$8+(Entradas!$B$9-Entradas!$B$8)*($B72/0.25),IF($B72&lt;=0.5,Entradas!$B$9+(Entradas!$B$10-Entradas!$B$9)*(($B72-0.25)/0.25),IF($B72&lt;=0.75,Entradas!$B$10+(Entradas!$B$11-Entradas!$B$10)*(($B72-0.5)/0.25),Entradas!$B$11+(Entradas!$B$12-Entradas!$B$11)*(($B72-0.75)/0.25)))))</f>
        <v/>
      </c>
      <c r="E72" s="16">
        <f>IF($B72="","",AVERAGE(Entradas!$B$21:$B$22))</f>
        <v/>
      </c>
      <c r="F72" s="17">
        <f>IF($B72="",0,$D72*$E72)</f>
        <v/>
      </c>
    </row>
    <row r="73">
      <c r="A73" s="6">
        <f>IF(29&lt;=Entradas!$B$16,"Rua 29 (S)","")</f>
        <v/>
      </c>
      <c r="B73" s="14">
        <f>IF(29&lt;=Entradas!$B$16,0.5+0.5*((29-0.5)/Entradas!$B$16),"")</f>
        <v/>
      </c>
      <c r="C73" s="6">
        <f>IF($B73="",0,MIN(5,INT($B73*5)+1))</f>
        <v/>
      </c>
      <c r="D73" s="15">
        <f>IF($B73="","",IF($B73&lt;=0.25,Entradas!$B$8+(Entradas!$B$9-Entradas!$B$8)*($B73/0.25),IF($B73&lt;=0.5,Entradas!$B$9+(Entradas!$B$10-Entradas!$B$9)*(($B73-0.25)/0.25),IF($B73&lt;=0.75,Entradas!$B$10+(Entradas!$B$11-Entradas!$B$10)*(($B73-0.5)/0.25),Entradas!$B$11+(Entradas!$B$12-Entradas!$B$11)*(($B73-0.75)/0.25)))))</f>
        <v/>
      </c>
      <c r="E73" s="16">
        <f>IF($B73="","",AVERAGE(Entradas!$B$21:$B$22))</f>
        <v/>
      </c>
      <c r="F73" s="17">
        <f>IF($B73="",0,$D73*$E73)</f>
        <v/>
      </c>
    </row>
    <row r="74">
      <c r="A74" s="6">
        <f>IF(30&lt;=Entradas!$B$16,"Rua 30 (S)","")</f>
        <v/>
      </c>
      <c r="B74" s="14">
        <f>IF(30&lt;=Entradas!$B$16,0.5+0.5*((30-0.5)/Entradas!$B$16),"")</f>
        <v/>
      </c>
      <c r="C74" s="6">
        <f>IF($B74="",0,MIN(5,INT($B74*5)+1))</f>
        <v/>
      </c>
      <c r="D74" s="15">
        <f>IF($B74="","",IF($B74&lt;=0.25,Entradas!$B$8+(Entradas!$B$9-Entradas!$B$8)*($B74/0.25),IF($B74&lt;=0.5,Entradas!$B$9+(Entradas!$B$10-Entradas!$B$9)*(($B74-0.25)/0.25),IF($B74&lt;=0.75,Entradas!$B$10+(Entradas!$B$11-Entradas!$B$10)*(($B74-0.5)/0.25),Entradas!$B$11+(Entradas!$B$12-Entradas!$B$11)*(($B74-0.75)/0.25)))))</f>
        <v/>
      </c>
      <c r="E74" s="16">
        <f>IF($B74="","",AVERAGE(Entradas!$B$21:$B$22))</f>
        <v/>
      </c>
      <c r="F74" s="17">
        <f>IF($B74="",0,$D74*$E74)</f>
        <v/>
      </c>
    </row>
    <row r="75">
      <c r="A75" s="6">
        <f>IF(31&lt;=Entradas!$B$16,"Rua 31 (S)","")</f>
        <v/>
      </c>
      <c r="B75" s="14">
        <f>IF(31&lt;=Entradas!$B$16,0.5+0.5*((31-0.5)/Entradas!$B$16),"")</f>
        <v/>
      </c>
      <c r="C75" s="6">
        <f>IF($B75="",0,MIN(5,INT($B75*5)+1))</f>
        <v/>
      </c>
      <c r="D75" s="15">
        <f>IF($B75="","",IF($B75&lt;=0.25,Entradas!$B$8+(Entradas!$B$9-Entradas!$B$8)*($B75/0.25),IF($B75&lt;=0.5,Entradas!$B$9+(Entradas!$B$10-Entradas!$B$9)*(($B75-0.25)/0.25),IF($B75&lt;=0.75,Entradas!$B$10+(Entradas!$B$11-Entradas!$B$10)*(($B75-0.5)/0.25),Entradas!$B$11+(Entradas!$B$12-Entradas!$B$11)*(($B75-0.75)/0.25)))))</f>
        <v/>
      </c>
      <c r="E75" s="16">
        <f>IF($B75="","",AVERAGE(Entradas!$B$21:$B$22))</f>
        <v/>
      </c>
      <c r="F75" s="17">
        <f>IF($B75="",0,$D75*$E75)</f>
        <v/>
      </c>
    </row>
    <row r="76">
      <c r="A76" s="6">
        <f>IF(32&lt;=Entradas!$B$16,"Rua 32 (S)","")</f>
        <v/>
      </c>
      <c r="B76" s="14">
        <f>IF(32&lt;=Entradas!$B$16,0.5+0.5*((32-0.5)/Entradas!$B$16),"")</f>
        <v/>
      </c>
      <c r="C76" s="6">
        <f>IF($B76="",0,MIN(5,INT($B76*5)+1))</f>
        <v/>
      </c>
      <c r="D76" s="15">
        <f>IF($B76="","",IF($B76&lt;=0.25,Entradas!$B$8+(Entradas!$B$9-Entradas!$B$8)*($B76/0.25),IF($B76&lt;=0.5,Entradas!$B$9+(Entradas!$B$10-Entradas!$B$9)*(($B76-0.25)/0.25),IF($B76&lt;=0.75,Entradas!$B$10+(Entradas!$B$11-Entradas!$B$10)*(($B76-0.5)/0.25),Entradas!$B$11+(Entradas!$B$12-Entradas!$B$11)*(($B76-0.75)/0.25)))))</f>
        <v/>
      </c>
      <c r="E76" s="16">
        <f>IF($B76="","",AVERAGE(Entradas!$B$21:$B$22))</f>
        <v/>
      </c>
      <c r="F76" s="17">
        <f>IF($B76="",0,$D76*$E76)</f>
        <v/>
      </c>
    </row>
    <row r="77">
      <c r="A77" s="6">
        <f>IF(33&lt;=Entradas!$B$16,"Rua 33 (S)","")</f>
        <v/>
      </c>
      <c r="B77" s="14">
        <f>IF(33&lt;=Entradas!$B$16,0.5+0.5*((33-0.5)/Entradas!$B$16),"")</f>
        <v/>
      </c>
      <c r="C77" s="6">
        <f>IF($B77="",0,MIN(5,INT($B77*5)+1))</f>
        <v/>
      </c>
      <c r="D77" s="15">
        <f>IF($B77="","",IF($B77&lt;=0.25,Entradas!$B$8+(Entradas!$B$9-Entradas!$B$8)*($B77/0.25),IF($B77&lt;=0.5,Entradas!$B$9+(Entradas!$B$10-Entradas!$B$9)*(($B77-0.25)/0.25),IF($B77&lt;=0.75,Entradas!$B$10+(Entradas!$B$11-Entradas!$B$10)*(($B77-0.5)/0.25),Entradas!$B$11+(Entradas!$B$12-Entradas!$B$11)*(($B77-0.75)/0.25)))))</f>
        <v/>
      </c>
      <c r="E77" s="16">
        <f>IF($B77="","",AVERAGE(Entradas!$B$21:$B$22))</f>
        <v/>
      </c>
      <c r="F77" s="17">
        <f>IF($B77="",0,$D77*$E77)</f>
        <v/>
      </c>
    </row>
    <row r="78">
      <c r="A78" s="6">
        <f>IF(34&lt;=Entradas!$B$16,"Rua 34 (S)","")</f>
        <v/>
      </c>
      <c r="B78" s="14">
        <f>IF(34&lt;=Entradas!$B$16,0.5+0.5*((34-0.5)/Entradas!$B$16),"")</f>
        <v/>
      </c>
      <c r="C78" s="6">
        <f>IF($B78="",0,MIN(5,INT($B78*5)+1))</f>
        <v/>
      </c>
      <c r="D78" s="15">
        <f>IF($B78="","",IF($B78&lt;=0.25,Entradas!$B$8+(Entradas!$B$9-Entradas!$B$8)*($B78/0.25),IF($B78&lt;=0.5,Entradas!$B$9+(Entradas!$B$10-Entradas!$B$9)*(($B78-0.25)/0.25),IF($B78&lt;=0.75,Entradas!$B$10+(Entradas!$B$11-Entradas!$B$10)*(($B78-0.5)/0.25),Entradas!$B$11+(Entradas!$B$12-Entradas!$B$11)*(($B78-0.75)/0.25)))))</f>
        <v/>
      </c>
      <c r="E78" s="16">
        <f>IF($B78="","",AVERAGE(Entradas!$B$21:$B$22))</f>
        <v/>
      </c>
      <c r="F78" s="17">
        <f>IF($B78="",0,$D78*$E78)</f>
        <v/>
      </c>
    </row>
    <row r="79">
      <c r="A79" s="6">
        <f>IF(35&lt;=Entradas!$B$16,"Rua 35 (S)","")</f>
        <v/>
      </c>
      <c r="B79" s="14">
        <f>IF(35&lt;=Entradas!$B$16,0.5+0.5*((35-0.5)/Entradas!$B$16),"")</f>
        <v/>
      </c>
      <c r="C79" s="6">
        <f>IF($B79="",0,MIN(5,INT($B79*5)+1))</f>
        <v/>
      </c>
      <c r="D79" s="15">
        <f>IF($B79="","",IF($B79&lt;=0.25,Entradas!$B$8+(Entradas!$B$9-Entradas!$B$8)*($B79/0.25),IF($B79&lt;=0.5,Entradas!$B$9+(Entradas!$B$10-Entradas!$B$9)*(($B79-0.25)/0.25),IF($B79&lt;=0.75,Entradas!$B$10+(Entradas!$B$11-Entradas!$B$10)*(($B79-0.5)/0.25),Entradas!$B$11+(Entradas!$B$12-Entradas!$B$11)*(($B79-0.75)/0.25)))))</f>
        <v/>
      </c>
      <c r="E79" s="16">
        <f>IF($B79="","",AVERAGE(Entradas!$B$21:$B$22))</f>
        <v/>
      </c>
      <c r="F79" s="17">
        <f>IF($B79="",0,$D79*$E79)</f>
        <v/>
      </c>
    </row>
    <row r="80">
      <c r="A80" s="6">
        <f>IF(36&lt;=Entradas!$B$16,"Rua 36 (S)","")</f>
        <v/>
      </c>
      <c r="B80" s="14">
        <f>IF(36&lt;=Entradas!$B$16,0.5+0.5*((36-0.5)/Entradas!$B$16),"")</f>
        <v/>
      </c>
      <c r="C80" s="6">
        <f>IF($B80="",0,MIN(5,INT($B80*5)+1))</f>
        <v/>
      </c>
      <c r="D80" s="15">
        <f>IF($B80="","",IF($B80&lt;=0.25,Entradas!$B$8+(Entradas!$B$9-Entradas!$B$8)*($B80/0.25),IF($B80&lt;=0.5,Entradas!$B$9+(Entradas!$B$10-Entradas!$B$9)*(($B80-0.25)/0.25),IF($B80&lt;=0.75,Entradas!$B$10+(Entradas!$B$11-Entradas!$B$10)*(($B80-0.5)/0.25),Entradas!$B$11+(Entradas!$B$12-Entradas!$B$11)*(($B80-0.75)/0.25)))))</f>
        <v/>
      </c>
      <c r="E80" s="16">
        <f>IF($B80="","",AVERAGE(Entradas!$B$21:$B$22))</f>
        <v/>
      </c>
      <c r="F80" s="17">
        <f>IF($B80="",0,$D80*$E80)</f>
        <v/>
      </c>
    </row>
    <row r="81">
      <c r="A81" s="6">
        <f>IF(37&lt;=Entradas!$B$16,"Rua 37 (S)","")</f>
        <v/>
      </c>
      <c r="B81" s="14">
        <f>IF(37&lt;=Entradas!$B$16,0.5+0.5*((37-0.5)/Entradas!$B$16),"")</f>
        <v/>
      </c>
      <c r="C81" s="6">
        <f>IF($B81="",0,MIN(5,INT($B81*5)+1))</f>
        <v/>
      </c>
      <c r="D81" s="15">
        <f>IF($B81="","",IF($B81&lt;=0.25,Entradas!$B$8+(Entradas!$B$9-Entradas!$B$8)*($B81/0.25),IF($B81&lt;=0.5,Entradas!$B$9+(Entradas!$B$10-Entradas!$B$9)*(($B81-0.25)/0.25),IF($B81&lt;=0.75,Entradas!$B$10+(Entradas!$B$11-Entradas!$B$10)*(($B81-0.5)/0.25),Entradas!$B$11+(Entradas!$B$12-Entradas!$B$11)*(($B81-0.75)/0.25)))))</f>
        <v/>
      </c>
      <c r="E81" s="16">
        <f>IF($B81="","",AVERAGE(Entradas!$B$21:$B$22))</f>
        <v/>
      </c>
      <c r="F81" s="17">
        <f>IF($B81="",0,$D81*$E81)</f>
        <v/>
      </c>
    </row>
    <row r="82">
      <c r="A82" s="6">
        <f>IF(38&lt;=Entradas!$B$16,"Rua 38 (S)","")</f>
        <v/>
      </c>
      <c r="B82" s="14">
        <f>IF(38&lt;=Entradas!$B$16,0.5+0.5*((38-0.5)/Entradas!$B$16),"")</f>
        <v/>
      </c>
      <c r="C82" s="6">
        <f>IF($B82="",0,MIN(5,INT($B82*5)+1))</f>
        <v/>
      </c>
      <c r="D82" s="15">
        <f>IF($B82="","",IF($B82&lt;=0.25,Entradas!$B$8+(Entradas!$B$9-Entradas!$B$8)*($B82/0.25),IF($B82&lt;=0.5,Entradas!$B$9+(Entradas!$B$10-Entradas!$B$9)*(($B82-0.25)/0.25),IF($B82&lt;=0.75,Entradas!$B$10+(Entradas!$B$11-Entradas!$B$10)*(($B82-0.5)/0.25),Entradas!$B$11+(Entradas!$B$12-Entradas!$B$11)*(($B82-0.75)/0.25)))))</f>
        <v/>
      </c>
      <c r="E82" s="16">
        <f>IF($B82="","",AVERAGE(Entradas!$B$21:$B$22))</f>
        <v/>
      </c>
      <c r="F82" s="17">
        <f>IF($B82="",0,$D82*$E82)</f>
        <v/>
      </c>
    </row>
    <row r="83">
      <c r="A83" s="6">
        <f>IF(39&lt;=Entradas!$B$16,"Rua 39 (S)","")</f>
        <v/>
      </c>
      <c r="B83" s="14">
        <f>IF(39&lt;=Entradas!$B$16,0.5+0.5*((39-0.5)/Entradas!$B$16),"")</f>
        <v/>
      </c>
      <c r="C83" s="6">
        <f>IF($B83="",0,MIN(5,INT($B83*5)+1))</f>
        <v/>
      </c>
      <c r="D83" s="15">
        <f>IF($B83="","",IF($B83&lt;=0.25,Entradas!$B$8+(Entradas!$B$9-Entradas!$B$8)*($B83/0.25),IF($B83&lt;=0.5,Entradas!$B$9+(Entradas!$B$10-Entradas!$B$9)*(($B83-0.25)/0.25),IF($B83&lt;=0.75,Entradas!$B$10+(Entradas!$B$11-Entradas!$B$10)*(($B83-0.5)/0.25),Entradas!$B$11+(Entradas!$B$12-Entradas!$B$11)*(($B83-0.75)/0.25)))))</f>
        <v/>
      </c>
      <c r="E83" s="16">
        <f>IF($B83="","",AVERAGE(Entradas!$B$21:$B$22))</f>
        <v/>
      </c>
      <c r="F83" s="17">
        <f>IF($B83="",0,$D83*$E83)</f>
        <v/>
      </c>
    </row>
    <row r="84">
      <c r="A84" s="6">
        <f>IF(40&lt;=Entradas!$B$16,"Rua 40 (S)","")</f>
        <v/>
      </c>
      <c r="B84" s="14">
        <f>IF(40&lt;=Entradas!$B$16,0.5+0.5*((40-0.5)/Entradas!$B$16),"")</f>
        <v/>
      </c>
      <c r="C84" s="6">
        <f>IF($B84="",0,MIN(5,INT($B84*5)+1))</f>
        <v/>
      </c>
      <c r="D84" s="15">
        <f>IF($B84="","",IF($B84&lt;=0.25,Entradas!$B$8+(Entradas!$B$9-Entradas!$B$8)*($B84/0.25),IF($B84&lt;=0.5,Entradas!$B$9+(Entradas!$B$10-Entradas!$B$9)*(($B84-0.25)/0.25),IF($B84&lt;=0.75,Entradas!$B$10+(Entradas!$B$11-Entradas!$B$10)*(($B84-0.5)/0.25),Entradas!$B$11+(Entradas!$B$12-Entradas!$B$11)*(($B84-0.75)/0.25)))))</f>
        <v/>
      </c>
      <c r="E84" s="16">
        <f>IF($B84="","",AVERAGE(Entradas!$B$21:$B$22))</f>
        <v/>
      </c>
      <c r="F84" s="17">
        <f>IF($B84="",0,$D84*$E84)</f>
        <v/>
      </c>
    </row>
    <row r="86">
      <c r="A86" s="5" t="inlineStr">
        <is>
          <t>AVENIDAS LONGITUDINAIS</t>
        </is>
      </c>
    </row>
    <row r="87">
      <c r="A87" s="8" t="inlineStr">
        <is>
          <t>Avenida</t>
        </is>
      </c>
      <c r="B87" s="8" t="inlineStr">
        <is>
          <t>Zonas onde existe (de 5)</t>
        </is>
      </c>
      <c r="C87" s="8" t="inlineStr"/>
      <c r="D87" s="8" t="inlineStr">
        <is>
          <t>Comprimento (m)</t>
        </is>
      </c>
      <c r="E87" s="8" t="inlineStr">
        <is>
          <t>Caixa (m)</t>
        </is>
      </c>
      <c r="F87" s="8" t="inlineStr">
        <is>
          <t>Área (m²)</t>
        </is>
      </c>
    </row>
    <row r="88">
      <c r="A88" s="6">
        <f>IF(1&lt;=MAX(Entradas!$C$8:$C$12),"Avenida 1ª","")</f>
        <v/>
      </c>
      <c r="B88" s="6">
        <f>IF($A88="","",COUNTIF(Entradas!$C$8:$C$12,"&gt;="&amp;1))</f>
        <v/>
      </c>
      <c r="D88" s="15">
        <f>IF($A88="","",$B88*(Entradas!$B$5*1000/5))</f>
        <v/>
      </c>
      <c r="E88" s="16">
        <f>IF($A88="","",AVERAGE(Entradas!$B$19:$B$20))</f>
        <v/>
      </c>
      <c r="F88" s="17">
        <f>IF($A88="",0,$D88*$E88)</f>
        <v/>
      </c>
    </row>
    <row r="89">
      <c r="A89" s="6">
        <f>IF(2&lt;=MAX(Entradas!$C$8:$C$12),"Avenida 2ª","")</f>
        <v/>
      </c>
      <c r="B89" s="6">
        <f>IF($A89="","",COUNTIF(Entradas!$C$8:$C$12,"&gt;="&amp;2))</f>
        <v/>
      </c>
      <c r="D89" s="15">
        <f>IF($A89="","",$B89*(Entradas!$B$5*1000/5))</f>
        <v/>
      </c>
      <c r="E89" s="16">
        <f>IF($A89="","",AVERAGE(Entradas!$B$19:$B$20))</f>
        <v/>
      </c>
      <c r="F89" s="17">
        <f>IF($A89="",0,$D89*$E89)</f>
        <v/>
      </c>
    </row>
    <row r="90">
      <c r="A90" s="6">
        <f>IF(3&lt;=MAX(Entradas!$C$8:$C$12),"Avenida 3ª","")</f>
        <v/>
      </c>
      <c r="B90" s="6">
        <f>IF($A90="","",COUNTIF(Entradas!$C$8:$C$12,"&gt;="&amp;3))</f>
        <v/>
      </c>
      <c r="D90" s="15">
        <f>IF($A90="","",$B90*(Entradas!$B$5*1000/5))</f>
        <v/>
      </c>
      <c r="E90" s="16">
        <f>IF($A90="","",AVERAGE(Entradas!$B$19:$B$20))</f>
        <v/>
      </c>
      <c r="F90" s="17">
        <f>IF($A90="",0,$D90*$E90)</f>
        <v/>
      </c>
    </row>
    <row r="91">
      <c r="A91" s="6">
        <f>IF(4&lt;=MAX(Entradas!$C$8:$C$12),"Avenida 4ª","")</f>
        <v/>
      </c>
      <c r="B91" s="6">
        <f>IF($A91="","",COUNTIF(Entradas!$C$8:$C$12,"&gt;="&amp;4))</f>
        <v/>
      </c>
      <c r="D91" s="15">
        <f>IF($A91="","",$B91*(Entradas!$B$5*1000/5))</f>
        <v/>
      </c>
      <c r="E91" s="16">
        <f>IF($A91="","",AVERAGE(Entradas!$B$19:$B$20))</f>
        <v/>
      </c>
      <c r="F91" s="17">
        <f>IF($A91="",0,$D91*$E91)</f>
        <v/>
      </c>
    </row>
    <row r="92">
      <c r="A92" s="6">
        <f>IF(5&lt;=MAX(Entradas!$C$8:$C$12),"Avenida 5ª","")</f>
        <v/>
      </c>
      <c r="B92" s="6">
        <f>IF($A92="","",COUNTIF(Entradas!$C$8:$C$12,"&gt;="&amp;5))</f>
        <v/>
      </c>
      <c r="D92" s="15">
        <f>IF($A92="","",$B92*(Entradas!$B$5*1000/5))</f>
        <v/>
      </c>
      <c r="E92" s="16">
        <f>IF($A92="","",AVERAGE(Entradas!$B$19:$B$20))</f>
        <v/>
      </c>
      <c r="F92" s="17">
        <f>IF($A92="",0,$D92*$E92)</f>
        <v/>
      </c>
    </row>
    <row r="93">
      <c r="A93" s="6">
        <f>IF(6&lt;=MAX(Entradas!$C$8:$C$12),"Avenida 6ª","")</f>
        <v/>
      </c>
      <c r="B93" s="6">
        <f>IF($A93="","",COUNTIF(Entradas!$C$8:$C$12,"&gt;="&amp;6))</f>
        <v/>
      </c>
      <c r="D93" s="15">
        <f>IF($A93="","",$B93*(Entradas!$B$5*1000/5))</f>
        <v/>
      </c>
      <c r="E93" s="16">
        <f>IF($A93="","",AVERAGE(Entradas!$B$19:$B$20))</f>
        <v/>
      </c>
      <c r="F93" s="17">
        <f>IF($A93="",0,$D93*$E93)</f>
        <v/>
      </c>
    </row>
    <row r="94">
      <c r="A94" s="6">
        <f>IF(7&lt;=MAX(Entradas!$C$8:$C$12),"Avenida 7ª","")</f>
        <v/>
      </c>
      <c r="B94" s="6">
        <f>IF($A94="","",COUNTIF(Entradas!$C$8:$C$12,"&gt;="&amp;7))</f>
        <v/>
      </c>
      <c r="D94" s="15">
        <f>IF($A94="","",$B94*(Entradas!$B$5*1000/5))</f>
        <v/>
      </c>
      <c r="E94" s="16">
        <f>IF($A94="","",AVERAGE(Entradas!$B$19:$B$20))</f>
        <v/>
      </c>
      <c r="F94" s="17">
        <f>IF($A94="",0,$D94*$E94)</f>
        <v/>
      </c>
    </row>
    <row r="95">
      <c r="A95" s="6">
        <f>IF(8&lt;=MAX(Entradas!$C$8:$C$12),"Avenida 8ª","")</f>
        <v/>
      </c>
      <c r="B95" s="6">
        <f>IF($A95="","",COUNTIF(Entradas!$C$8:$C$12,"&gt;="&amp;8))</f>
        <v/>
      </c>
      <c r="D95" s="15">
        <f>IF($A95="","",$B95*(Entradas!$B$5*1000/5))</f>
        <v/>
      </c>
      <c r="E95" s="16">
        <f>IF($A95="","",AVERAGE(Entradas!$B$19:$B$20))</f>
        <v/>
      </c>
      <c r="F95" s="17">
        <f>IF($A95="",0,$D95*$E95)</f>
        <v/>
      </c>
    </row>
    <row r="96">
      <c r="A96" s="6">
        <f>IF(9&lt;=MAX(Entradas!$C$8:$C$12),"Avenida 9ª","")</f>
        <v/>
      </c>
      <c r="B96" s="6">
        <f>IF($A96="","",COUNTIF(Entradas!$C$8:$C$12,"&gt;="&amp;9))</f>
        <v/>
      </c>
      <c r="D96" s="15">
        <f>IF($A96="","",$B96*(Entradas!$B$5*1000/5))</f>
        <v/>
      </c>
      <c r="E96" s="16">
        <f>IF($A96="","",AVERAGE(Entradas!$B$19:$B$20))</f>
        <v/>
      </c>
      <c r="F96" s="17">
        <f>IF($A96="",0,$D96*$E96)</f>
        <v/>
      </c>
    </row>
    <row r="97">
      <c r="A97" s="6">
        <f>IF(10&lt;=MAX(Entradas!$C$8:$C$12),"Avenida 10ª","")</f>
        <v/>
      </c>
      <c r="B97" s="6">
        <f>IF($A97="","",COUNTIF(Entradas!$C$8:$C$12,"&gt;="&amp;10))</f>
        <v/>
      </c>
      <c r="D97" s="15">
        <f>IF($A97="","",$B97*(Entradas!$B$5*1000/5))</f>
        <v/>
      </c>
      <c r="E97" s="16">
        <f>IF($A97="","",AVERAGE(Entradas!$B$19:$B$20))</f>
        <v/>
      </c>
      <c r="F97" s="17">
        <f>IF($A97="",0,$D97*$E97)</f>
        <v/>
      </c>
    </row>
    <row r="98">
      <c r="A98" s="6">
        <f>IF(11&lt;=MAX(Entradas!$C$8:$C$12),"Avenida 11ª","")</f>
        <v/>
      </c>
      <c r="B98" s="6">
        <f>IF($A98="","",COUNTIF(Entradas!$C$8:$C$12,"&gt;="&amp;11))</f>
        <v/>
      </c>
      <c r="D98" s="15">
        <f>IF($A98="","",$B98*(Entradas!$B$5*1000/5))</f>
        <v/>
      </c>
      <c r="E98" s="16">
        <f>IF($A98="","",AVERAGE(Entradas!$B$19:$B$20))</f>
        <v/>
      </c>
      <c r="F98" s="17">
        <f>IF($A98="",0,$D98*$E98)</f>
        <v/>
      </c>
    </row>
    <row r="99">
      <c r="A99" s="6">
        <f>IF(12&lt;=MAX(Entradas!$C$8:$C$12),"Avenida 12ª","")</f>
        <v/>
      </c>
      <c r="B99" s="6">
        <f>IF($A99="","",COUNTIF(Entradas!$C$8:$C$12,"&gt;="&amp;12))</f>
        <v/>
      </c>
      <c r="D99" s="15">
        <f>IF($A99="","",$B99*(Entradas!$B$5*1000/5))</f>
        <v/>
      </c>
      <c r="E99" s="16">
        <f>IF($A99="","",AVERAGE(Entradas!$B$19:$B$20))</f>
        <v/>
      </c>
      <c r="F99" s="17">
        <f>IF($A99="",0,$D99*$E99)</f>
        <v/>
      </c>
    </row>
    <row r="100">
      <c r="A100" s="6">
        <f>IF(13&lt;=MAX(Entradas!$C$8:$C$12),"Avenida 13ª","")</f>
        <v/>
      </c>
      <c r="B100" s="6">
        <f>IF($A100="","",COUNTIF(Entradas!$C$8:$C$12,"&gt;="&amp;13))</f>
        <v/>
      </c>
      <c r="D100" s="15">
        <f>IF($A100="","",$B100*(Entradas!$B$5*1000/5))</f>
        <v/>
      </c>
      <c r="E100" s="16">
        <f>IF($A100="","",AVERAGE(Entradas!$B$19:$B$20))</f>
        <v/>
      </c>
      <c r="F100" s="17">
        <f>IF($A100="",0,$D100*$E100)</f>
        <v/>
      </c>
    </row>
    <row r="101">
      <c r="A101" s="6">
        <f>IF(14&lt;=MAX(Entradas!$C$8:$C$12),"Avenida 14ª","")</f>
        <v/>
      </c>
      <c r="B101" s="6">
        <f>IF($A101="","",COUNTIF(Entradas!$C$8:$C$12,"&gt;="&amp;14))</f>
        <v/>
      </c>
      <c r="D101" s="15">
        <f>IF($A101="","",$B101*(Entradas!$B$5*1000/5))</f>
        <v/>
      </c>
      <c r="E101" s="16">
        <f>IF($A101="","",AVERAGE(Entradas!$B$19:$B$20))</f>
        <v/>
      </c>
      <c r="F101" s="17">
        <f>IF($A101="",0,$D101*$E101)</f>
        <v/>
      </c>
    </row>
    <row r="102">
      <c r="A102" s="6">
        <f>IF(15&lt;=MAX(Entradas!$C$8:$C$12),"Avenida 15ª","")</f>
        <v/>
      </c>
      <c r="B102" s="6">
        <f>IF($A102="","",COUNTIF(Entradas!$C$8:$C$12,"&gt;="&amp;15))</f>
        <v/>
      </c>
      <c r="D102" s="15">
        <f>IF($A102="","",$B102*(Entradas!$B$5*1000/5))</f>
        <v/>
      </c>
      <c r="E102" s="16">
        <f>IF($A102="","",AVERAGE(Entradas!$B$19:$B$20))</f>
        <v/>
      </c>
      <c r="F102" s="17">
        <f>IF($A102="",0,$D102*$E102)</f>
        <v/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6" customWidth="1" min="3" max="3"/>
    <col width="3" customWidth="1" min="4" max="4"/>
    <col width="16" customWidth="1" min="5" max="5"/>
    <col width="3" customWidth="1" min="6" max="6"/>
    <col width="52" customWidth="1" min="7" max="7"/>
  </cols>
  <sheetData>
    <row r="1">
      <c r="A1" s="4" t="inlineStr">
        <is>
          <t>RESULTADOS E CHECAGENS</t>
        </is>
      </c>
    </row>
    <row r="3">
      <c r="A3" s="5" t="inlineStr">
        <is>
          <t>A · TOTAIS DA MALHA</t>
        </is>
      </c>
    </row>
    <row r="4">
      <c r="A4" s="6" t="inlineStr">
        <is>
          <t>Nº de ruas transversais (norte + sul)</t>
        </is>
      </c>
      <c r="B4" s="18">
        <f>Entradas!B15+Entradas!B16</f>
        <v/>
      </c>
    </row>
    <row r="5">
      <c r="A5" s="6" t="inlineStr">
        <is>
          <t>Nº de avenidas (máximo entre estações)</t>
        </is>
      </c>
      <c r="B5" s="18">
        <f>MAX(Entradas!C8:C12)</f>
        <v/>
      </c>
    </row>
    <row r="6">
      <c r="A6" s="6" t="inlineStr">
        <is>
          <t>Extensão total das ruas (km)</t>
        </is>
      </c>
      <c r="B6" s="19">
        <f>SUM(Malha!$D$5:$D$84)/1000</f>
        <v/>
      </c>
    </row>
    <row r="7">
      <c r="A7" s="6" t="inlineStr">
        <is>
          <t>Extensão total das avenidas (km)</t>
        </is>
      </c>
      <c r="B7" s="19">
        <f>SUM(Malha!$D$88:$D$102)/1000</f>
        <v/>
      </c>
    </row>
    <row r="8">
      <c r="A8" s="6" t="inlineStr">
        <is>
          <t>EXTENSÃO TOTAL DA MALHA (km)</t>
        </is>
      </c>
      <c r="B8" s="20">
        <f>B6+B7</f>
        <v/>
      </c>
    </row>
    <row r="9">
      <c r="A9" s="6" t="inlineStr">
        <is>
          <t>ÁREA TOTAL DE VIAS (m²)</t>
        </is>
      </c>
      <c r="B9" s="21">
        <f>SUM(Malha!$F$5:$F$84)+SUM(Malha!$F$88:$F$102)</f>
        <v/>
      </c>
    </row>
    <row r="10">
      <c r="A10" s="6" t="inlineStr">
        <is>
          <t>Largura média implícita (m²/m)</t>
        </is>
      </c>
      <c r="B10" s="16">
        <f>IF(B8&gt;0,B9/(B8*1000),"")</f>
        <v/>
      </c>
    </row>
    <row r="12">
      <c r="A12" s="5" t="inlineStr">
        <is>
          <t>B · PAVIMENTO</t>
        </is>
      </c>
    </row>
    <row r="13">
      <c r="A13" s="6" t="inlineStr">
        <is>
          <t>Área pavimentada — ruas (m²)</t>
        </is>
      </c>
      <c r="B13" s="17">
        <f>SUMPRODUCT((Malha!$C$5:$C$84=1)*Malha!$F$5:$F$84)*Entradas!E8+SUMPRODUCT((Malha!$C$5:$C$84=2)*Malha!$F$5:$F$84)*Entradas!E9+SUMPRODUCT((Malha!$C$5:$C$84=3)*Malha!$F$5:$F$84)*Entradas!E10+SUMPRODUCT((Malha!$C$5:$C$84=4)*Malha!$F$5:$F$84)*Entradas!E11+SUMPRODUCT((Malha!$C$5:$C$84=5)*Malha!$F$5:$F$84)*Entradas!E12</f>
        <v/>
      </c>
    </row>
    <row r="14">
      <c r="A14" s="6" t="inlineStr">
        <is>
          <t>Área pavimentada — avenidas (m²)</t>
        </is>
      </c>
      <c r="B14" s="17">
        <f>(Entradas!B5*1000/5)*AVERAGE(Entradas!B19:B20)*(Entradas!C8*Entradas!D8+Entradas!C9*Entradas!D9+Entradas!C10*Entradas!D10+Entradas!C11*Entradas!D11+Entradas!C12*Entradas!D12)</f>
        <v/>
      </c>
    </row>
    <row r="15">
      <c r="A15" s="6" t="inlineStr">
        <is>
          <t>ÁREA JÁ PAVIMENTADA (m²)</t>
        </is>
      </c>
      <c r="B15" s="22">
        <f>B13+B14</f>
        <v/>
      </c>
    </row>
    <row r="16">
      <c r="A16" s="6" t="inlineStr">
        <is>
          <t>ÁREA A PAVIMENTAR (m²)</t>
        </is>
      </c>
      <c r="B16" s="21">
        <f>B9-B15</f>
        <v/>
      </c>
    </row>
    <row r="17">
      <c r="A17" s="6" t="inlineStr">
        <is>
          <t>% da malha já pavimentada</t>
        </is>
      </c>
      <c r="B17" s="23">
        <f>IF(B9&gt;0,B15/B9,"")</f>
        <v/>
      </c>
    </row>
    <row r="19">
      <c r="A19" s="5" t="inlineStr">
        <is>
          <t>C · CONVERSÃO EM DEMANDA (fatores editáveis)</t>
        </is>
      </c>
    </row>
    <row r="20">
      <c r="A20" s="6" t="inlineStr">
        <is>
          <t>Agregados por m² de urbanização (t/m²) — fator ANEPAC</t>
        </is>
      </c>
      <c r="B20" s="24" t="n">
        <v>1.4</v>
      </c>
    </row>
    <row r="21">
      <c r="A21" s="6" t="inlineStr">
        <is>
          <t>Participação da brita no mix de agregados — ANEPAC</t>
        </is>
      </c>
      <c r="B21" s="11" t="n">
        <v>0.42</v>
      </c>
    </row>
    <row r="22">
      <c r="A22" s="6" t="inlineStr">
        <is>
          <t>AGREGADOS na área a pavimentar (t)</t>
        </is>
      </c>
      <c r="B22" s="25">
        <f>B16*B20</f>
        <v/>
      </c>
    </row>
    <row r="23">
      <c r="A23" s="6" t="inlineStr">
        <is>
          <t>BRITA na área a pavimentar (t)</t>
        </is>
      </c>
      <c r="B23" s="26">
        <f>B22*B21</f>
        <v/>
      </c>
    </row>
    <row r="25">
      <c r="A25" s="5" t="inlineStr">
        <is>
          <t>D · CHECAGENS CONTRA AS TRÊS ÂNCORAS INDEPENDENTES</t>
        </is>
      </c>
    </row>
    <row r="26">
      <c r="A26" s="6" t="inlineStr">
        <is>
          <t>Âncora 1 — Bacia 1 contratada: 125.000 m² ÷ 13,5 km = 9,26 m de largura média</t>
        </is>
      </c>
      <c r="B26" s="6">
        <f>IF(B10="","",IF(ABS(B10-9.26)/9.26&lt;=0.35,"coerente","DIVERGE — rever caixas do Passo 5"))</f>
        <v/>
      </c>
    </row>
    <row r="27">
      <c r="A27" s="6" t="inlineStr">
        <is>
          <t>Âncora 2 — logradouros oficiais: ~146 (CEP: Guriri Norte ~70 + Guriri Sul ~76)</t>
        </is>
      </c>
      <c r="B27" s="6">
        <f>IF(B4=0,"",IF(ABS((B4+B5)-146)/146&lt;=0.35,"coerente","verificar — a contagem CEP inclui travessas e vias nomeadas fora da grade"))</f>
        <v/>
      </c>
    </row>
    <row r="28">
      <c r="A28" s="6" t="inlineStr">
        <is>
          <t>Âncora 3 — estimativa do Estudo (grade): 40–48 km e 350.000–400.000 m²</t>
        </is>
      </c>
      <c r="B28" s="6">
        <f>IF(B8=0,"",IF(AND(B8&gt;=40*0.85,B8&lt;=48*1.15),"dentro da banda","fora da banda — o Estudo será ajustado ao medido"))</f>
        <v/>
      </c>
    </row>
    <row r="30" ht="46" customHeight="1">
      <c r="A30" s="12" t="inlineStr">
        <is>
          <t>Nota: este levantamento substitui a estimativa de grade do Estudo (item 7.2) assim que preenchido. Divergência não é problema — o número MEDIDO prevalece e o pacote é ajustado a ele; as checagens existem para pegar erro de unidade (km × m, régua no zoom errado), não para forçar concordância.</t>
        </is>
      </c>
    </row>
  </sheetData>
  <mergeCells count="1">
    <mergeCell ref="A30:G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2026-08-18T16:49:31Z</dcterms:created>
  <dcterms:modified xmlns:dcterms="http://purl.org/dc/terms/" xmlns:xsi="http://www.w3.org/2001/XMLSchema-instance" xsi:type="dcterms:W3CDTF">2026-08-18T16:49:31Z</dcterms:modified>
</cp:coreProperties>
</file>