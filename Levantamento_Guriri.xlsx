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ntário" sheetId="1" state="visible" r:id="rId1"/>
    <sheet xmlns:r="http://schemas.openxmlformats.org/officeDocument/2006/relationships" name="Conversão" sheetId="2" state="visible" r:id="rId2"/>
    <sheet xmlns:r="http://schemas.openxmlformats.org/officeDocument/2006/relationships" name="Horizonte" sheetId="3" state="visible" r:id="rId3"/>
    <sheet xmlns:r="http://schemas.openxmlformats.org/officeDocument/2006/relationships" name="Por loteament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#,##0&quot; m&quot;"/>
    <numFmt numFmtId="165" formatCode="#,##0&quot; m²&quot;"/>
    <numFmt numFmtId="166" formatCode="0.0%"/>
    <numFmt numFmtId="167" formatCode="#,##0.000"/>
    <numFmt numFmtId="168" formatCode="#,##0&quot; t&quot;"/>
    <numFmt numFmtId="169" formatCode="#,##0&quot; anos&quot;"/>
    <numFmt numFmtId="170" formatCode="0&quot; anos&quot;"/>
    <numFmt numFmtId="171" formatCode="0.0&quot; anos&quot;"/>
  </numFmts>
  <fonts count="7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sz val="10"/>
    </font>
    <font>
      <b val="1"/>
      <color rgb="00FFFFFF"/>
      <sz val="10"/>
    </font>
    <font>
      <sz val="10"/>
    </font>
    <font>
      <b val="1"/>
      <color rgb="000000FF"/>
      <sz val="10"/>
    </font>
  </fonts>
  <fills count="6">
    <fill>
      <patternFill/>
    </fill>
    <fill>
      <patternFill patternType="gray125"/>
    </fill>
    <fill>
      <patternFill patternType="solid">
        <fgColor rgb="00EDF2F9"/>
      </patternFill>
    </fill>
    <fill>
      <patternFill patternType="solid">
        <fgColor rgb="001F3B5C"/>
      </patternFill>
    </fill>
    <fill>
      <patternFill patternType="solid">
        <fgColor rgb="00FFFF00"/>
      </patternFill>
    </fill>
    <fill>
      <patternFill patternType="solid">
        <fgColor rgb="00EAF1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0" fillId="2" borderId="0" pivotButton="0" quotePrefix="0" xfId="0"/>
    <xf numFmtId="0" fontId="4" fillId="3" borderId="0" pivotButton="0" quotePrefix="0" xfId="0"/>
    <xf numFmtId="0" fontId="5" fillId="0" borderId="0" pivotButton="0" quotePrefix="0" xfId="0"/>
    <xf numFmtId="164" fontId="3" fillId="4" borderId="0" pivotButton="0" quotePrefix="0" xfId="0"/>
    <xf numFmtId="165" fontId="5" fillId="0" borderId="0" pivotButton="0" quotePrefix="0" xfId="0"/>
    <xf numFmtId="166" fontId="5" fillId="0" borderId="0" pivotButton="0" quotePrefix="0" xfId="0"/>
    <xf numFmtId="164" fontId="5" fillId="0" borderId="0" pivotButton="0" quotePrefix="0" xfId="0"/>
    <xf numFmtId="164" fontId="3" fillId="0" borderId="0" pivotButton="0" quotePrefix="0" xfId="0"/>
    <xf numFmtId="165" fontId="3" fillId="4" borderId="0" pivotButton="0" quotePrefix="0" xfId="0"/>
    <xf numFmtId="166" fontId="3" fillId="0" borderId="0" pivotButton="0" quotePrefix="0" xfId="0"/>
    <xf numFmtId="165" fontId="3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2" fontId="5" fillId="0" borderId="0" pivotButton="0" quotePrefix="0" xfId="0"/>
    <xf numFmtId="167" fontId="5" fillId="0" borderId="0" pivotButton="0" quotePrefix="0" xfId="0"/>
    <xf numFmtId="167" fontId="3" fillId="4" borderId="0" pivotButton="0" quotePrefix="0" xfId="0"/>
    <xf numFmtId="167" fontId="3" fillId="0" borderId="0" pivotButton="0" quotePrefix="0" xfId="0"/>
    <xf numFmtId="168" fontId="5" fillId="0" borderId="0" pivotButton="0" quotePrefix="0" xfId="0"/>
    <xf numFmtId="168" fontId="3" fillId="0" borderId="0" pivotButton="0" quotePrefix="0" xfId="0"/>
    <xf numFmtId="168" fontId="3" fillId="4" borderId="0" pivotButton="0" quotePrefix="0" xfId="0"/>
    <xf numFmtId="165" fontId="6" fillId="5" borderId="0" pivotButton="0" quotePrefix="0" xfId="0"/>
    <xf numFmtId="166" fontId="3" fillId="4" borderId="0" pivotButton="0" quotePrefix="0" xfId="0"/>
    <xf numFmtId="169" fontId="3" fillId="4" borderId="0" pivotButton="0" quotePrefix="0" xfId="0"/>
    <xf numFmtId="170" fontId="5" fillId="0" borderId="0" pivotButton="0" quotePrefix="0" xfId="0"/>
    <xf numFmtId="171" fontId="3" fillId="0" borderId="0" pivotButton="0" quotePrefix="0" xfId="0"/>
    <xf numFmtId="171" fontId="3" fillId="4" borderId="0" pivotButton="0" quotePrefix="0" xfId="0"/>
    <xf numFmtId="0" fontId="6" fillId="5" borderId="0" pivotButton="0" quotePrefix="0" xfId="0"/>
    <xf numFmtId="164" fontId="6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18" customWidth="1" min="3" max="3"/>
    <col width="16" customWidth="1" min="4" max="4"/>
    <col width="14" customWidth="1" min="5" max="5"/>
    <col width="14" customWidth="1" min="6" max="6"/>
    <col width="3" customWidth="1" min="7" max="7"/>
    <col width="52" customWidth="1" min="8" max="8"/>
  </cols>
  <sheetData>
    <row r="1">
      <c r="A1" s="1" t="inlineStr">
        <is>
          <t>INVENTÁRIO VIÁRIO MEDIDO DE GURIRI — 21 LOTEAMENTOS</t>
        </is>
      </c>
    </row>
    <row r="2" ht="46" customHeight="1">
      <c r="A2" s="2" t="inlineStr">
        <is>
          <t>Extensão de cada via extraída dos PROJETOS DOS 21 LOTEAMENTOS que formam o balneário. Status de pavimentação verificado rua a rua em imagem de satélite e REVERIFICADO por um segundo revisor a cada 350 m de via. Substitui a estimativa por grade das versões anteriores (40–48 km / 350–400 mil m²), que subestimava a malha em 4,0 a 4,8 vezes.</t>
        </is>
      </c>
    </row>
    <row r="4">
      <c r="A4" s="3" t="inlineStr">
        <is>
          <t>A · TOTAIS MEDIDOS</t>
        </is>
      </c>
      <c r="B4" s="4" t="n"/>
      <c r="C4" s="4" t="n"/>
      <c r="D4" s="4" t="n"/>
      <c r="E4" s="4" t="n"/>
      <c r="F4" s="4" t="n"/>
      <c r="G4" s="4" t="n"/>
      <c r="H4" s="4" t="n"/>
    </row>
    <row r="5">
      <c r="A5" s="5" t="inlineStr"/>
      <c r="B5" s="5" t="inlineStr">
        <is>
          <t>Extensão (m)</t>
        </is>
      </c>
      <c r="C5" s="5" t="inlineStr">
        <is>
          <t>Área (m²)</t>
        </is>
      </c>
      <c r="D5" s="5" t="inlineStr">
        <is>
          <t>% do total</t>
        </is>
      </c>
      <c r="E5" s="5" t="inlineStr"/>
      <c r="F5" s="5" t="inlineStr"/>
      <c r="G5" s="5" t="inlineStr"/>
      <c r="H5" s="5" t="inlineStr">
        <is>
          <t>Observação</t>
        </is>
      </c>
    </row>
    <row r="6">
      <c r="A6" s="6" t="inlineStr">
        <is>
          <t>Extensão total de vias</t>
        </is>
      </c>
      <c r="B6" s="7" t="n">
        <v>193373</v>
      </c>
      <c r="C6" s="8">
        <f>B6*8.0</f>
        <v/>
      </c>
      <c r="D6" s="9" t="n">
        <v>1</v>
      </c>
      <c r="H6" s="2" t="inlineStr">
        <is>
          <t>21 loteamentos, pelas plantas de projeto</t>
        </is>
      </c>
    </row>
    <row r="7">
      <c r="A7" s="6" t="inlineStr">
        <is>
          <t>Pista já pavimentada</t>
        </is>
      </c>
      <c r="B7" s="10" t="n">
        <v>38868</v>
      </c>
      <c r="C7" s="8">
        <f>B7*8.0</f>
        <v/>
      </c>
      <c r="D7" s="9">
        <f>B7/$B$6</f>
        <v/>
      </c>
      <c r="H7" s="2" t="inlineStr">
        <is>
          <t>satélite + dupla verificação a cada 350 m</t>
        </is>
      </c>
    </row>
    <row r="8">
      <c r="A8" s="6" t="inlineStr">
        <is>
          <t>FALTA PAVIMENTAR (pista)</t>
        </is>
      </c>
      <c r="B8" s="11" t="n">
        <v>154506</v>
      </c>
      <c r="C8" s="12" t="n">
        <v>1236048</v>
      </c>
      <c r="D8" s="13">
        <f>B8/$B$6</f>
        <v/>
      </c>
      <c r="H8" s="2" t="inlineStr">
        <is>
          <t>largura média de projeto: 8 m · inclui 5.560 m previstos em planta. não abertos</t>
        </is>
      </c>
    </row>
    <row r="9">
      <c r="A9" s="6" t="inlineStr">
        <is>
          <t>Calçada faltante (vias abertas)</t>
        </is>
      </c>
      <c r="B9" s="10" t="n">
        <v>145465</v>
      </c>
      <c r="C9" s="14" t="n">
        <v>581856</v>
      </c>
      <c r="H9" s="15" t="inlineStr">
        <is>
          <t>2 lados × 2 m</t>
        </is>
      </c>
    </row>
    <row r="11">
      <c r="A11" s="16" t="inlineStr">
        <is>
          <t>Conferências aritméticas</t>
        </is>
      </c>
    </row>
    <row r="12">
      <c r="A12" s="6" t="inlineStr">
        <is>
          <t>pavimentada + falta = total</t>
        </is>
      </c>
      <c r="B12" s="10">
        <f>B7+B8</f>
        <v/>
      </c>
      <c r="C12" s="6">
        <f>IF(ABS(B12-B6)&lt;=1,"fecha","DIVERGE")</f>
        <v/>
      </c>
    </row>
    <row r="13">
      <c r="A13" s="6" t="inlineStr">
        <is>
          <t>largura implícita da pista (m)</t>
        </is>
      </c>
      <c r="B13" s="17">
        <f>C8/B8</f>
        <v/>
      </c>
      <c r="C13" s="6">
        <f>IF(ABS(B13-8.0)&lt;0.01,"confere","DIVERGE")</f>
        <v/>
      </c>
    </row>
    <row r="14">
      <c r="A14" s="6" t="inlineStr">
        <is>
          <t>calçada: vias × 4 m</t>
        </is>
      </c>
      <c r="B14" s="8">
        <f>B9*4</f>
        <v/>
      </c>
      <c r="C14" s="6">
        <f>IF(ABS(B14-C9)&lt;=10,"fecha (arredondamento)","DIVERGE")</f>
        <v/>
      </c>
    </row>
  </sheetData>
  <mergeCells count="1">
    <mergeCell ref="A2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54" customWidth="1" min="1" max="1"/>
    <col width="16" customWidth="1" min="2" max="2"/>
    <col width="16" customWidth="1" min="3" max="3"/>
    <col width="16" customWidth="1" min="4" max="4"/>
    <col width="14" customWidth="1" min="5" max="5"/>
    <col width="14" customWidth="1" min="6" max="6"/>
    <col width="3" customWidth="1" min="7" max="7"/>
    <col width="44" customWidth="1" min="8" max="8"/>
  </cols>
  <sheetData>
    <row r="1">
      <c r="A1" s="1" t="inlineStr">
        <is>
          <t>CONVERSÃO EM TONELADAS — banda composicional oficial</t>
        </is>
      </c>
    </row>
    <row r="2">
      <c r="A2" s="2" t="inlineStr">
        <is>
          <t>Camadas derivadas das composições analíticas DER-ES/LABOR-UFES (Abr/2026) e SINAPI-ES (06/2026), para a geometria medida: pista de 8 m, calçada contada à parte.</t>
        </is>
      </c>
    </row>
    <row r="4">
      <c r="A4" s="3" t="inlineStr">
        <is>
          <t>A · CAMADAS DA PISTA (t/m²)</t>
        </is>
      </c>
      <c r="B4" s="4" t="n"/>
      <c r="C4" s="4" t="n"/>
      <c r="D4" s="4" t="n"/>
      <c r="E4" s="4" t="n"/>
      <c r="F4" s="4" t="n"/>
      <c r="G4" s="4" t="n"/>
      <c r="H4" s="4" t="n"/>
    </row>
    <row r="5">
      <c r="A5" s="5" t="inlineStr">
        <is>
          <t>Camada</t>
        </is>
      </c>
      <c r="B5" s="5" t="inlineStr">
        <is>
          <t>mín</t>
        </is>
      </c>
      <c r="C5" s="5" t="inlineStr">
        <is>
          <t>máx</t>
        </is>
      </c>
      <c r="D5" s="5" t="inlineStr"/>
      <c r="E5" s="5" t="inlineStr"/>
      <c r="F5" s="5" t="inlineStr"/>
      <c r="G5" s="5" t="inlineStr"/>
      <c r="H5" s="5" t="inlineStr">
        <is>
          <t>Composição</t>
        </is>
      </c>
    </row>
    <row r="6">
      <c r="A6" s="6" t="inlineStr">
        <is>
          <t>Colchão de assentamento — pó de pedra, 10 cm (DER-ES 200206)</t>
        </is>
      </c>
      <c r="B6" s="18" t="n">
        <v>0.155</v>
      </c>
      <c r="C6" s="18" t="n">
        <v>0.165</v>
      </c>
    </row>
    <row r="7">
      <c r="A7" s="6" t="inlineStr">
        <is>
          <t>Rejunte (tratado como areia — conservador)</t>
        </is>
      </c>
      <c r="B7" s="18" t="n">
        <v>0.014</v>
      </c>
      <c r="C7" s="18" t="n">
        <v>0.015</v>
      </c>
    </row>
    <row r="8">
      <c r="A8" s="6" t="inlineStr">
        <is>
          <t>Blocos intertravados 8 cm, 35 MPa (48 und/m²)</t>
        </is>
      </c>
      <c r="B8" s="18" t="n">
        <v>0.148</v>
      </c>
      <c r="C8" s="18" t="n">
        <v>0.156</v>
      </c>
    </row>
    <row r="9">
      <c r="A9" s="6" t="inlineStr">
        <is>
          <t>Base — brita graduada simples 12–15 cm (SINAPI 96396/105727)</t>
        </is>
      </c>
      <c r="B9" s="18" t="n">
        <v>0.258</v>
      </c>
      <c r="C9" s="18" t="n">
        <v>0.337</v>
      </c>
    </row>
    <row r="10">
      <c r="A10" s="6" t="inlineStr">
        <is>
          <t>Meio-fio 15×30 cm, 2 lados (0,045 m³/m × 2 ÷ 8 m)</t>
        </is>
      </c>
      <c r="B10" s="18" t="n">
        <v>0.023625</v>
      </c>
      <c r="C10" s="18" t="n">
        <v>0.0246375</v>
      </c>
    </row>
    <row r="11">
      <c r="A11" s="6" t="inlineStr">
        <is>
          <t>Sarjeta 30×8 cm, 2 lados (÷ 8 m)</t>
        </is>
      </c>
      <c r="B11" s="18" t="n">
        <v>0.0126</v>
      </c>
      <c r="C11" s="18" t="n">
        <v>0.01314</v>
      </c>
    </row>
    <row r="12">
      <c r="A12" s="6" t="inlineStr">
        <is>
          <t>Drenagem superficial — bocas de lobo, ramais (PREMISSA)</t>
        </is>
      </c>
      <c r="B12" s="18" t="n">
        <v>0.05</v>
      </c>
      <c r="C12" s="18" t="n">
        <v>0.15</v>
      </c>
    </row>
    <row r="13">
      <c r="A13" s="16" t="inlineStr">
        <is>
          <t>TOTAL DA PISTA — agregados</t>
        </is>
      </c>
      <c r="B13" s="19">
        <f>SUM(B6:B12)</f>
        <v/>
      </c>
      <c r="C13" s="19">
        <f>SUM(C6:C12)</f>
        <v/>
      </c>
    </row>
    <row r="14">
      <c r="A14" s="16" t="inlineStr">
        <is>
          <t>dos quais PRODUTOS DE BRITAGEM</t>
        </is>
      </c>
      <c r="B14" s="20" t="n">
        <v>0.5862237499999999</v>
      </c>
      <c r="C14" s="20" t="n">
        <v>0.7378776250000001</v>
      </c>
      <c r="H14" s="2" t="inlineStr">
        <is>
          <t>pó + 85% dos blocos + BGS + 55% dos concretos (exclui areia natural)</t>
        </is>
      </c>
    </row>
    <row r="15">
      <c r="A15" s="6" t="inlineStr">
        <is>
          <t>CALÇADA — lastro de concreto 6–8 cm</t>
        </is>
      </c>
      <c r="B15" s="18" t="n">
        <v>0.126</v>
      </c>
      <c r="C15" s="18" t="n">
        <v>0.1752</v>
      </c>
    </row>
    <row r="17">
      <c r="A17" s="3" t="inlineStr">
        <is>
          <t>B · POTENCIAL A PAVIMENTAR</t>
        </is>
      </c>
      <c r="B17" s="4" t="n"/>
      <c r="C17" s="4" t="n"/>
      <c r="D17" s="4" t="n"/>
      <c r="E17" s="4" t="n"/>
      <c r="F17" s="4" t="n"/>
      <c r="G17" s="4" t="n"/>
      <c r="H17" s="4" t="n"/>
    </row>
    <row r="18">
      <c r="A18" s="5" t="inlineStr">
        <is>
          <t>Frente</t>
        </is>
      </c>
      <c r="B18" s="5" t="inlineStr">
        <is>
          <t>Área (m²)</t>
        </is>
      </c>
      <c r="C18" s="5" t="inlineStr">
        <is>
          <t>Agregados mín (t)</t>
        </is>
      </c>
      <c r="D18" s="5" t="inlineStr">
        <is>
          <t>Agregados máx (t)</t>
        </is>
      </c>
      <c r="E18" s="5" t="inlineStr">
        <is>
          <t>Britagem mín (t)</t>
        </is>
      </c>
      <c r="F18" s="5" t="inlineStr">
        <is>
          <t>Britagem máx (t)</t>
        </is>
      </c>
      <c r="G18" s="5" t="inlineStr"/>
      <c r="H18" s="5" t="inlineStr"/>
    </row>
    <row r="19">
      <c r="A19" s="6" t="inlineStr">
        <is>
          <t>Pavimentação faltante (pista)</t>
        </is>
      </c>
      <c r="B19" s="8" t="n">
        <v>1236048</v>
      </c>
      <c r="C19" s="21" t="n">
        <v>817306</v>
      </c>
      <c r="D19" s="21" t="n">
        <v>1063962</v>
      </c>
      <c r="E19" s="21" t="n">
        <v>724601</v>
      </c>
      <c r="F19" s="21" t="n">
        <v>912052</v>
      </c>
    </row>
    <row r="20">
      <c r="A20" s="6" t="inlineStr">
        <is>
          <t>Calçadas faltantes</t>
        </is>
      </c>
      <c r="B20" s="8" t="n">
        <v>581856</v>
      </c>
      <c r="C20" s="21" t="n">
        <v>73314</v>
      </c>
      <c r="D20" s="21" t="n">
        <v>101941</v>
      </c>
      <c r="E20" s="21" t="n">
        <v>40323</v>
      </c>
      <c r="F20" s="21" t="n">
        <v>56068</v>
      </c>
    </row>
    <row r="21">
      <c r="A21" s="16" t="inlineStr">
        <is>
          <t>TOTAL</t>
        </is>
      </c>
      <c r="C21" s="22">
        <f>SUM(C19:C20)</f>
        <v/>
      </c>
      <c r="D21" s="22">
        <f>SUM(D19:D20)</f>
        <v/>
      </c>
      <c r="E21" s="23">
        <f>SUM(E19:E20)</f>
        <v/>
      </c>
      <c r="F21" s="23">
        <f>SUM(F19:F20)</f>
        <v/>
      </c>
    </row>
  </sheetData>
  <mergeCells count="1">
    <mergeCell ref="A2:H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58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3" customWidth="1" min="7" max="7"/>
    <col width="46" customWidth="1" min="8" max="8"/>
  </cols>
  <sheetData>
    <row r="1">
      <c r="A1" s="1" t="inlineStr">
        <is>
          <t>HORIZONTE — quanto tempo dura a demanda de Guriri</t>
        </is>
      </c>
    </row>
    <row r="3">
      <c r="A3" s="3" t="inlineStr">
        <is>
          <t>A · O QUE JÁ ESTÁ CONTRATADO</t>
        </is>
      </c>
      <c r="B3" s="4" t="n"/>
      <c r="C3" s="4" t="n"/>
      <c r="D3" s="4" t="n"/>
      <c r="E3" s="4" t="n"/>
      <c r="F3" s="4" t="n"/>
      <c r="G3" s="4" t="n"/>
      <c r="H3" s="4" t="n"/>
    </row>
    <row r="4">
      <c r="A4" s="6" t="inlineStr">
        <is>
          <t>Bacia 1 — pavimentação contratada (m²)</t>
        </is>
      </c>
      <c r="B4" s="8" t="n">
        <v>125000</v>
      </c>
      <c r="H4" s="2" t="inlineStr">
        <is>
          <t>documental: edital de mar/2026, 1.620 dias</t>
        </is>
      </c>
    </row>
    <row r="5">
      <c r="A5" s="6" t="inlineStr">
        <is>
          <t>Bacia 2 — por paridade de valor (m²)</t>
        </is>
      </c>
      <c r="B5" s="24" t="n">
        <v>125000</v>
      </c>
    </row>
    <row r="6">
      <c r="A6" s="6" t="inlineStr">
        <is>
          <t>Total contratado (m²)</t>
        </is>
      </c>
      <c r="B6" s="14">
        <f>B4+B5</f>
        <v/>
      </c>
    </row>
    <row r="7">
      <c r="A7" s="6" t="inlineStr">
        <is>
          <t>% do que falta pavimentar</t>
        </is>
      </c>
      <c r="B7" s="25">
        <f>B6/1236048</f>
        <v/>
      </c>
    </row>
    <row r="8">
      <c r="A8" s="6" t="inlineStr">
        <is>
          <t>SEM CONTRATO (m²)</t>
        </is>
      </c>
      <c r="B8" s="14">
        <f>1236048-B6</f>
        <v/>
      </c>
    </row>
    <row r="9">
      <c r="A9" s="6" t="inlineStr">
        <is>
          <t>-&gt; produtos de britagem sem contrato (t)</t>
        </is>
      </c>
      <c r="B9" s="22" t="n">
        <v>618367</v>
      </c>
      <c r="C9" s="23" t="n">
        <v>783650</v>
      </c>
    </row>
    <row r="11">
      <c r="A11" s="3" t="inlineStr">
        <is>
          <t>B · RITMO E PRAZO</t>
        </is>
      </c>
      <c r="B11" s="4" t="n"/>
      <c r="C11" s="4" t="n"/>
      <c r="D11" s="4" t="n"/>
      <c r="E11" s="4" t="n"/>
      <c r="F11" s="4" t="n"/>
      <c r="G11" s="4" t="n"/>
      <c r="H11" s="4" t="n"/>
    </row>
    <row r="12">
      <c r="A12" s="6" t="inlineStr">
        <is>
          <t>Ritmo comprovado da Bacia 1 (m²/ano)</t>
        </is>
      </c>
      <c r="B12" s="8">
        <f>B4/4.4</f>
        <v/>
      </c>
      <c r="H12" s="2" t="inlineStr">
        <is>
          <t>125.000 m² ÷ 4,4 anos (1.620 dias)</t>
        </is>
      </c>
    </row>
    <row r="13">
      <c r="A13" s="6" t="inlineStr">
        <is>
          <t>Anos para concluir Guriri — uma bacia por vez</t>
        </is>
      </c>
      <c r="B13" s="26">
        <f>1236048/B12</f>
        <v/>
      </c>
    </row>
    <row r="14">
      <c r="A14" s="6" t="inlineStr">
        <is>
          <t>Anos para concluir Guriri — duas bacias simultâneas</t>
        </is>
      </c>
      <c r="B14" s="26">
        <f>1236048/(2*B12)</f>
        <v/>
      </c>
    </row>
    <row r="15">
      <c r="A15" s="6" t="inlineStr">
        <is>
          <t>Prazo do financiamento pleiteado</t>
        </is>
      </c>
      <c r="B15" s="27" t="n">
        <v>14</v>
      </c>
    </row>
    <row r="17">
      <c r="A17" s="3" t="inlineStr">
        <is>
          <t>C · ESCALA EM UNIDADE DE PEDREIRA</t>
        </is>
      </c>
      <c r="B17" s="4" t="n"/>
      <c r="C17" s="4" t="n"/>
      <c r="D17" s="4" t="n"/>
      <c r="E17" s="4" t="n"/>
      <c r="F17" s="4" t="n"/>
      <c r="G17" s="4" t="n"/>
      <c r="H17" s="4" t="n"/>
    </row>
    <row r="18">
      <c r="A18" s="6" t="inlineStr">
        <is>
          <t>Platô de produção da CIPREM (t/ano)</t>
        </is>
      </c>
      <c r="B18" s="21" t="n">
        <v>237516</v>
      </c>
    </row>
    <row r="19">
      <c r="A19" s="6" t="inlineStr">
        <is>
          <t>Potencial de Guriri em anos de produção integral</t>
        </is>
      </c>
      <c r="B19" s="28">
        <f>764923/B18</f>
        <v/>
      </c>
      <c r="C19" s="29">
        <f>968120/B18</f>
        <v/>
      </c>
    </row>
    <row r="20">
      <c r="A20" s="6" t="inlineStr">
        <is>
          <t>Incorporado nas projeções (t, todo o horizonte)</t>
        </is>
      </c>
      <c r="B20" s="21" t="n">
        <v>78000</v>
      </c>
      <c r="C20" s="21" t="n">
        <v>117000</v>
      </c>
    </row>
    <row r="21">
      <c r="A21" s="6">
        <f> share do potencial medido</f>
        <v/>
      </c>
      <c r="B21" s="13">
        <f>B20/968120</f>
        <v/>
      </c>
      <c r="C21" s="25">
        <f>C20/764923</f>
        <v/>
      </c>
    </row>
    <row r="23" ht="44" customHeight="1">
      <c r="A23" s="2" t="inlineStr">
        <is>
          <t>NOTA: nenhuma projeção de receita foi alterada por este inventário. Vendas do plano: 63.000 t (ano 1), 126.000 (ano 2), 237.516 (anos 3–14). Captura ponderada: 207–245 mil t/ano. Endereçável: 421–577 mil t/ano. O inventário demonstra horizonte de demanda, não receita adicional.</t>
        </is>
      </c>
    </row>
  </sheetData>
  <mergeCells count="1">
    <mergeCell ref="A23:H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6" customWidth="1" min="5" max="5"/>
    <col width="16" customWidth="1" min="6" max="6"/>
    <col width="44" customWidth="1" min="7" max="7"/>
  </cols>
  <sheetData>
    <row r="1">
      <c r="A1" s="1" t="inlineStr">
        <is>
          <t>QUEBRA POR LOTEAMENTO — a preencher</t>
        </is>
      </c>
    </row>
    <row r="2" ht="32" customHeight="1">
      <c r="A2" s="2" t="inlineStr">
        <is>
          <t>Os totais das abas anteriores vieram do levantamento dos 21 loteamentos. O detalhamento loteamento a loteamento não integra esta versão; quando disponível, preencher aqui (as somas conferem automaticamente contra os totais medidos).</t>
        </is>
      </c>
    </row>
    <row r="4">
      <c r="A4" s="5" t="inlineStr">
        <is>
          <t>Loteamento</t>
        </is>
      </c>
      <c r="B4" s="5" t="inlineStr">
        <is>
          <t>Vias (m)</t>
        </is>
      </c>
      <c r="C4" s="5" t="inlineStr">
        <is>
          <t>Pavimentado (m)</t>
        </is>
      </c>
      <c r="D4" s="5" t="inlineStr">
        <is>
          <t>A pavimentar (m)</t>
        </is>
      </c>
      <c r="E4" s="5" t="inlineStr">
        <is>
          <t>% pavimentado</t>
        </is>
      </c>
      <c r="F4" s="5" t="inlineStr">
        <is>
          <t>A pavimentar (m²)</t>
        </is>
      </c>
      <c r="G4" s="5" t="inlineStr">
        <is>
          <t>Observação</t>
        </is>
      </c>
    </row>
    <row r="5">
      <c r="A5" s="30" t="n"/>
      <c r="B5" s="31" t="n"/>
      <c r="C5" s="31" t="n"/>
      <c r="D5" s="31" t="n"/>
      <c r="E5" s="9">
        <f>IF(B5="","",C5/B5)</f>
        <v/>
      </c>
      <c r="F5" s="8">
        <f>IF(D5="","",D5*8.0)</f>
        <v/>
      </c>
    </row>
    <row r="6">
      <c r="A6" s="30" t="n"/>
      <c r="B6" s="31" t="n"/>
      <c r="C6" s="31" t="n"/>
      <c r="D6" s="31" t="n"/>
      <c r="E6" s="9">
        <f>IF(B6="","",C6/B6)</f>
        <v/>
      </c>
      <c r="F6" s="8">
        <f>IF(D6="","",D6*8.0)</f>
        <v/>
      </c>
    </row>
    <row r="7">
      <c r="A7" s="30" t="n"/>
      <c r="B7" s="31" t="n"/>
      <c r="C7" s="31" t="n"/>
      <c r="D7" s="31" t="n"/>
      <c r="E7" s="9">
        <f>IF(B7="","",C7/B7)</f>
        <v/>
      </c>
      <c r="F7" s="8">
        <f>IF(D7="","",D7*8.0)</f>
        <v/>
      </c>
    </row>
    <row r="8">
      <c r="A8" s="30" t="n"/>
      <c r="B8" s="31" t="n"/>
      <c r="C8" s="31" t="n"/>
      <c r="D8" s="31" t="n"/>
      <c r="E8" s="9">
        <f>IF(B8="","",C8/B8)</f>
        <v/>
      </c>
      <c r="F8" s="8">
        <f>IF(D8="","",D8*8.0)</f>
        <v/>
      </c>
    </row>
    <row r="9">
      <c r="A9" s="30" t="n"/>
      <c r="B9" s="31" t="n"/>
      <c r="C9" s="31" t="n"/>
      <c r="D9" s="31" t="n"/>
      <c r="E9" s="9">
        <f>IF(B9="","",C9/B9)</f>
        <v/>
      </c>
      <c r="F9" s="8">
        <f>IF(D9="","",D9*8.0)</f>
        <v/>
      </c>
    </row>
    <row r="10">
      <c r="A10" s="30" t="n"/>
      <c r="B10" s="31" t="n"/>
      <c r="C10" s="31" t="n"/>
      <c r="D10" s="31" t="n"/>
      <c r="E10" s="9">
        <f>IF(B10="","",C10/B10)</f>
        <v/>
      </c>
      <c r="F10" s="8">
        <f>IF(D10="","",D10*8.0)</f>
        <v/>
      </c>
    </row>
    <row r="11">
      <c r="A11" s="30" t="n"/>
      <c r="B11" s="31" t="n"/>
      <c r="C11" s="31" t="n"/>
      <c r="D11" s="31" t="n"/>
      <c r="E11" s="9">
        <f>IF(B11="","",C11/B11)</f>
        <v/>
      </c>
      <c r="F11" s="8">
        <f>IF(D11="","",D11*8.0)</f>
        <v/>
      </c>
    </row>
    <row r="12">
      <c r="A12" s="30" t="n"/>
      <c r="B12" s="31" t="n"/>
      <c r="C12" s="31" t="n"/>
      <c r="D12" s="31" t="n"/>
      <c r="E12" s="9">
        <f>IF(B12="","",C12/B12)</f>
        <v/>
      </c>
      <c r="F12" s="8">
        <f>IF(D12="","",D12*8.0)</f>
        <v/>
      </c>
    </row>
    <row r="13">
      <c r="A13" s="30" t="n"/>
      <c r="B13" s="31" t="n"/>
      <c r="C13" s="31" t="n"/>
      <c r="D13" s="31" t="n"/>
      <c r="E13" s="9">
        <f>IF(B13="","",C13/B13)</f>
        <v/>
      </c>
      <c r="F13" s="8">
        <f>IF(D13="","",D13*8.0)</f>
        <v/>
      </c>
    </row>
    <row r="14">
      <c r="A14" s="30" t="n"/>
      <c r="B14" s="31" t="n"/>
      <c r="C14" s="31" t="n"/>
      <c r="D14" s="31" t="n"/>
      <c r="E14" s="9">
        <f>IF(B14="","",C14/B14)</f>
        <v/>
      </c>
      <c r="F14" s="8">
        <f>IF(D14="","",D14*8.0)</f>
        <v/>
      </c>
    </row>
    <row r="15">
      <c r="A15" s="30" t="n"/>
      <c r="B15" s="31" t="n"/>
      <c r="C15" s="31" t="n"/>
      <c r="D15" s="31" t="n"/>
      <c r="E15" s="9">
        <f>IF(B15="","",C15/B15)</f>
        <v/>
      </c>
      <c r="F15" s="8">
        <f>IF(D15="","",D15*8.0)</f>
        <v/>
      </c>
    </row>
    <row r="16">
      <c r="A16" s="30" t="n"/>
      <c r="B16" s="31" t="n"/>
      <c r="C16" s="31" t="n"/>
      <c r="D16" s="31" t="n"/>
      <c r="E16" s="9">
        <f>IF(B16="","",C16/B16)</f>
        <v/>
      </c>
      <c r="F16" s="8">
        <f>IF(D16="","",D16*8.0)</f>
        <v/>
      </c>
    </row>
    <row r="17">
      <c r="A17" s="30" t="n"/>
      <c r="B17" s="31" t="n"/>
      <c r="C17" s="31" t="n"/>
      <c r="D17" s="31" t="n"/>
      <c r="E17" s="9">
        <f>IF(B17="","",C17/B17)</f>
        <v/>
      </c>
      <c r="F17" s="8">
        <f>IF(D17="","",D17*8.0)</f>
        <v/>
      </c>
    </row>
    <row r="18">
      <c r="A18" s="30" t="n"/>
      <c r="B18" s="31" t="n"/>
      <c r="C18" s="31" t="n"/>
      <c r="D18" s="31" t="n"/>
      <c r="E18" s="9">
        <f>IF(B18="","",C18/B18)</f>
        <v/>
      </c>
      <c r="F18" s="8">
        <f>IF(D18="","",D18*8.0)</f>
        <v/>
      </c>
    </row>
    <row r="19">
      <c r="A19" s="30" t="n"/>
      <c r="B19" s="31" t="n"/>
      <c r="C19" s="31" t="n"/>
      <c r="D19" s="31" t="n"/>
      <c r="E19" s="9">
        <f>IF(B19="","",C19/B19)</f>
        <v/>
      </c>
      <c r="F19" s="8">
        <f>IF(D19="","",D19*8.0)</f>
        <v/>
      </c>
    </row>
    <row r="20">
      <c r="A20" s="30" t="n"/>
      <c r="B20" s="31" t="n"/>
      <c r="C20" s="31" t="n"/>
      <c r="D20" s="31" t="n"/>
      <c r="E20" s="9">
        <f>IF(B20="","",C20/B20)</f>
        <v/>
      </c>
      <c r="F20" s="8">
        <f>IF(D20="","",D20*8.0)</f>
        <v/>
      </c>
    </row>
    <row r="21">
      <c r="A21" s="30" t="n"/>
      <c r="B21" s="31" t="n"/>
      <c r="C21" s="31" t="n"/>
      <c r="D21" s="31" t="n"/>
      <c r="E21" s="9">
        <f>IF(B21="","",C21/B21)</f>
        <v/>
      </c>
      <c r="F21" s="8">
        <f>IF(D21="","",D21*8.0)</f>
        <v/>
      </c>
    </row>
    <row r="22">
      <c r="A22" s="30" t="n"/>
      <c r="B22" s="31" t="n"/>
      <c r="C22" s="31" t="n"/>
      <c r="D22" s="31" t="n"/>
      <c r="E22" s="9">
        <f>IF(B22="","",C22/B22)</f>
        <v/>
      </c>
      <c r="F22" s="8">
        <f>IF(D22="","",D22*8.0)</f>
        <v/>
      </c>
    </row>
    <row r="23">
      <c r="A23" s="30" t="n"/>
      <c r="B23" s="31" t="n"/>
      <c r="C23" s="31" t="n"/>
      <c r="D23" s="31" t="n"/>
      <c r="E23" s="9">
        <f>IF(B23="","",C23/B23)</f>
        <v/>
      </c>
      <c r="F23" s="8">
        <f>IF(D23="","",D23*8.0)</f>
        <v/>
      </c>
    </row>
    <row r="24">
      <c r="A24" s="30" t="n"/>
      <c r="B24" s="31" t="n"/>
      <c r="C24" s="31" t="n"/>
      <c r="D24" s="31" t="n"/>
      <c r="E24" s="9">
        <f>IF(B24="","",C24/B24)</f>
        <v/>
      </c>
      <c r="F24" s="8">
        <f>IF(D24="","",D24*8.0)</f>
        <v/>
      </c>
    </row>
    <row r="25">
      <c r="A25" s="30" t="n"/>
      <c r="B25" s="31" t="n"/>
      <c r="C25" s="31" t="n"/>
      <c r="D25" s="31" t="n"/>
      <c r="E25" s="9">
        <f>IF(B25="","",C25/B25)</f>
        <v/>
      </c>
      <c r="F25" s="8">
        <f>IF(D25="","",D25*8.0)</f>
        <v/>
      </c>
    </row>
    <row r="27">
      <c r="A27" s="16" t="inlineStr">
        <is>
          <t>SOMA</t>
        </is>
      </c>
      <c r="B27" s="11">
        <f>SUM(B5:B26)</f>
        <v/>
      </c>
      <c r="C27" s="11">
        <f>SUM(C5:C26)</f>
        <v/>
      </c>
      <c r="D27" s="11">
        <f>SUM(D5:D26)</f>
        <v/>
      </c>
    </row>
    <row r="28">
      <c r="A28" s="16" t="inlineStr">
        <is>
          <t>confere com o inventário?</t>
        </is>
      </c>
      <c r="B28" s="16">
        <f>IF(B27=0,"aguardando",IF(ABS(B27-193373)&lt;=50,"CONFERE","DIVERGE"))</f>
        <v/>
      </c>
      <c r="C28" s="16">
        <f>IF(C27=0,"aguardando",IF(ABS(C27-38868)&lt;=50,"CONFERE","DIVERGE"))</f>
        <v/>
      </c>
      <c r="D28" s="16">
        <f>IF(D27=0,"aguardando",IF(ABS(D27-154506)&lt;=50,"CONFERE","DIVERGE"))</f>
        <v/>
      </c>
    </row>
  </sheetData>
  <mergeCells count="1">
    <mergeCell ref="A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2026-08-19T13:24:21Z</dcterms:created>
  <dcterms:modified xmlns:dcterms="http://purl.org/dc/terms/" xmlns:xsi="http://www.w3.org/2001/XMLSchema-instance" xsi:type="dcterms:W3CDTF">2026-08-19T13:24:21Z</dcterms:modified>
</cp:coreProperties>
</file>