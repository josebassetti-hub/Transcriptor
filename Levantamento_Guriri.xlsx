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ário" sheetId="1" state="visible" r:id="rId1"/>
    <sheet xmlns:r="http://schemas.openxmlformats.org/officeDocument/2006/relationships" name="Conversão" sheetId="2" state="visible" r:id="rId2"/>
    <sheet xmlns:r="http://schemas.openxmlformats.org/officeDocument/2006/relationships" name="Horizonte" sheetId="3" state="visible" r:id="rId3"/>
    <sheet xmlns:r="http://schemas.openxmlformats.org/officeDocument/2006/relationships" name="Por loteamento" sheetId="4" state="visible" r:id="rId4"/>
    <sheet xmlns:r="http://schemas.openxmlformats.org/officeDocument/2006/relationships" name="Auditoria de po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,0%"/>
    <numFmt numFmtId="166" formatCode="0.000"/>
    <numFmt numFmtId="167" formatCode="0.0"/>
  </numFmts>
  <fonts count="5">
    <font>
      <name val="Calibri"/>
      <family val="2"/>
      <color theme="1"/>
      <sz val="11"/>
      <scheme val="minor"/>
    </font>
    <font>
      <b val="1"/>
      <sz val="13"/>
    </font>
    <font>
      <i val="1"/>
      <color rgb="00595959"/>
      <sz val="9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4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3" fontId="3" fillId="4" borderId="1" pivotButton="0" quotePrefix="0" xfId="0"/>
    <xf numFmtId="165" fontId="3" fillId="0" borderId="1" pivotButton="0" quotePrefix="0" xfId="0"/>
    <xf numFmtId="164" fontId="0" fillId="0" borderId="1" pivotButton="0" quotePrefix="0" xfId="0"/>
    <xf numFmtId="3" fontId="0" fillId="4" borderId="1" pivotButton="0" quotePrefix="0" xfId="0"/>
    <xf numFmtId="166" fontId="0" fillId="0" borderId="1" pivotButton="0" quotePrefix="0" xfId="0"/>
    <xf numFmtId="164" fontId="3" fillId="4" borderId="1" pivotButton="0" quotePrefix="0" xfId="0"/>
    <xf numFmtId="166" fontId="3" fillId="4" borderId="1" pivotButton="0" quotePrefix="0" xfId="0"/>
    <xf numFmtId="166" fontId="0" fillId="4" borderId="1" pivotButton="0" quotePrefix="0" xfId="0"/>
    <xf numFmtId="3" fontId="3" fillId="0" borderId="1" pivotButton="0" quotePrefix="0" xfId="0"/>
    <xf numFmtId="167" fontId="0" fillId="0" borderId="1" pivotButton="0" quotePrefix="0" xfId="0"/>
    <xf numFmtId="164" fontId="3" fillId="0" borderId="1" pivotButton="0" quotePrefix="0" xfId="0"/>
    <xf numFmtId="167" fontId="3" fillId="0" borderId="1" pivotButton="0" quotePrefix="0" xfId="0"/>
    <xf numFmtId="0" fontId="0" fillId="4" borderId="1" pivotButton="0" quotePrefix="0" xfId="0"/>
    <xf numFmtId="2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62" customWidth="1" min="8" max="8"/>
  </cols>
  <sheetData>
    <row r="1">
      <c r="A1" s="1" t="inlineStr">
        <is>
          <t>INVENTÁRIO VIÁRIO DE GURIRI — LEVANTAMENTO FINAL DE 19/08/2026</t>
        </is>
      </c>
    </row>
    <row r="2" ht="62" customHeight="1">
      <c r="A2" s="2" t="inlineStr">
        <is>
          <t>FONTE PRIMÁRIA: Levantamento_Pavimentacao_Guriri_v2.xlsx (reconciliada, 19/08/2026) — 21 loteamentos, 437 vias e 637 pontos auditados, listados um a um com coordenada e data (517 no Google Street View, 120 em satélite). Extensão de cada via medida sobre as plantas dos loteamentos e a planilha oficial de loteamentos da Prefeitura de São Mateus, com o traçado em OpenStreetMap. Situação de pavimentação por auditoria ponto a ponto em campo virtual (asfalto e bloquete = pavimentada; saibro e areia = não). PONTOS: o a planilha reconciliada lista os 637 pontos um a um, com coordenada, fonte e data (517 em Street View + 120 em satélite), dos quais 496 creditados a vias nomeadas e 141 à malha física. Esta pasta NÃO é a fonte — é a camada de conversão em toneladas: os valores em amarelo são lidos da planilha-fonte, o resto é fórmula.</t>
        </is>
      </c>
    </row>
    <row r="4">
      <c r="A4" s="3" t="inlineStr">
        <is>
          <t>A · TOTAIS MEDIDOS (lidos da planilha-fonte)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5" t="inlineStr"/>
      <c r="B5" s="5" t="inlineStr">
        <is>
          <t>Extensão (m)</t>
        </is>
      </c>
      <c r="C5" s="5" t="inlineStr">
        <is>
          <t>Área (m²)</t>
        </is>
      </c>
      <c r="D5" s="5" t="inlineStr">
        <is>
          <t>% do total</t>
        </is>
      </c>
      <c r="E5" s="5" t="inlineStr"/>
      <c r="F5" s="5" t="inlineStr"/>
      <c r="G5" s="5" t="inlineStr"/>
      <c r="H5" s="5" t="inlineStr">
        <is>
          <t>Observação</t>
        </is>
      </c>
    </row>
    <row r="6">
      <c r="A6" s="6" t="inlineStr">
        <is>
          <t>Extensão total de vias</t>
        </is>
      </c>
      <c r="B6" s="7" t="n">
        <v>193374.8</v>
      </c>
      <c r="C6" s="8">
        <f>B6*$B$33</f>
        <v/>
      </c>
      <c r="D6" s="9" t="n">
        <v>1</v>
      </c>
      <c r="E6" s="6" t="n"/>
      <c r="F6" s="6" t="n"/>
      <c r="G6" s="6" t="n"/>
      <c r="H6" s="6" t="inlineStr">
        <is>
          <t>437 vias nomeadas em 21 loteamentos</t>
        </is>
      </c>
    </row>
    <row r="7">
      <c r="A7" s="6" t="inlineStr">
        <is>
          <t>Pista já pavimentada</t>
        </is>
      </c>
      <c r="B7" s="7" t="n">
        <v>51378.8</v>
      </c>
      <c r="C7" s="8">
        <f>B7*$B$33</f>
        <v/>
      </c>
      <c r="D7" s="9">
        <f>B7/$B$6</f>
        <v/>
      </c>
      <c r="E7" s="6" t="n"/>
      <c r="F7" s="6" t="n"/>
      <c r="G7" s="6" t="n"/>
      <c r="H7" s="6" t="inlineStr">
        <is>
          <t>637 pontos auditados, listados um a um (ver linha 27)</t>
        </is>
      </c>
    </row>
    <row r="8">
      <c r="A8" s="10" t="inlineStr">
        <is>
          <t>FALTA PAVIMENTAR (pista)</t>
        </is>
      </c>
      <c r="B8" s="11" t="n">
        <v>141996</v>
      </c>
      <c r="C8" s="11" t="n">
        <v>1216547</v>
      </c>
      <c r="D8" s="12">
        <f>B8/$B$6</f>
        <v/>
      </c>
      <c r="E8" s="10" t="n"/>
      <c r="F8" s="10" t="n"/>
      <c r="G8" s="10" t="n"/>
      <c r="H8" s="10" t="inlineStr">
        <is>
          <t>área calculada VIA A VIA pela caixa de via de cada planta (aba Conversão, bloco D); pela premissa anterior de 8 m dava 1.135.968 m²</t>
        </is>
      </c>
    </row>
    <row r="9">
      <c r="A9" s="6" t="inlineStr">
        <is>
          <t>Passeio faltante</t>
        </is>
      </c>
      <c r="B9" s="7" t="n">
        <v>136212.86</v>
      </c>
      <c r="C9" s="13" t="n">
        <v>554203</v>
      </c>
      <c r="D9" s="9">
        <f>B9/$B$6</f>
        <v/>
      </c>
      <c r="E9" s="6" t="n"/>
      <c r="F9" s="6" t="n"/>
      <c r="G9" s="6" t="n"/>
      <c r="H9" s="6" t="inlineStr">
        <is>
          <t>ATENÇÃO: são metros de VIA sem calçada completa nos dois lados, NÃO metros lineares de calçada; m² = m de via × 4 (2 lados × 2 m)</t>
        </is>
      </c>
    </row>
    <row r="11">
      <c r="A11" s="3" t="inlineStr">
        <is>
          <t>B · CAMADAS DE CONFIANÇA DA METRAGEM (o que é medido × o que é só projeto)</t>
        </is>
      </c>
      <c r="B11" s="4" t="n"/>
      <c r="C11" s="4" t="n"/>
      <c r="D11" s="4" t="n"/>
      <c r="E11" s="4" t="n"/>
      <c r="F11" s="4" t="n"/>
      <c r="G11" s="4" t="n"/>
      <c r="H11" s="4" t="n"/>
    </row>
    <row r="12">
      <c r="A12" s="5" t="inlineStr"/>
      <c r="B12" s="5" t="inlineStr">
        <is>
          <t>Extensão (m)</t>
        </is>
      </c>
      <c r="C12" s="5" t="inlineStr">
        <is>
          <t>Área (m²)</t>
        </is>
      </c>
      <c r="D12" s="5" t="inlineStr">
        <is>
          <t>% da malha</t>
        </is>
      </c>
      <c r="E12" s="5" t="inlineStr"/>
      <c r="F12" s="5" t="inlineStr"/>
      <c r="G12" s="5" t="inlineStr"/>
      <c r="H12" s="5" t="inlineStr">
        <is>
          <t>Observação</t>
        </is>
      </c>
    </row>
    <row r="13">
      <c r="A13" s="6" t="inlineStr">
        <is>
          <t>Via com traçado MEDIDO sobre imagem</t>
        </is>
      </c>
      <c r="B13" s="14" t="n">
        <v>136394</v>
      </c>
      <c r="C13" s="6" t="n"/>
      <c r="D13" s="9">
        <f>B13/$B$6</f>
        <v/>
      </c>
      <c r="E13" s="6" t="n"/>
      <c r="F13" s="6" t="n"/>
      <c r="G13" s="6" t="n"/>
      <c r="H13" s="6" t="inlineStr">
        <is>
          <t>existência física verificada</t>
        </is>
      </c>
    </row>
    <row r="14">
      <c r="A14" s="6" t="inlineStr">
        <is>
          <t>Via SÓ DE PLANTA (prevista em projeto)</t>
        </is>
      </c>
      <c r="B14" s="14" t="n">
        <v>56979</v>
      </c>
      <c r="C14" s="6" t="n"/>
      <c r="D14" s="9">
        <f>B14/$B$6</f>
        <v/>
      </c>
      <c r="E14" s="6" t="n"/>
      <c r="F14" s="6" t="n"/>
      <c r="G14" s="6" t="n"/>
      <c r="H14" s="6" t="inlineStr">
        <is>
          <t>existência física deve ser confirmada em campo antes de orçar</t>
        </is>
      </c>
    </row>
    <row r="15">
      <c r="A15" s="6" t="inlineStr">
        <is>
          <t>→ falta pavimentar em via medida</t>
        </is>
      </c>
      <c r="B15" s="14" t="n">
        <v>91827</v>
      </c>
      <c r="C15" s="14" t="n">
        <v>760511</v>
      </c>
      <c r="D15" s="9">
        <f>B15/$B$8</f>
        <v/>
      </c>
      <c r="E15" s="6" t="n"/>
      <c r="F15" s="6" t="n"/>
      <c r="G15" s="6" t="n"/>
      <c r="H15" s="6" t="inlineStr">
        <is>
          <t>base do cenário conservador (Conversão, bloco C); m² somado via a via, não por rateio</t>
        </is>
      </c>
    </row>
    <row r="16">
      <c r="A16" s="6" t="inlineStr">
        <is>
          <t>→ falta pavimentar em via só de planta</t>
        </is>
      </c>
      <c r="B16" s="14" t="n">
        <v>50168</v>
      </c>
      <c r="C16" s="14" t="n">
        <v>456036</v>
      </c>
      <c r="D16" s="9">
        <f>B16/$B$8</f>
        <v/>
      </c>
      <c r="E16" s="6" t="n"/>
      <c r="F16" s="6" t="n"/>
      <c r="G16" s="6" t="n"/>
      <c r="H16" s="6" t="inlineStr">
        <is>
          <t>parcela descontada no cenário conservador</t>
        </is>
      </c>
    </row>
    <row r="18">
      <c r="A18" s="3" t="inlineStr">
        <is>
          <t>C · CONFERÊNCIAS ARITMÉTICAS (recalculam sozinhas)</t>
        </is>
      </c>
      <c r="B18" s="4" t="n"/>
      <c r="C18" s="4" t="n"/>
      <c r="D18" s="4" t="n"/>
      <c r="E18" s="4" t="n"/>
      <c r="F18" s="4" t="n"/>
      <c r="G18" s="4" t="n"/>
      <c r="H18" s="4" t="n"/>
    </row>
    <row r="19">
      <c r="A19" s="6" t="inlineStr">
        <is>
          <t>pavimentada + falta = extensão total</t>
        </is>
      </c>
      <c r="B19" s="13">
        <f>B7+B8</f>
        <v/>
      </c>
      <c r="C19" s="6">
        <f>IF(ABS(B19-B6)&lt;=2,"fecha","DIVERGE")</f>
        <v/>
      </c>
    </row>
    <row r="20">
      <c r="A20" s="6" t="inlineStr">
        <is>
          <t>largura média implícita da pista (m)</t>
        </is>
      </c>
      <c r="B20" s="15">
        <f>C8/B8</f>
        <v/>
      </c>
      <c r="C20" s="6">
        <f>IF(ABS(B20-$B$33)&lt;0.05,"confere","DIVERGE")</f>
        <v/>
      </c>
    </row>
    <row r="21">
      <c r="A21" s="6" t="inlineStr">
        <is>
          <t>largura média implícita do passeio (m²/m de via)</t>
        </is>
      </c>
      <c r="B21" s="15">
        <f>C9/B9</f>
        <v/>
      </c>
      <c r="C21" s="6">
        <f>IF(AND(B21&gt;=$B$34,B21&lt;=5.01),"confere","DIVERGE")</f>
        <v/>
      </c>
    </row>
    <row r="22">
      <c r="A22" s="6" t="inlineStr">
        <is>
          <t>via medida + via só de planta = extensão</t>
        </is>
      </c>
      <c r="B22" s="13">
        <f>B13+B14</f>
        <v/>
      </c>
      <c r="C22" s="6">
        <f>IF(ABS(B22-B6)&lt;=2,"fecha","DIVERGE")</f>
        <v/>
      </c>
    </row>
    <row r="23">
      <c r="A23" s="6" t="inlineStr">
        <is>
          <t>falta em via medida + em via de planta = falta</t>
        </is>
      </c>
      <c r="B23" s="8">
        <f>B15+B16</f>
        <v/>
      </c>
      <c r="C23" s="6">
        <f>IF(ABS(B23-B8)&lt;=2,"fecha","DIVERGE")</f>
        <v/>
      </c>
    </row>
    <row r="24">
      <c r="A24" s="6" t="inlineStr">
        <is>
          <t>idem, em m²</t>
        </is>
      </c>
      <c r="B24" s="8">
        <f>C15+C16</f>
        <v/>
      </c>
      <c r="C24" s="6">
        <f>IF(ABS(B24-C8)&lt;=2,"fecha","DIVERGE")</f>
        <v/>
      </c>
    </row>
    <row r="25">
      <c r="A25" s="6" t="inlineStr">
        <is>
          <t>soma das 21 linhas de loteamento = extensão</t>
        </is>
      </c>
      <c r="B25" s="13">
        <f>'Por loteamento'!H26</f>
        <v/>
      </c>
      <c r="C25" s="6">
        <f>IF(ABS(B25-B6)&lt;=2,"fecha","DIVERGE")</f>
        <v/>
      </c>
    </row>
    <row r="26">
      <c r="A26" s="6" t="inlineStr">
        <is>
          <t>pontos: extrato por loteamento = total</t>
        </is>
      </c>
      <c r="B26" s="8">
        <f>'Auditoria de pontos'!E26</f>
        <v/>
      </c>
      <c r="C26" s="6">
        <f>IF(B26=637,"fecha","DIVERGE")</f>
        <v/>
      </c>
    </row>
    <row r="27">
      <c r="A27" s="10" t="inlineStr">
        <is>
          <t>pontos em vias nomeadas + malha física = total</t>
        </is>
      </c>
      <c r="B27" s="11" t="n">
        <v>496</v>
      </c>
      <c r="C27" s="11" t="n">
        <v>141</v>
      </c>
      <c r="D27" s="10">
        <f>IF(B27+C27=637,"fecha","DIVERGE")</f>
        <v/>
      </c>
      <c r="E27" s="10" t="n"/>
      <c r="F27" s="10" t="n"/>
      <c r="G27" s="10" t="n"/>
      <c r="H27" s="10" t="inlineStr">
        <is>
          <t>517 em Street View + 120 em satélite; os 637 estão listados um a um na aba 'Auditoria de pontos'</t>
        </is>
      </c>
    </row>
    <row r="28">
      <c r="A28" s="6" t="inlineStr">
        <is>
          <t>→ mediana de metros de via por ponto</t>
        </is>
      </c>
      <c r="B28" s="8" t="n">
        <v>267</v>
      </c>
      <c r="C28" s="6" t="n"/>
      <c r="D28" s="6" t="n"/>
      <c r="E28" s="6" t="n"/>
      <c r="F28" s="6" t="n"/>
      <c r="G28" s="6" t="n"/>
      <c r="H28" s="6" t="inlineStr">
        <is>
          <t>a regra é 1 ponto a cada ~350 m de TRECHO CONTÍNUO, com mínimo de 1 por trecho</t>
        </is>
      </c>
    </row>
    <row r="32">
      <c r="A32" s="3" t="inlineStr">
        <is>
          <t>D · GEOMETRIA ADOTADA</t>
        </is>
      </c>
      <c r="B32" s="4" t="n"/>
      <c r="C32" s="4" t="n"/>
      <c r="D32" s="4" t="n"/>
      <c r="E32" s="4" t="n"/>
      <c r="F32" s="4" t="n"/>
      <c r="G32" s="4" t="n"/>
      <c r="H32" s="4" t="n"/>
    </row>
    <row r="33">
      <c r="A33" s="10" t="inlineStr">
        <is>
          <t>Largura média da pista — ADOTADA (m)</t>
        </is>
      </c>
      <c r="B33" s="16" t="n">
        <v>8.567436815121553</v>
      </c>
      <c r="C33" s="10" t="n"/>
      <c r="D33" s="10" t="n"/>
      <c r="E33" s="10" t="n"/>
      <c r="F33" s="10" t="n"/>
      <c r="G33" s="10" t="n"/>
      <c r="H33" s="10" t="inlineStr">
        <is>
          <t>média ponderada da caixa de via das plantas; 138 das 437 vias com caixa lida do quadro, 166 pela mediana da planta e 133 pela moda da ilha (12 m)</t>
        </is>
      </c>
    </row>
    <row r="34">
      <c r="A34" s="6" t="inlineStr">
        <is>
          <t>Largura de calçada por metro de via (m)</t>
        </is>
      </c>
      <c r="B34" s="7" t="n">
        <v>4</v>
      </c>
      <c r="C34" s="6" t="n"/>
      <c r="D34" s="6" t="n"/>
      <c r="E34" s="6" t="n"/>
      <c r="F34" s="6" t="n"/>
      <c r="G34" s="6" t="n"/>
      <c r="H34" s="6" t="inlineStr">
        <is>
          <t>2 lados × 2 m</t>
        </is>
      </c>
    </row>
    <row r="35">
      <c r="A35" s="6" t="inlineStr">
        <is>
          <t>Largura da premissa anterior (m) — PISO</t>
        </is>
      </c>
      <c r="B35" s="13" t="n">
        <v>8</v>
      </c>
      <c r="C35" s="6" t="n"/>
      <c r="D35" s="6" t="n"/>
      <c r="E35" s="6" t="n"/>
      <c r="F35" s="6" t="n"/>
      <c r="G35" s="6" t="n"/>
      <c r="H35" s="6" t="inlineStr">
        <is>
          <t>escalar único; permanece publicado como piso</t>
        </is>
      </c>
    </row>
  </sheetData>
  <mergeCells count="1">
    <mergeCell ref="A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58" customWidth="1" min="8" max="8"/>
  </cols>
  <sheetData>
    <row r="1">
      <c r="A1" s="1" t="inlineStr">
        <is>
          <t>CONVERSÃO EM TONELADAS — banda composicional oficial (geometria medida de 8 m)</t>
        </is>
      </c>
    </row>
    <row r="2" ht="32" customHeight="1">
      <c r="A2" s="2" t="inlineStr">
        <is>
          <t>Camadas derivadas das composições analíticas DER-ES/LABOR-UFES (Abr/2026) e SINAPI-ES (06/2026) — detalhamento no Anexo B da Memória de Cálculo. Substitui o 1,4 t/m² antes usado, que era o fator de EDIFICAÇÃO da ANEPAC transplantado indevidamente para pavimentação.</t>
        </is>
      </c>
    </row>
    <row r="4">
      <c r="A4" s="3" t="inlineStr">
        <is>
          <t>A · CAMADAS DA PISTA (t/m² de pista)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5" t="inlineStr">
        <is>
          <t>Camada</t>
        </is>
      </c>
      <c r="B5" s="5" t="inlineStr">
        <is>
          <t>mín</t>
        </is>
      </c>
      <c r="C5" s="5" t="inlineStr">
        <is>
          <t>máx</t>
        </is>
      </c>
      <c r="D5" s="5" t="inlineStr"/>
      <c r="E5" s="5" t="inlineStr"/>
      <c r="F5" s="5" t="inlineStr"/>
      <c r="G5" s="5" t="inlineStr"/>
      <c r="H5" s="5" t="inlineStr">
        <is>
          <t>Composição oficial / conta</t>
        </is>
      </c>
    </row>
    <row r="6">
      <c r="A6" s="6" t="inlineStr">
        <is>
          <t>Colchão de assentamento — pó de pedra, 10 cm</t>
        </is>
      </c>
      <c r="B6" s="15" t="n">
        <v>0.155</v>
      </c>
      <c r="C6" s="15" t="n">
        <v>0.165</v>
      </c>
      <c r="D6" s="6" t="n"/>
      <c r="E6" s="6" t="n"/>
      <c r="F6" s="6" t="n"/>
      <c r="G6" s="6" t="n"/>
      <c r="H6" s="6" t="inlineStr">
        <is>
          <t>DER-ES 200206: 0,10 m³/m² × 1,55–1,65 t/m³</t>
        </is>
      </c>
    </row>
    <row r="7">
      <c r="A7" s="6" t="inlineStr">
        <is>
          <t>Rejunte (tratado como areia — conservador)</t>
        </is>
      </c>
      <c r="B7" s="15" t="n">
        <v>0.014</v>
      </c>
      <c r="C7" s="15" t="n">
        <v>0.015</v>
      </c>
      <c r="D7" s="6" t="n"/>
      <c r="E7" s="6" t="n"/>
      <c r="F7" s="6" t="n"/>
      <c r="G7" s="6" t="n"/>
      <c r="H7" s="6" t="inlineStr">
        <is>
          <t>DER-ES 200206: 0,0098 m³/m² × 1,45–1,50</t>
        </is>
      </c>
    </row>
    <row r="8">
      <c r="A8" s="6" t="inlineStr">
        <is>
          <t>Blocos intertravados 8 cm, 35 MPa (48 und/m²)</t>
        </is>
      </c>
      <c r="B8" s="15" t="n">
        <v>0.148</v>
      </c>
      <c r="C8" s="15" t="n">
        <v>0.156</v>
      </c>
      <c r="D8" s="6" t="n"/>
      <c r="E8" s="6" t="n"/>
      <c r="F8" s="6" t="n"/>
      <c r="G8" s="6" t="n"/>
      <c r="H8" s="6" t="inlineStr">
        <is>
          <t>0,08 m³ de concreto × 1,85–1,95 t de agregado/m³</t>
        </is>
      </c>
    </row>
    <row r="9">
      <c r="A9" s="6" t="inlineStr">
        <is>
          <t>Base — brita graduada simples 12–15 cm</t>
        </is>
      </c>
      <c r="B9" s="15" t="n">
        <v>0.258</v>
      </c>
      <c r="C9" s="15" t="n">
        <v>0.337</v>
      </c>
      <c r="D9" s="6" t="n"/>
      <c r="E9" s="6" t="n"/>
      <c r="F9" s="6" t="n"/>
      <c r="G9" s="6" t="n"/>
      <c r="H9" s="6" t="inlineStr">
        <is>
          <t>SINAPI 96396/105727: 0,12–0,15 m³ × 2,15–2,25 t/m³</t>
        </is>
      </c>
    </row>
    <row r="10">
      <c r="A10" s="6" t="inlineStr">
        <is>
          <t>Meio-fio 15×30 cm, 2 lados</t>
        </is>
      </c>
      <c r="B10" s="15" t="n">
        <v>0.023625</v>
      </c>
      <c r="C10" s="15" t="n">
        <v>0.0246375</v>
      </c>
      <c r="D10" s="6" t="n"/>
      <c r="E10" s="6" t="n"/>
      <c r="F10" s="6" t="n"/>
      <c r="G10" s="6" t="n"/>
      <c r="H10" s="6" t="inlineStr">
        <is>
          <t>DER-ES 200202: 0,045 m³/m × 2 ÷ 8 m</t>
        </is>
      </c>
    </row>
    <row r="11">
      <c r="A11" s="6" t="inlineStr">
        <is>
          <t>Sarjeta 30×8 cm, 2 lados</t>
        </is>
      </c>
      <c r="B11" s="15" t="n">
        <v>0.0126</v>
      </c>
      <c r="C11" s="15" t="n">
        <v>0.01314</v>
      </c>
      <c r="D11" s="6" t="n"/>
      <c r="E11" s="6" t="n"/>
      <c r="F11" s="6" t="n"/>
      <c r="G11" s="6" t="n"/>
      <c r="H11" s="6" t="inlineStr">
        <is>
          <t>análoga DER-ES 200229: 0,048 m³/m ÷ 8 m</t>
        </is>
      </c>
    </row>
    <row r="12">
      <c r="A12" s="6" t="inlineStr">
        <is>
          <t>Drenagem superficial (bocas de lobo, ramais)</t>
        </is>
      </c>
      <c r="B12" s="15" t="n">
        <v>0.05</v>
      </c>
      <c r="C12" s="15" t="n">
        <v>0.15</v>
      </c>
      <c r="D12" s="6" t="n"/>
      <c r="E12" s="6" t="n"/>
      <c r="F12" s="6" t="n"/>
      <c r="G12" s="6" t="n"/>
      <c r="H12" s="6" t="inlineStr">
        <is>
          <t>PREMISSA declarada</t>
        </is>
      </c>
    </row>
    <row r="13">
      <c r="A13" s="6" t="inlineStr">
        <is>
          <t>Soma das camadas</t>
        </is>
      </c>
      <c r="B13" s="15">
        <f>SUM(B6:B12)</f>
        <v/>
      </c>
      <c r="C13" s="15">
        <f>SUM(C6:C12)</f>
        <v/>
      </c>
      <c r="D13" s="6" t="n"/>
      <c r="E13" s="6" t="n"/>
      <c r="F13" s="6" t="n"/>
      <c r="G13" s="6" t="n"/>
      <c r="H13" s="6" t="inlineStr">
        <is>
          <t>conferência da linha 14</t>
        </is>
      </c>
    </row>
    <row r="14">
      <c r="A14" s="10" t="inlineStr">
        <is>
          <t>BANDA DECLARADA — pista, agregados</t>
        </is>
      </c>
      <c r="B14" s="17" t="n">
        <v>0.661</v>
      </c>
      <c r="C14" s="17" t="n">
        <v>0.861</v>
      </c>
      <c r="D14" s="10" t="n"/>
      <c r="E14" s="10" t="n"/>
      <c r="F14" s="10" t="n"/>
      <c r="G14" s="10" t="n"/>
      <c r="H14" s="10" t="inlineStr">
        <is>
          <t>arredondamento da linha 13 (diferença &lt; 0,05%); é a banda publicada nos documentos, e é ela que alimenta os totais abaixo</t>
        </is>
      </c>
    </row>
    <row r="15">
      <c r="A15" s="10" t="inlineStr">
        <is>
          <t>dos quais PRODUTOS DE BRITAGEM</t>
        </is>
      </c>
      <c r="B15" s="17" t="n">
        <v>0.586</v>
      </c>
      <c r="C15" s="17" t="n">
        <v>0.738</v>
      </c>
      <c r="D15" s="10" t="n"/>
      <c r="E15" s="10" t="n"/>
      <c r="F15" s="10" t="n"/>
      <c r="G15" s="10" t="n"/>
      <c r="H15" s="10" t="inlineStr">
        <is>
          <t>pó + 85% dos blocos + BGS + 55% dos concretos (exclui areia de rejunte e a fração areia dos concretos)</t>
        </is>
      </c>
    </row>
    <row r="16">
      <c r="A16" s="6" t="inlineStr">
        <is>
          <t>CALÇADA — lastro de concreto 6–8 cm (agregados)</t>
        </is>
      </c>
      <c r="B16" s="18" t="n">
        <v>0.126</v>
      </c>
      <c r="C16" s="18" t="n">
        <v>0.175</v>
      </c>
      <c r="D16" s="6" t="n"/>
      <c r="E16" s="6" t="n"/>
      <c r="F16" s="6" t="n"/>
      <c r="G16" s="6" t="n"/>
      <c r="H16" s="6" t="inlineStr">
        <is>
          <t>por m² de calçada</t>
        </is>
      </c>
    </row>
    <row r="17">
      <c r="A17" s="6" t="inlineStr">
        <is>
          <t>dos quais PRODUTOS DE BRITAGEM</t>
        </is>
      </c>
      <c r="B17" s="15">
        <f>B16*0.55</f>
        <v/>
      </c>
      <c r="C17" s="15">
        <f>C16*0.55</f>
        <v/>
      </c>
      <c r="D17" s="6" t="n"/>
      <c r="E17" s="6" t="n"/>
      <c r="F17" s="6" t="n"/>
      <c r="G17" s="6" t="n"/>
      <c r="H17" s="6" t="inlineStr">
        <is>
          <t>55% — mesma fração de brita dos concretos</t>
        </is>
      </c>
    </row>
    <row r="19">
      <c r="A19" s="3" t="inlineStr">
        <is>
          <t>B · POTENCIAL DO QUE FALTA PAVIMENTAR</t>
        </is>
      </c>
      <c r="B19" s="4" t="n"/>
      <c r="C19" s="4" t="n"/>
      <c r="D19" s="4" t="n"/>
      <c r="E19" s="4" t="n"/>
      <c r="F19" s="4" t="n"/>
      <c r="G19" s="4" t="n"/>
      <c r="H19" s="4" t="n"/>
    </row>
    <row r="20">
      <c r="A20" s="5" t="inlineStr">
        <is>
          <t>Frente</t>
        </is>
      </c>
      <c r="B20" s="5" t="inlineStr">
        <is>
          <t>Área (m²)</t>
        </is>
      </c>
      <c r="C20" s="5" t="inlineStr">
        <is>
          <t>Agregados mín (t)</t>
        </is>
      </c>
      <c r="D20" s="5" t="inlineStr">
        <is>
          <t>Agregados máx (t)</t>
        </is>
      </c>
      <c r="E20" s="5" t="inlineStr">
        <is>
          <t>BRITAGEM mín (t)</t>
        </is>
      </c>
      <c r="F20" s="5" t="inlineStr">
        <is>
          <t>BRITAGEM máx (t)</t>
        </is>
      </c>
      <c r="G20" s="5" t="inlineStr"/>
      <c r="H20" s="5" t="inlineStr">
        <is>
          <t>Origem da área</t>
        </is>
      </c>
    </row>
    <row r="21">
      <c r="A21" s="6" t="inlineStr">
        <is>
          <t>Pavimentação faltante (pista)</t>
        </is>
      </c>
      <c r="B21" s="8">
        <f>Inventário!C8</f>
        <v/>
      </c>
      <c r="C21" s="8">
        <f>$B21*$B$14</f>
        <v/>
      </c>
      <c r="D21" s="8">
        <f>$B21*$C$14</f>
        <v/>
      </c>
      <c r="E21" s="8">
        <f>$B21*$B$15</f>
        <v/>
      </c>
      <c r="F21" s="8">
        <f>$B21*$C$15</f>
        <v/>
      </c>
      <c r="G21" s="6" t="n"/>
      <c r="H21" s="6" t="inlineStr">
        <is>
          <t>Inventário C8</t>
        </is>
      </c>
    </row>
    <row r="22">
      <c r="A22" s="6" t="inlineStr">
        <is>
          <t>Calçadas faltantes</t>
        </is>
      </c>
      <c r="B22" s="8">
        <f>Inventário!C9</f>
        <v/>
      </c>
      <c r="C22" s="8">
        <f>$B22*$B$16</f>
        <v/>
      </c>
      <c r="D22" s="8">
        <f>$B22*$C$16</f>
        <v/>
      </c>
      <c r="E22" s="8">
        <f>$B22*$B$17</f>
        <v/>
      </c>
      <c r="F22" s="8">
        <f>$B22*$C$17</f>
        <v/>
      </c>
      <c r="G22" s="6" t="n"/>
      <c r="H22" s="6" t="inlineStr">
        <is>
          <t>Inventário C9</t>
        </is>
      </c>
    </row>
    <row r="23">
      <c r="A23" s="10" t="inlineStr">
        <is>
          <t>TOTAL A PAVIMENTAR</t>
        </is>
      </c>
      <c r="B23" s="10" t="n"/>
      <c r="C23" s="19">
        <f>SUM(C21:C22)</f>
        <v/>
      </c>
      <c r="D23" s="19">
        <f>SUM(D21:D22)</f>
        <v/>
      </c>
      <c r="E23" s="19">
        <f>SUM(E21:E22)</f>
        <v/>
      </c>
      <c r="F23" s="19">
        <f>SUM(F21:F22)</f>
        <v/>
      </c>
      <c r="G23" s="10" t="n"/>
      <c r="H23" s="10" t="inlineStr"/>
    </row>
    <row r="25">
      <c r="A25" s="3" t="inlineStr">
        <is>
          <t>C · CENÁRIO CONSERVADOR — só o que está com traçado medido</t>
        </is>
      </c>
      <c r="B25" s="4" t="n"/>
      <c r="C25" s="4" t="n"/>
      <c r="D25" s="4" t="n"/>
      <c r="E25" s="4" t="n"/>
      <c r="F25" s="4" t="n"/>
      <c r="G25" s="4" t="n"/>
      <c r="H25" s="4" t="n"/>
    </row>
    <row r="26">
      <c r="A26" s="5" t="inlineStr">
        <is>
          <t>Camada</t>
        </is>
      </c>
      <c r="B26" s="5" t="inlineStr">
        <is>
          <t>Área de pista (m²)</t>
        </is>
      </c>
      <c r="C26" s="5" t="inlineStr"/>
      <c r="D26" s="5" t="inlineStr"/>
      <c r="E26" s="5" t="inlineStr">
        <is>
          <t>BRITAGEM mín (t)</t>
        </is>
      </c>
      <c r="F26" s="5" t="inlineStr">
        <is>
          <t>BRITAGEM máx (t)</t>
        </is>
      </c>
      <c r="G26" s="5" t="inlineStr"/>
      <c r="H26" s="5" t="inlineStr">
        <is>
          <t>Leitura</t>
        </is>
      </c>
    </row>
    <row r="27">
      <c r="A27" s="10" t="inlineStr">
        <is>
          <t>Vias com traçado medido — base CERTA</t>
        </is>
      </c>
      <c r="B27" s="19">
        <f>Inventário!C15</f>
        <v/>
      </c>
      <c r="C27" s="10" t="n"/>
      <c r="D27" s="10" t="n"/>
      <c r="E27" s="19">
        <f>$B27*$B$15</f>
        <v/>
      </c>
      <c r="F27" s="19">
        <f>$B27*$C$15</f>
        <v/>
      </c>
      <c r="G27" s="10" t="n"/>
      <c r="H27" s="10" t="inlineStr">
        <is>
          <t>sobrevive mesmo se o analista descontar 100% do que é só planta</t>
        </is>
      </c>
    </row>
    <row r="28">
      <c r="A28" s="6" t="inlineStr">
        <is>
          <t>Vias só de planta — a confirmar em campo</t>
        </is>
      </c>
      <c r="B28" s="8">
        <f>Inventário!C16</f>
        <v/>
      </c>
      <c r="C28" s="6" t="n"/>
      <c r="D28" s="6" t="n"/>
      <c r="E28" s="8">
        <f>$B28*$B$15</f>
        <v/>
      </c>
      <c r="F28" s="8">
        <f>$B28*$C$15</f>
        <v/>
      </c>
      <c r="G28" s="6" t="n"/>
      <c r="H28" s="6" t="inlineStr">
        <is>
          <t>confirmar existência física antes de orçar</t>
        </is>
      </c>
    </row>
    <row r="29">
      <c r="A29" s="6" t="inlineStr">
        <is>
          <t>→ em anos de produção integral da CIPREM</t>
        </is>
      </c>
      <c r="B29" s="6" t="n"/>
      <c r="C29" s="6" t="n"/>
      <c r="D29" s="6" t="n"/>
      <c r="E29" s="20">
        <f>E27/Horizonte!$B$21</f>
        <v/>
      </c>
      <c r="F29" s="20">
        <f>F27/Horizonte!$B$21</f>
        <v/>
      </c>
      <c r="G29" s="6" t="n"/>
      <c r="H29" s="6" t="inlineStr">
        <is>
          <t>platô de 237.516 t/ano</t>
        </is>
      </c>
    </row>
    <row r="31">
      <c r="A31" s="3" t="inlineStr">
        <is>
          <t>D · AS DUAS GEOMETRIAS — o número adotado e o piso declarado</t>
        </is>
      </c>
      <c r="B31" s="4" t="n"/>
      <c r="C31" s="4" t="n"/>
      <c r="D31" s="4" t="n"/>
      <c r="E31" s="4" t="n"/>
      <c r="F31" s="4" t="n"/>
      <c r="G31" s="4" t="n"/>
      <c r="H31" s="4" t="n"/>
    </row>
    <row r="32">
      <c r="A32" s="5" t="inlineStr">
        <is>
          <t>Geometria da pista</t>
        </is>
      </c>
      <c r="B32" s="5" t="inlineStr">
        <is>
          <t>Largura média (m)</t>
        </is>
      </c>
      <c r="C32" s="5" t="inlineStr">
        <is>
          <t>Área de pista faltante (m²)</t>
        </is>
      </c>
      <c r="D32" s="5" t="inlineStr">
        <is>
          <t>Agregados mín (t)</t>
        </is>
      </c>
      <c r="E32" s="5" t="inlineStr">
        <is>
          <t>Agregados máx (t)</t>
        </is>
      </c>
      <c r="F32" s="5" t="inlineStr">
        <is>
          <t>BRITAGEM mín (t)</t>
        </is>
      </c>
      <c r="G32" s="5" t="inlineStr">
        <is>
          <t>BRITAGEM máx (t)</t>
        </is>
      </c>
      <c r="H32" s="5" t="inlineStr">
        <is>
          <t>Origem</t>
        </is>
      </c>
    </row>
    <row r="33">
      <c r="A33" s="10" t="inlineStr">
        <is>
          <t>ADOTADA — caixa de via das plantas, via a via</t>
        </is>
      </c>
      <c r="B33" s="21" t="n">
        <v>8.567436815121553</v>
      </c>
      <c r="C33" s="11" t="n">
        <v>1216547</v>
      </c>
      <c r="D33" s="19">
        <f>$C33*$B$14</f>
        <v/>
      </c>
      <c r="E33" s="19">
        <f>$C33*$C$14</f>
        <v/>
      </c>
      <c r="F33" s="19">
        <f>$C33*$B$15</f>
        <v/>
      </c>
      <c r="G33" s="19">
        <f>$C33*$C$15</f>
        <v/>
      </c>
      <c r="H33" s="10" t="inlineStr">
        <is>
          <t>138 de 437 vias com caixa do quadro; 166 pela mediana da planta; 133 pela moda da ilha (12 m)</t>
        </is>
      </c>
    </row>
    <row r="34">
      <c r="A34" s="6" t="inlineStr">
        <is>
          <t>PISO — premissa de largura única</t>
        </is>
      </c>
      <c r="B34" s="13" t="n">
        <v>8</v>
      </c>
      <c r="C34" s="14" t="n">
        <v>1135968</v>
      </c>
      <c r="D34" s="8">
        <f>$C34*$B$14</f>
        <v/>
      </c>
      <c r="E34" s="8">
        <f>$C34*$C$14</f>
        <v/>
      </c>
      <c r="F34" s="8">
        <f>$C34*$B$15</f>
        <v/>
      </c>
      <c r="G34" s="8">
        <f>$C34*$C$15</f>
        <v/>
      </c>
      <c r="H34" s="6" t="inlineStr">
        <is>
          <t>escalar aplicado a toda a malha; leitura da versão anterior, mantida à vista</t>
        </is>
      </c>
    </row>
    <row r="35">
      <c r="A35" s="6" t="inlineStr">
        <is>
          <t>Diferença</t>
        </is>
      </c>
      <c r="B35" s="6" t="n"/>
      <c r="C35" s="9">
        <f>C33/C34-1</f>
        <v/>
      </c>
      <c r="D35" s="6" t="n"/>
      <c r="E35" s="6" t="n"/>
      <c r="F35" s="9">
        <f>F33/F34-1</f>
        <v/>
      </c>
      <c r="G35" s="9">
        <f>G33/G34-1</f>
        <v/>
      </c>
      <c r="H35" s="6" t="inlineStr">
        <is>
          <t>a diferença vem da caixa de via das plantas, não de premissa nova</t>
        </is>
      </c>
    </row>
  </sheetData>
  <mergeCells count="1">
    <mergeCell ref="A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58" customWidth="1" min="8" max="8"/>
  </cols>
  <sheetData>
    <row r="1">
      <c r="A1" s="1" t="inlineStr">
        <is>
          <t>HORIZONTE — quanto tempo dura a demanda de Guriri</t>
        </is>
      </c>
    </row>
    <row r="3">
      <c r="A3" s="3" t="inlineStr">
        <is>
          <t>A · O QUE JÁ ESTÁ CONTRATADO</t>
        </is>
      </c>
      <c r="B3" s="4" t="n"/>
      <c r="C3" s="4" t="n"/>
      <c r="D3" s="4" t="n"/>
      <c r="E3" s="4" t="n"/>
      <c r="F3" s="4" t="n"/>
      <c r="G3" s="4" t="n"/>
      <c r="H3" s="4" t="n"/>
    </row>
    <row r="4">
      <c r="A4" s="6" t="inlineStr">
        <is>
          <t>Bacia 1 — pavimentação contratada (m²)</t>
        </is>
      </c>
      <c r="B4" s="14" t="n">
        <v>125000</v>
      </c>
      <c r="C4" s="6" t="n"/>
      <c r="D4" s="6" t="n"/>
      <c r="E4" s="6" t="n"/>
      <c r="F4" s="6" t="n"/>
      <c r="G4" s="6" t="n"/>
      <c r="H4" s="6" t="inlineStr">
        <is>
          <t>DOCUMENTAL: edital de mar/2026, 1.620 dias</t>
        </is>
      </c>
    </row>
    <row r="5">
      <c r="A5" s="6" t="inlineStr">
        <is>
          <t>Bacia 2 — por paridade de valor (m²)</t>
        </is>
      </c>
      <c r="B5" s="14" t="n">
        <v>125000</v>
      </c>
      <c r="C5" s="6" t="n"/>
      <c r="D5" s="6" t="n"/>
      <c r="E5" s="6" t="n"/>
      <c r="F5" s="6" t="n"/>
      <c r="G5" s="6" t="n"/>
      <c r="H5" s="6" t="inlineStr">
        <is>
          <t>PREMISSA declarada: R$ 306,5 mi ≈ R$ 321,8 mi da Bacia 1</t>
        </is>
      </c>
    </row>
    <row r="6">
      <c r="A6" s="10" t="inlineStr">
        <is>
          <t>Total contratado (m²)</t>
        </is>
      </c>
      <c r="B6" s="19">
        <f>B4+B5</f>
        <v/>
      </c>
    </row>
    <row r="7">
      <c r="A7" s="6" t="inlineStr">
        <is>
          <t>% do que falta pavimentar</t>
        </is>
      </c>
      <c r="B7" s="9">
        <f>B6/Inventário!C8</f>
        <v/>
      </c>
    </row>
    <row r="8">
      <c r="A8" s="10" t="inlineStr">
        <is>
          <t>SEM CONTRATO (m²)</t>
        </is>
      </c>
      <c r="B8" s="19">
        <f>Inventário!C8-B6</f>
        <v/>
      </c>
    </row>
    <row r="9">
      <c r="A9" s="10" t="inlineStr">
        <is>
          <t>→ britagem sem contrato, PISTA SÓ (t)</t>
        </is>
      </c>
      <c r="B9" s="19">
        <f>B8*Conversão!$B$15</f>
        <v/>
      </c>
      <c r="C9" s="19">
        <f>B8*Conversão!$C$15</f>
        <v/>
      </c>
      <c r="D9" s="10" t="n"/>
      <c r="E9" s="10" t="n"/>
      <c r="F9" s="10" t="n"/>
      <c r="G9" s="10" t="n"/>
      <c r="H9" s="10" t="inlineStr">
        <is>
          <t>número de referência adotado nos documentos, por ser o menor</t>
        </is>
      </c>
    </row>
    <row r="10">
      <c r="A10" s="6" t="inlineStr">
        <is>
          <t>→ britagem sem contrato, pista + calçada (t)</t>
        </is>
      </c>
      <c r="B10" s="8">
        <f>B9+Conversão!E22</f>
        <v/>
      </c>
      <c r="C10" s="8">
        <f>C9+Conversão!F22</f>
        <v/>
      </c>
      <c r="D10" s="6" t="n"/>
      <c r="E10" s="6" t="n"/>
      <c r="F10" s="6" t="n"/>
      <c r="G10" s="6" t="n"/>
      <c r="H10" s="6" t="inlineStr">
        <is>
          <t>nenhum edital publicado menciona calçada; leitura mostrada à parte</t>
        </is>
      </c>
    </row>
    <row r="11">
      <c r="A11" s="6" t="inlineStr">
        <is>
          <t>→ anos para escoar o resíduo ao ritmo do Estado</t>
        </is>
      </c>
      <c r="B11" s="20">
        <f>B8/B15</f>
        <v/>
      </c>
      <c r="C11" s="20">
        <f>B8/(2*B15)</f>
        <v/>
      </c>
      <c r="D11" s="6" t="n"/>
      <c r="E11" s="6" t="n"/>
      <c r="F11" s="6" t="n"/>
      <c r="G11" s="6" t="n"/>
      <c r="H11" s="6" t="inlineStr">
        <is>
          <t>uma bacia por vez | duas simultâneas</t>
        </is>
      </c>
    </row>
    <row r="12">
      <c r="A12" s="10" t="inlineStr">
        <is>
          <t>→ britagem por ano nesse ritmo, uma bacia (t/ano)</t>
        </is>
      </c>
      <c r="B12" s="19">
        <f>B9/B11</f>
        <v/>
      </c>
      <c r="C12" s="19">
        <f>C9/B11</f>
        <v/>
      </c>
      <c r="D12" s="10" t="n"/>
      <c r="E12" s="10" t="n"/>
      <c r="F12" s="10" t="n"/>
      <c r="G12" s="10" t="n"/>
      <c r="H12" s="10" t="inlineStr">
        <is>
          <t>contra os 13–19 mil t/ano que o exhibit do §2 conta — mesma ordem de grandeza, por três décadas em vez de seis anos</t>
        </is>
      </c>
    </row>
    <row r="14">
      <c r="A14" s="3" t="inlineStr">
        <is>
          <t>B · RITMO E PRAZO</t>
        </is>
      </c>
      <c r="B14" s="4" t="n"/>
      <c r="C14" s="4" t="n"/>
      <c r="D14" s="4" t="n"/>
      <c r="E14" s="4" t="n"/>
      <c r="F14" s="4" t="n"/>
      <c r="G14" s="4" t="n"/>
      <c r="H14" s="4" t="n"/>
    </row>
    <row r="15">
      <c r="A15" s="6" t="inlineStr">
        <is>
          <t>Ritmo comprovado da Bacia 1 (m²/ano)</t>
        </is>
      </c>
      <c r="B15" s="8">
        <f>B4/4.4</f>
        <v/>
      </c>
      <c r="C15" s="6" t="n"/>
      <c r="D15" s="6" t="n"/>
      <c r="E15" s="6" t="n"/>
      <c r="F15" s="6" t="n"/>
      <c r="G15" s="6" t="n"/>
      <c r="H15" s="6" t="inlineStr">
        <is>
          <t>125.000 m² ÷ 4,4 anos (1.620 dias contratuais)</t>
        </is>
      </c>
    </row>
    <row r="16">
      <c r="A16" s="6" t="inlineStr">
        <is>
          <t>Anos para concluir a PISTA de Guriri — uma bacia por vez</t>
        </is>
      </c>
      <c r="B16" s="20">
        <f>Inventário!C8/B15</f>
        <v/>
      </c>
    </row>
    <row r="17">
      <c r="A17" s="6" t="inlineStr">
        <is>
          <t>Anos para concluir a PISTA — duas bacias simultâneas</t>
        </is>
      </c>
      <c r="B17" s="20">
        <f>Inventário!C8/(2*B15)</f>
        <v/>
      </c>
    </row>
    <row r="18">
      <c r="A18" s="10" t="inlineStr">
        <is>
          <t>Prazo do financiamento pleiteado (anos)</t>
        </is>
      </c>
      <c r="B18" s="19" t="n">
        <v>14</v>
      </c>
    </row>
    <row r="20">
      <c r="A20" s="3" t="inlineStr">
        <is>
          <t>C · ESCALA EM UNIDADE DE PEDREIRA</t>
        </is>
      </c>
      <c r="B20" s="4" t="n"/>
      <c r="C20" s="4" t="n"/>
      <c r="D20" s="4" t="n"/>
      <c r="E20" s="4" t="n"/>
      <c r="F20" s="4" t="n"/>
      <c r="G20" s="4" t="n"/>
      <c r="H20" s="4" t="n"/>
    </row>
    <row r="21">
      <c r="A21" s="6" t="inlineStr">
        <is>
          <t>Platô de produção da CIPREM (t/ano)</t>
        </is>
      </c>
      <c r="B21" s="14" t="n">
        <v>237516</v>
      </c>
      <c r="C21" s="6" t="n"/>
      <c r="D21" s="6" t="n"/>
      <c r="E21" s="6" t="n"/>
      <c r="F21" s="6" t="n"/>
      <c r="G21" s="6" t="n"/>
      <c r="H21" s="6" t="inlineStr">
        <is>
          <t>INVARIANTE — não alterado por este inventário</t>
        </is>
      </c>
    </row>
    <row r="22">
      <c r="A22" s="6" t="inlineStr">
        <is>
          <t>Potencial de Guriri em anos de produção integral</t>
        </is>
      </c>
      <c r="B22" s="20">
        <f>Conversão!E23/B21</f>
        <v/>
      </c>
      <c r="C22" s="20">
        <f>Conversão!F23/B21</f>
        <v/>
      </c>
    </row>
    <row r="23">
      <c r="A23" s="10" t="inlineStr">
        <is>
          <t>Incorporado nas projeções de receita (t)</t>
        </is>
      </c>
      <c r="B23" s="19" t="n">
        <v>0</v>
      </c>
      <c r="C23" s="10" t="n"/>
      <c r="D23" s="10" t="n"/>
      <c r="E23" s="10" t="n"/>
      <c r="F23" s="10" t="n"/>
      <c r="G23" s="10" t="n"/>
      <c r="H23" s="10" t="inlineStr">
        <is>
          <t>NENHUMA tonelada deste estoque entra nas projeções de receita</t>
        </is>
      </c>
    </row>
    <row r="24">
      <c r="A24" s="6" t="inlineStr">
        <is>
          <t>Cronograma atribuído pelo estudo</t>
        </is>
      </c>
      <c r="B24" s="6" t="inlineStr">
        <is>
          <t>não atribuído</t>
        </is>
      </c>
      <c r="C24" s="6" t="n"/>
      <c r="D24" s="6" t="n"/>
      <c r="E24" s="6" t="n"/>
      <c r="F24" s="6" t="n"/>
      <c r="G24" s="6" t="n"/>
      <c r="H24" s="6" t="inlineStr">
        <is>
          <t>o ritmo depende de decisão orçamentária do Estado e do Município; o estudo afirma a existência e a magnitude do estoque, não a velocidade — ver o bracket de ritmo abaixo</t>
        </is>
      </c>
    </row>
    <row r="25">
      <c r="A25" s="10" t="inlineStr">
        <is>
          <t>Estoque em anos de produção integral no platô</t>
        </is>
      </c>
      <c r="B25" s="22">
        <f>Conversão!E23/B21</f>
        <v/>
      </c>
      <c r="C25" s="22">
        <f>Conversão!F23/B21</f>
        <v/>
      </c>
      <c r="D25" s="10" t="n"/>
      <c r="E25" s="10" t="n"/>
      <c r="F25" s="10" t="n"/>
      <c r="G25" s="10" t="n"/>
      <c r="H25" s="10" t="inlineStr">
        <is>
          <t>é esta a leitura publicada no lugar do share</t>
        </is>
      </c>
    </row>
    <row r="27">
      <c r="A27" s="3" t="inlineStr">
        <is>
          <t>D · BRACKET DE RITMO — velocidade não prevista, apenas limitada</t>
        </is>
      </c>
      <c r="B27" s="4" t="n"/>
      <c r="C27" s="4" t="n"/>
      <c r="D27" s="4" t="n"/>
      <c r="E27" s="4" t="n"/>
      <c r="F27" s="4" t="n"/>
      <c r="G27" s="4" t="n"/>
      <c r="H27" s="4" t="n"/>
    </row>
    <row r="28">
      <c r="A28" s="5" t="inlineStr">
        <is>
          <t>Frentes simultâneas</t>
        </is>
      </c>
      <c r="B28" s="5" t="inlineStr">
        <is>
          <t>Anos para escoar o resíduo sem contrato</t>
        </is>
      </c>
      <c r="C28" s="5" t="inlineStr">
        <is>
          <t>BRITAGEM por ano mín (t)</t>
        </is>
      </c>
      <c r="D28" s="5" t="inlineStr">
        <is>
          <t>máx (t)</t>
        </is>
      </c>
      <c r="E28" s="5" t="inlineStr"/>
      <c r="F28" s="5" t="inlineStr"/>
      <c r="G28" s="5" t="inlineStr"/>
      <c r="H28" s="5" t="inlineStr">
        <is>
          <t>Observação</t>
        </is>
      </c>
    </row>
    <row r="29">
      <c r="A29" s="8" t="n">
        <v>1</v>
      </c>
      <c r="B29" s="20" t="n">
        <v>34.0224544</v>
      </c>
      <c r="C29" s="8" t="n">
        <v>16647.72727272727</v>
      </c>
      <c r="D29" s="8" t="n">
        <v>20965.90909090909</v>
      </c>
      <c r="E29" s="6" t="n"/>
      <c r="F29" s="6" t="n"/>
      <c r="G29" s="6" t="n"/>
      <c r="H29" s="6" t="inlineStr">
        <is>
          <t>ritmo de uma bacia por vez</t>
        </is>
      </c>
    </row>
    <row r="30">
      <c r="A30" s="19" t="n">
        <v>2</v>
      </c>
      <c r="B30" s="22" t="n">
        <v>17.0112272</v>
      </c>
      <c r="C30" s="19" t="n">
        <v>33295.45454545454</v>
      </c>
      <c r="D30" s="19" t="n">
        <v>41931.81818181818</v>
      </c>
      <c r="E30" s="10" t="n"/>
      <c r="F30" s="10" t="n"/>
      <c r="G30" s="10" t="n"/>
      <c r="H30" s="10" t="inlineStr">
        <is>
          <t>é o que roda HOJE: Bacia 2 em obra e Bacia 1 com edital</t>
        </is>
      </c>
    </row>
    <row r="31">
      <c r="A31" s="8" t="n">
        <v>3</v>
      </c>
      <c r="B31" s="20" t="n">
        <v>11.34081813333333</v>
      </c>
      <c r="C31" s="8" t="n">
        <v>49943.18181818182</v>
      </c>
      <c r="D31" s="8" t="n">
        <v>62897.72727272726</v>
      </c>
      <c r="E31" s="6" t="n"/>
      <c r="F31" s="6" t="n"/>
      <c r="G31" s="6" t="n"/>
      <c r="H31" s="6" t="inlineStr">
        <is>
          <t>com a Bacia 3 licitada</t>
        </is>
      </c>
    </row>
    <row r="32">
      <c r="A32" s="8" t="n">
        <v>4</v>
      </c>
      <c r="B32" s="20" t="n">
        <v>8.5056136</v>
      </c>
      <c r="C32" s="8" t="n">
        <v>66590.90909090909</v>
      </c>
      <c r="D32" s="8" t="n">
        <v>83863.63636363635</v>
      </c>
      <c r="E32" s="6" t="n"/>
      <c r="F32" s="6" t="n"/>
      <c r="G32" s="6" t="n"/>
      <c r="H32" s="6" t="inlineStr">
        <is>
          <t>acima de qualquer precedente local</t>
        </is>
      </c>
    </row>
    <row r="34" ht="46" customHeight="1">
      <c r="A34" s="2" t="inlineStr">
        <is>
          <t>NOTA: nenhuma projeção de receita foi alterada por este inventário. Vendas do plano 63.000 / 126.000 / 237.516 t; captura ponderada 207–245 mil t/ano; mercado endereçável 421–577 mil t/ano; participação do platô 41–56%. O inventário serve para demonstrar que a demanda sobrevive ao prazo do financiamento, não para aumentar receita.</t>
        </is>
      </c>
    </row>
  </sheetData>
  <mergeCells count="1">
    <mergeCell ref="A34:H3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30" customWidth="1" min="3" max="3"/>
    <col width="2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QUEBRA POR LOTEAMENTO — as 21 linhas da planilha-fonte</t>
        </is>
      </c>
    </row>
    <row r="2" ht="34" customHeight="1">
      <c r="A2" s="2" t="inlineStr">
        <is>
          <t>Identificação dominial (proprietário/empreendedor, matrícula, área oficial) das plantas e da planilha de loteamentos da Prefeitura. Amarelo = lido da fonte; branco = fórmula. A linha de total confere com a aba Inventário. As duas últimas colunas servem à priorização comercial: dizem onde está o volume.</t>
        </is>
      </c>
    </row>
    <row r="4" ht="44" customHeight="1">
      <c r="A4" s="5" t="inlineStr">
        <is>
          <t>Nº</t>
        </is>
      </c>
      <c r="B4" s="5" t="inlineStr">
        <is>
          <t>Loteamento</t>
        </is>
      </c>
      <c r="C4" s="5" t="inlineStr">
        <is>
          <t>Proprietário / empreendedor</t>
        </is>
      </c>
      <c r="D4" s="5" t="inlineStr">
        <is>
          <t>Matrícula (registro)</t>
        </is>
      </c>
      <c r="E4" s="5" t="inlineStr">
        <is>
          <t>Área oficial (m²)</t>
        </is>
      </c>
      <c r="F4" s="5" t="inlineStr">
        <is>
          <t>Vias</t>
        </is>
      </c>
      <c r="G4" s="5" t="inlineStr">
        <is>
          <t>Pontos (nomeadas+malha)</t>
        </is>
      </c>
      <c r="H4" s="5" t="inlineStr">
        <is>
          <t>Extensão (m)</t>
        </is>
      </c>
      <c r="I4" s="5" t="inlineStr">
        <is>
          <t>Pavimentado (m)</t>
        </is>
      </c>
      <c r="J4" s="5" t="inlineStr">
        <is>
          <t>% pavimentado</t>
        </is>
      </c>
      <c r="K4" s="5" t="inlineStr">
        <is>
          <t>Falta pavimentar (m)</t>
        </is>
      </c>
      <c r="L4" s="5" t="inlineStr">
        <is>
          <t>Falta pavimentar (m²) — caixa da planta</t>
        </is>
      </c>
      <c r="M4" s="5" t="inlineStr">
        <is>
          <t>Passeio faltante (m de via)</t>
        </is>
      </c>
      <c r="N4" s="5" t="inlineStr">
        <is>
          <t>Passeio faltante (m²)</t>
        </is>
      </c>
      <c r="O4" s="5" t="inlineStr">
        <is>
          <t>Só de planta (m)</t>
        </is>
      </c>
      <c r="P4" s="5" t="inlineStr">
        <is>
          <t>Largura média adotada (m)</t>
        </is>
      </c>
      <c r="Q4" s="5" t="inlineStr">
        <is>
          <t>BRITAGEM mín (t)</t>
        </is>
      </c>
      <c r="R4" s="5" t="inlineStr">
        <is>
          <t>BRITAGEM máx (t)</t>
        </is>
      </c>
    </row>
    <row r="5">
      <c r="A5" s="6" t="n">
        <v>7</v>
      </c>
      <c r="B5" s="6" t="inlineStr">
        <is>
          <t>Balneário de Guriri</t>
        </is>
      </c>
      <c r="C5" s="6" t="inlineStr">
        <is>
          <t>Município de São Mateus</t>
        </is>
      </c>
      <c r="D5" s="6" t="inlineStr">
        <is>
          <t>7.798/3-J (22/02/1979)</t>
        </is>
      </c>
      <c r="E5" s="14" t="n">
        <v>578500</v>
      </c>
      <c r="F5" s="14" t="n">
        <v>20</v>
      </c>
      <c r="G5" s="23" t="inlineStr">
        <is>
          <t>54+4</t>
        </is>
      </c>
      <c r="H5" s="7" t="n">
        <v>16241.4</v>
      </c>
      <c r="I5" s="7" t="n">
        <v>9731.299999999999</v>
      </c>
      <c r="J5" s="9">
        <f>IF(H5=0,0,I5/H5)</f>
        <v/>
      </c>
      <c r="K5" s="14" t="n">
        <v>6510.1</v>
      </c>
      <c r="L5" s="14" t="n">
        <v>52083</v>
      </c>
      <c r="M5" s="7" t="n">
        <v>6496.56</v>
      </c>
      <c r="N5" s="14" t="n">
        <v>25986</v>
      </c>
      <c r="O5" s="14" t="n">
        <v>0</v>
      </c>
      <c r="P5" s="7" t="n">
        <v>8</v>
      </c>
      <c r="Q5" s="8">
        <f>L5*Conversão!$B$15+N5*Conversão!$B$17</f>
        <v/>
      </c>
      <c r="R5" s="8">
        <f>L5*Conversão!$C$15+N5*Conversão!$C$17</f>
        <v/>
      </c>
    </row>
    <row r="6">
      <c r="A6" s="6" t="n">
        <v>9</v>
      </c>
      <c r="B6" s="6" t="inlineStr">
        <is>
          <t>Bosque da Praia</t>
        </is>
      </c>
      <c r="C6" s="6" t="inlineStr">
        <is>
          <t>TEGIL Territorial Guriri Ltda</t>
        </is>
      </c>
      <c r="D6" s="6" t="inlineStr">
        <is>
          <t>2.315 (14/12/1979)</t>
        </is>
      </c>
      <c r="E6" s="14" t="n">
        <v>1728555</v>
      </c>
      <c r="F6" s="14" t="n">
        <v>40</v>
      </c>
      <c r="G6" s="23" t="inlineStr">
        <is>
          <t>3+24</t>
        </is>
      </c>
      <c r="H6" s="7" t="n">
        <v>36392.4</v>
      </c>
      <c r="I6" s="7" t="n">
        <v>0</v>
      </c>
      <c r="J6" s="9">
        <f>IF(H6=0,0,I6/H6)</f>
        <v/>
      </c>
      <c r="K6" s="14" t="n">
        <v>36392.4</v>
      </c>
      <c r="L6" s="14" t="n">
        <v>335689</v>
      </c>
      <c r="M6" s="7" t="n">
        <v>32796.28</v>
      </c>
      <c r="N6" s="14" t="n">
        <v>131185</v>
      </c>
      <c r="O6" s="14" t="n">
        <v>35450</v>
      </c>
      <c r="P6" s="7" t="n">
        <v>9.224156692056583</v>
      </c>
      <c r="Q6" s="8">
        <f>L6*Conversão!$B$15+N6*Conversão!$B$17</f>
        <v/>
      </c>
      <c r="R6" s="8">
        <f>L6*Conversão!$C$15+N6*Conversão!$C$17</f>
        <v/>
      </c>
    </row>
    <row r="7">
      <c r="A7" s="6" t="n">
        <v>10</v>
      </c>
      <c r="B7" s="6" t="inlineStr">
        <is>
          <t>Parque dos Albatrozes</t>
        </is>
      </c>
      <c r="C7" s="6" t="inlineStr">
        <is>
          <t>BINOTTE Emp. Imobiliários</t>
        </is>
      </c>
      <c r="D7" s="6" t="inlineStr">
        <is>
          <t>2.383 (18/06/1980)</t>
        </is>
      </c>
      <c r="E7" s="14" t="n">
        <v>757170</v>
      </c>
      <c r="F7" s="14" t="n">
        <v>32</v>
      </c>
      <c r="G7" s="23" t="inlineStr">
        <is>
          <t>54+0</t>
        </is>
      </c>
      <c r="H7" s="7" t="n">
        <v>17996.4</v>
      </c>
      <c r="I7" s="7" t="n">
        <v>5685.3</v>
      </c>
      <c r="J7" s="9">
        <f>IF(H7=0,0,I7/H7)</f>
        <v/>
      </c>
      <c r="K7" s="14" t="n">
        <v>12311.1</v>
      </c>
      <c r="L7" s="14" t="n">
        <v>104760</v>
      </c>
      <c r="M7" s="7" t="n">
        <v>8458.308000000001</v>
      </c>
      <c r="N7" s="14" t="n">
        <v>33833</v>
      </c>
      <c r="O7" s="14" t="n">
        <v>0</v>
      </c>
      <c r="P7" s="7" t="n">
        <v>8.509515802812098</v>
      </c>
      <c r="Q7" s="8">
        <f>L7*Conversão!$B$15+N7*Conversão!$B$17</f>
        <v/>
      </c>
      <c r="R7" s="8">
        <f>L7*Conversão!$C$15+N7*Conversão!$C$17</f>
        <v/>
      </c>
    </row>
    <row r="8">
      <c r="A8" s="6" t="n">
        <v>13</v>
      </c>
      <c r="B8" s="6" t="inlineStr">
        <is>
          <t>Praia de Guriri</t>
        </is>
      </c>
      <c r="C8" s="6" t="inlineStr">
        <is>
          <t>Dalla Bernardina Imob.</t>
        </is>
      </c>
      <c r="D8" s="6" t="inlineStr">
        <is>
          <t>2.025 (06/07/1983)</t>
        </is>
      </c>
      <c r="E8" s="14" t="n">
        <v>625209.2</v>
      </c>
      <c r="F8" s="14" t="n">
        <v>40</v>
      </c>
      <c r="G8" s="23" t="inlineStr">
        <is>
          <t>57+0</t>
        </is>
      </c>
      <c r="H8" s="7" t="n">
        <v>12416.1</v>
      </c>
      <c r="I8" s="7" t="n">
        <v>2691.3</v>
      </c>
      <c r="J8" s="9">
        <f>IF(H8=0,0,I8/H8)</f>
        <v/>
      </c>
      <c r="K8" s="14" t="n">
        <v>9724.799999999999</v>
      </c>
      <c r="L8" s="14" t="n">
        <v>77796</v>
      </c>
      <c r="M8" s="7" t="n">
        <v>9063.753000000001</v>
      </c>
      <c r="N8" s="14" t="n">
        <v>36255</v>
      </c>
      <c r="O8" s="14" t="n">
        <v>0</v>
      </c>
      <c r="P8" s="7" t="n">
        <v>8</v>
      </c>
      <c r="Q8" s="8">
        <f>L8*Conversão!$B$15+N8*Conversão!$B$17</f>
        <v/>
      </c>
      <c r="R8" s="8">
        <f>L8*Conversão!$C$15+N8*Conversão!$C$17</f>
        <v/>
      </c>
    </row>
    <row r="9">
      <c r="A9" s="6" t="n">
        <v>14</v>
      </c>
      <c r="B9" s="6" t="inlineStr">
        <is>
          <t>Jardim das Caiçaras</t>
        </is>
      </c>
      <c r="C9" s="6" t="inlineStr">
        <is>
          <t>Caiçaras Emp. Imobiliários</t>
        </is>
      </c>
      <c r="D9" s="6" t="inlineStr">
        <is>
          <t>4.170 (05/05/1986)</t>
        </is>
      </c>
      <c r="E9" s="14" t="n">
        <v>1141457.92</v>
      </c>
      <c r="F9" s="14" t="n">
        <v>48</v>
      </c>
      <c r="G9" s="23" t="inlineStr">
        <is>
          <t>78+0</t>
        </is>
      </c>
      <c r="H9" s="7" t="n">
        <v>21907.8</v>
      </c>
      <c r="I9" s="7" t="n">
        <v>3731.2</v>
      </c>
      <c r="J9" s="9">
        <f>IF(H9=0,0,I9/H9)</f>
        <v/>
      </c>
      <c r="K9" s="14" t="n">
        <v>18176.6</v>
      </c>
      <c r="L9" s="14" t="n">
        <v>145416</v>
      </c>
      <c r="M9" s="7" t="n">
        <v>18402.552</v>
      </c>
      <c r="N9" s="14" t="n">
        <v>73610</v>
      </c>
      <c r="O9" s="14" t="n">
        <v>0</v>
      </c>
      <c r="P9" s="7" t="n">
        <v>8</v>
      </c>
      <c r="Q9" s="8">
        <f>L9*Conversão!$B$15+N9*Conversão!$B$17</f>
        <v/>
      </c>
      <c r="R9" s="8">
        <f>L9*Conversão!$C$15+N9*Conversão!$C$17</f>
        <v/>
      </c>
    </row>
    <row r="10">
      <c r="A10" s="6" t="n">
        <v>15</v>
      </c>
      <c r="B10" s="6" t="inlineStr">
        <is>
          <t>Morada do Sol</t>
        </is>
      </c>
      <c r="C10" s="6" t="inlineStr">
        <is>
          <t>Guriri Beach Turismo</t>
        </is>
      </c>
      <c r="D10" s="6" t="inlineStr">
        <is>
          <t>7.640 (09/10/1986)</t>
        </is>
      </c>
      <c r="E10" s="14" t="n">
        <v>122213.92</v>
      </c>
      <c r="F10" s="14" t="n">
        <v>13</v>
      </c>
      <c r="G10" s="23" t="inlineStr">
        <is>
          <t>15+0</t>
        </is>
      </c>
      <c r="H10" s="7" t="n">
        <v>3114.8</v>
      </c>
      <c r="I10" s="7" t="n">
        <v>514.4</v>
      </c>
      <c r="J10" s="9">
        <f>IF(H10=0,0,I10/H10)</f>
        <v/>
      </c>
      <c r="K10" s="14" t="n">
        <v>2600.4</v>
      </c>
      <c r="L10" s="14" t="n">
        <v>20801</v>
      </c>
      <c r="M10" s="7" t="n">
        <v>1993.472</v>
      </c>
      <c r="N10" s="14" t="n">
        <v>7974</v>
      </c>
      <c r="O10" s="14" t="n">
        <v>0</v>
      </c>
      <c r="P10" s="7" t="n">
        <v>8</v>
      </c>
      <c r="Q10" s="8">
        <f>L10*Conversão!$B$15+N10*Conversão!$B$17</f>
        <v/>
      </c>
      <c r="R10" s="8">
        <f>L10*Conversão!$C$15+N10*Conversão!$C$17</f>
        <v/>
      </c>
    </row>
    <row r="11">
      <c r="A11" s="6" t="n">
        <v>25</v>
      </c>
      <c r="B11" s="6" t="inlineStr">
        <is>
          <t>Parque Residencial Oitizeiro</t>
        </is>
      </c>
      <c r="C11" s="6" t="inlineStr">
        <is>
          <t>Alba Figueiredo Brasileiro</t>
        </is>
      </c>
      <c r="D11" s="6" t="inlineStr">
        <is>
          <t>14.380 (02/06/2000)</t>
        </is>
      </c>
      <c r="E11" s="14" t="n">
        <v>557784.5</v>
      </c>
      <c r="F11" s="14" t="n">
        <v>31</v>
      </c>
      <c r="G11" s="23" t="inlineStr">
        <is>
          <t>41+0</t>
        </is>
      </c>
      <c r="H11" s="7" t="n">
        <v>13895.5</v>
      </c>
      <c r="I11" s="7" t="n">
        <v>752.2</v>
      </c>
      <c r="J11" s="9">
        <f>IF(H11=0,0,I11/H11)</f>
        <v/>
      </c>
      <c r="K11" s="14" t="n">
        <v>13143.3</v>
      </c>
      <c r="L11" s="14" t="n">
        <v>110278</v>
      </c>
      <c r="M11" s="7" t="n">
        <v>7781.48</v>
      </c>
      <c r="N11" s="14" t="n">
        <v>31756</v>
      </c>
      <c r="O11" s="14" t="n">
        <v>0</v>
      </c>
      <c r="P11" s="7" t="n">
        <v>8.390317348002403</v>
      </c>
      <c r="Q11" s="8">
        <f>L11*Conversão!$B$15+N11*Conversão!$B$17</f>
        <v/>
      </c>
      <c r="R11" s="8">
        <f>L11*Conversão!$C$15+N11*Conversão!$C$17</f>
        <v/>
      </c>
    </row>
    <row r="12">
      <c r="A12" s="6" t="n">
        <v>27</v>
      </c>
      <c r="B12" s="6" t="inlineStr">
        <is>
          <t>Residencial Mar Aberto</t>
        </is>
      </c>
      <c r="C12" s="6" t="inlineStr">
        <is>
          <t>Mirante Emp. Imobiliários</t>
        </is>
      </c>
      <c r="D12" s="6" t="inlineStr">
        <is>
          <t>9.853 (25/08/2000)</t>
        </is>
      </c>
      <c r="E12" s="14" t="n">
        <v>387200</v>
      </c>
      <c r="F12" s="14" t="n">
        <v>35</v>
      </c>
      <c r="G12" s="23" t="inlineStr">
        <is>
          <t>8+25</t>
        </is>
      </c>
      <c r="H12" s="7" t="n">
        <v>6839</v>
      </c>
      <c r="I12" s="7" t="n">
        <v>626.2</v>
      </c>
      <c r="J12" s="9">
        <f>IF(H12=0,0,I12/H12)</f>
        <v/>
      </c>
      <c r="K12" s="14" t="n">
        <v>6212.8</v>
      </c>
      <c r="L12" s="14" t="n">
        <v>68341</v>
      </c>
      <c r="M12" s="7" t="n">
        <v>6702.22</v>
      </c>
      <c r="N12" s="14" t="n">
        <v>33511</v>
      </c>
      <c r="O12" s="14" t="n">
        <v>4108</v>
      </c>
      <c r="P12" s="7" t="n">
        <v>11</v>
      </c>
      <c r="Q12" s="8">
        <f>L12*Conversão!$B$15+N12*Conversão!$B$17</f>
        <v/>
      </c>
      <c r="R12" s="8">
        <f>L12*Conversão!$C$15+N12*Conversão!$C$17</f>
        <v/>
      </c>
    </row>
    <row r="13">
      <c r="A13" s="6" t="n">
        <v>31</v>
      </c>
      <c r="B13" s="6" t="inlineStr">
        <is>
          <t>Melhorini Residencial Parque</t>
        </is>
      </c>
      <c r="C13" s="6" t="inlineStr">
        <is>
          <t>Domingos Melhorini</t>
        </is>
      </c>
      <c r="D13" s="6" t="inlineStr">
        <is>
          <t>9.300 (26/11/2001)</t>
        </is>
      </c>
      <c r="E13" s="14" t="n">
        <v>70180</v>
      </c>
      <c r="F13" s="14" t="n">
        <v>10</v>
      </c>
      <c r="G13" s="23" t="inlineStr">
        <is>
          <t>10+0</t>
        </is>
      </c>
      <c r="H13" s="7" t="n">
        <v>1520.9</v>
      </c>
      <c r="I13" s="7" t="n">
        <v>339.3</v>
      </c>
      <c r="J13" s="9">
        <f>IF(H13=0,0,I13/H13)</f>
        <v/>
      </c>
      <c r="K13" s="14" t="n">
        <v>1181.6</v>
      </c>
      <c r="L13" s="14" t="n">
        <v>9453</v>
      </c>
      <c r="M13" s="7" t="n">
        <v>1079.839</v>
      </c>
      <c r="N13" s="14" t="n">
        <v>4319</v>
      </c>
      <c r="O13" s="14" t="n">
        <v>0</v>
      </c>
      <c r="P13" s="7" t="n">
        <v>8</v>
      </c>
      <c r="Q13" s="8">
        <f>L13*Conversão!$B$15+N13*Conversão!$B$17</f>
        <v/>
      </c>
      <c r="R13" s="8">
        <f>L13*Conversão!$C$15+N13*Conversão!$C$17</f>
        <v/>
      </c>
    </row>
    <row r="14">
      <c r="A14" s="6" t="n">
        <v>35</v>
      </c>
      <c r="B14" s="6" t="inlineStr">
        <is>
          <t>Verão Vermelho</t>
        </is>
      </c>
      <c r="C14" s="6" t="inlineStr">
        <is>
          <t>Neri Mariani</t>
        </is>
      </c>
      <c r="D14" s="6" t="inlineStr">
        <is>
          <t>16.265 (24/10/2003)</t>
        </is>
      </c>
      <c r="E14" s="14" t="n">
        <v>402084</v>
      </c>
      <c r="F14" s="14" t="n">
        <v>34</v>
      </c>
      <c r="G14" s="23" t="inlineStr">
        <is>
          <t>9+28</t>
        </is>
      </c>
      <c r="H14" s="7" t="n">
        <v>10602.1</v>
      </c>
      <c r="I14" s="7" t="n">
        <v>425.3</v>
      </c>
      <c r="J14" s="9">
        <f>IF(H14=0,0,I14/H14)</f>
        <v/>
      </c>
      <c r="K14" s="14" t="n">
        <v>10176.8</v>
      </c>
      <c r="L14" s="14" t="n">
        <v>79492</v>
      </c>
      <c r="M14" s="7" t="n">
        <v>6807.574</v>
      </c>
      <c r="N14" s="14" t="n">
        <v>27741</v>
      </c>
      <c r="O14" s="14" t="n">
        <v>7830</v>
      </c>
      <c r="P14" s="7" t="n">
        <v>7.811129235123024</v>
      </c>
      <c r="Q14" s="8">
        <f>L14*Conversão!$B$15+N14*Conversão!$B$17</f>
        <v/>
      </c>
      <c r="R14" s="8">
        <f>L14*Conversão!$C$15+N14*Conversão!$C$17</f>
        <v/>
      </c>
    </row>
    <row r="15">
      <c r="A15" s="6" t="n">
        <v>36</v>
      </c>
      <c r="B15" s="6" t="inlineStr">
        <is>
          <t>Residencial Ilha de Guriri I</t>
        </is>
      </c>
      <c r="C15" s="6" t="inlineStr">
        <is>
          <t>Airton Ruberth</t>
        </is>
      </c>
      <c r="D15" s="6" t="inlineStr">
        <is>
          <t>15.191 (12/11/2003)</t>
        </is>
      </c>
      <c r="E15" s="14" t="n">
        <v>77639</v>
      </c>
      <c r="F15" s="14" t="n">
        <v>9</v>
      </c>
      <c r="G15" s="23" t="inlineStr">
        <is>
          <t>9+0</t>
        </is>
      </c>
      <c r="H15" s="7" t="n">
        <v>1995.2</v>
      </c>
      <c r="I15" s="7" t="n">
        <v>0</v>
      </c>
      <c r="J15" s="9">
        <f>IF(H15=0,0,I15/H15)</f>
        <v/>
      </c>
      <c r="K15" s="14" t="n">
        <v>1995.2</v>
      </c>
      <c r="L15" s="14" t="n">
        <v>15962</v>
      </c>
      <c r="M15" s="7" t="n">
        <v>1556.256</v>
      </c>
      <c r="N15" s="14" t="n">
        <v>6225</v>
      </c>
      <c r="O15" s="14" t="n">
        <v>0</v>
      </c>
      <c r="P15" s="7" t="n">
        <v>8</v>
      </c>
      <c r="Q15" s="8">
        <f>L15*Conversão!$B$15+N15*Conversão!$B$17</f>
        <v/>
      </c>
      <c r="R15" s="8">
        <f>L15*Conversão!$C$15+N15*Conversão!$C$17</f>
        <v/>
      </c>
    </row>
    <row r="16">
      <c r="A16" s="6" t="n">
        <v>39</v>
      </c>
      <c r="B16" s="6" t="inlineStr">
        <is>
          <t>Central</t>
        </is>
      </c>
      <c r="C16" s="6" t="inlineStr">
        <is>
          <t>Kajuzal Camping</t>
        </is>
      </c>
      <c r="D16" s="6" t="inlineStr">
        <is>
          <t>16.104 (25/11/2003)</t>
        </is>
      </c>
      <c r="E16" s="14" t="n">
        <v>124388</v>
      </c>
      <c r="F16" s="14" t="n">
        <v>15</v>
      </c>
      <c r="G16" s="23" t="inlineStr">
        <is>
          <t>10+0</t>
        </is>
      </c>
      <c r="H16" s="7" t="n">
        <v>3725.3</v>
      </c>
      <c r="I16" s="7" t="n">
        <v>435.4</v>
      </c>
      <c r="J16" s="9">
        <f>IF(H16=0,0,I16/H16)</f>
        <v/>
      </c>
      <c r="K16" s="14" t="n">
        <v>3289.9</v>
      </c>
      <c r="L16" s="14" t="n">
        <v>26319</v>
      </c>
      <c r="M16" s="7" t="n">
        <v>2980.24</v>
      </c>
      <c r="N16" s="14" t="n">
        <v>11921</v>
      </c>
      <c r="O16" s="14" t="n">
        <v>0</v>
      </c>
      <c r="P16" s="7" t="n">
        <v>8</v>
      </c>
      <c r="Q16" s="8">
        <f>L16*Conversão!$B$15+N16*Conversão!$B$17</f>
        <v/>
      </c>
      <c r="R16" s="8">
        <f>L16*Conversão!$C$15+N16*Conversão!$C$17</f>
        <v/>
      </c>
    </row>
    <row r="17">
      <c r="A17" s="6" t="n">
        <v>42</v>
      </c>
      <c r="B17" s="6" t="inlineStr">
        <is>
          <t>Residencial Bom Jesus</t>
        </is>
      </c>
      <c r="C17" s="6" t="inlineStr">
        <is>
          <t>Kajuzal Camping</t>
        </is>
      </c>
      <c r="D17" s="6" t="inlineStr">
        <is>
          <t>15.989 (23/12/2003)</t>
        </is>
      </c>
      <c r="E17" s="14" t="n">
        <v>1089673.36</v>
      </c>
      <c r="F17" s="14" t="n">
        <v>22</v>
      </c>
      <c r="G17" s="23" t="inlineStr">
        <is>
          <t>70+0</t>
        </is>
      </c>
      <c r="H17" s="7" t="n">
        <v>23700.1</v>
      </c>
      <c r="I17" s="7" t="n">
        <v>20665.5</v>
      </c>
      <c r="J17" s="9">
        <f>IF(H17=0,0,I17/H17)</f>
        <v/>
      </c>
      <c r="K17" s="14" t="n">
        <v>3034.6</v>
      </c>
      <c r="L17" s="14" t="n">
        <v>24277</v>
      </c>
      <c r="M17" s="7" t="n">
        <v>18249.077</v>
      </c>
      <c r="N17" s="14" t="n">
        <v>74201</v>
      </c>
      <c r="O17" s="14" t="n">
        <v>2076</v>
      </c>
      <c r="P17" s="7" t="n">
        <v>8</v>
      </c>
      <c r="Q17" s="8">
        <f>L17*Conversão!$B$15+N17*Conversão!$B$17</f>
        <v/>
      </c>
      <c r="R17" s="8">
        <f>L17*Conversão!$C$15+N17*Conversão!$C$17</f>
        <v/>
      </c>
    </row>
    <row r="18">
      <c r="A18" s="6" t="n">
        <v>47</v>
      </c>
      <c r="B18" s="6" t="inlineStr">
        <is>
          <t>Praiano</t>
        </is>
      </c>
      <c r="C18" s="6" t="inlineStr">
        <is>
          <t>Praiano Guriri Clube</t>
        </is>
      </c>
      <c r="D18" s="6" t="inlineStr">
        <is>
          <t>10.725</t>
        </is>
      </c>
      <c r="E18" s="14" t="n">
        <v>96800</v>
      </c>
      <c r="F18" s="14" t="n">
        <v>15</v>
      </c>
      <c r="G18" s="23" t="inlineStr">
        <is>
          <t>15+0</t>
        </is>
      </c>
      <c r="H18" s="7" t="n">
        <v>2612.2</v>
      </c>
      <c r="I18" s="7" t="n">
        <v>257.4</v>
      </c>
      <c r="J18" s="9">
        <f>IF(H18=0,0,I18/H18)</f>
        <v/>
      </c>
      <c r="K18" s="14" t="n">
        <v>2354.8</v>
      </c>
      <c r="L18" s="14" t="n">
        <v>18838</v>
      </c>
      <c r="M18" s="7" t="n">
        <v>2063.638</v>
      </c>
      <c r="N18" s="14" t="n">
        <v>8393</v>
      </c>
      <c r="O18" s="14" t="n">
        <v>0</v>
      </c>
      <c r="P18" s="7" t="n">
        <v>8</v>
      </c>
      <c r="Q18" s="8">
        <f>L18*Conversão!$B$15+N18*Conversão!$B$17</f>
        <v/>
      </c>
      <c r="R18" s="8">
        <f>L18*Conversão!$C$15+N18*Conversão!$C$17</f>
        <v/>
      </c>
    </row>
    <row r="19">
      <c r="A19" s="6" t="n">
        <v>49</v>
      </c>
      <c r="B19" s="6" t="inlineStr">
        <is>
          <t>Vale do Amazonas</t>
        </is>
      </c>
      <c r="C19" s="6" t="inlineStr">
        <is>
          <t>Igor Vescovi Devens</t>
        </is>
      </c>
      <c r="D19" s="6" t="inlineStr">
        <is>
          <t>15.185</t>
        </is>
      </c>
      <c r="E19" s="14" t="n">
        <v>77639</v>
      </c>
      <c r="F19" s="14" t="n">
        <v>4</v>
      </c>
      <c r="G19" s="23" t="inlineStr">
        <is>
          <t>4+0</t>
        </is>
      </c>
      <c r="H19" s="7" t="n">
        <v>1154.4</v>
      </c>
      <c r="I19" s="7" t="n">
        <v>0</v>
      </c>
      <c r="J19" s="9">
        <f>IF(H19=0,0,I19/H19)</f>
        <v/>
      </c>
      <c r="K19" s="14" t="n">
        <v>1154.4</v>
      </c>
      <c r="L19" s="14" t="n">
        <v>10442</v>
      </c>
      <c r="M19" s="7" t="n">
        <v>1154.4</v>
      </c>
      <c r="N19" s="14" t="n">
        <v>4618</v>
      </c>
      <c r="O19" s="14" t="n">
        <v>0</v>
      </c>
      <c r="P19" s="7" t="n">
        <v>9.045478170478168</v>
      </c>
      <c r="Q19" s="8">
        <f>L19*Conversão!$B$15+N19*Conversão!$B$17</f>
        <v/>
      </c>
      <c r="R19" s="8">
        <f>L19*Conversão!$C$15+N19*Conversão!$C$17</f>
        <v/>
      </c>
    </row>
    <row r="20">
      <c r="A20" s="6" t="n">
        <v>50</v>
      </c>
      <c r="B20" s="6" t="inlineStr">
        <is>
          <t>Flor Pan</t>
        </is>
      </c>
      <c r="C20" s="6" t="inlineStr">
        <is>
          <t>Antonio Costa</t>
        </is>
      </c>
      <c r="D20" s="6" t="inlineStr">
        <is>
          <t>15.189</t>
        </is>
      </c>
      <c r="E20" s="14" t="n">
        <v>77639</v>
      </c>
      <c r="F20" s="14" t="n">
        <v>7</v>
      </c>
      <c r="G20" s="23" t="inlineStr">
        <is>
          <t>9+0</t>
        </is>
      </c>
      <c r="H20" s="7" t="n">
        <v>1809.1</v>
      </c>
      <c r="I20" s="7" t="n">
        <v>0</v>
      </c>
      <c r="J20" s="9">
        <f>IF(H20=0,0,I20/H20)</f>
        <v/>
      </c>
      <c r="K20" s="14" t="n">
        <v>1809.1</v>
      </c>
      <c r="L20" s="14" t="n">
        <v>19900</v>
      </c>
      <c r="M20" s="7" t="n">
        <v>1320.643</v>
      </c>
      <c r="N20" s="14" t="n">
        <v>5283</v>
      </c>
      <c r="O20" s="14" t="n">
        <v>0</v>
      </c>
      <c r="P20" s="7" t="n">
        <v>11</v>
      </c>
      <c r="Q20" s="8">
        <f>L20*Conversão!$B$15+N20*Conversão!$B$17</f>
        <v/>
      </c>
      <c r="R20" s="8">
        <f>L20*Conversão!$C$15+N20*Conversão!$C$17</f>
        <v/>
      </c>
    </row>
    <row r="21">
      <c r="A21" s="6" t="n">
        <v>60</v>
      </c>
      <c r="B21" s="6" t="inlineStr">
        <is>
          <t>Residencial Evidência</t>
        </is>
      </c>
      <c r="C21" s="6" t="inlineStr">
        <is>
          <t>Anildo Moreira Tavares</t>
        </is>
      </c>
      <c r="D21" s="6" t="inlineStr">
        <is>
          <t>9.497</t>
        </is>
      </c>
      <c r="E21" s="14" t="n">
        <v>138513.92</v>
      </c>
      <c r="F21" s="14" t="n">
        <v>22</v>
      </c>
      <c r="G21" s="23" t="inlineStr">
        <is>
          <t>22+0</t>
        </is>
      </c>
      <c r="H21" s="7" t="n">
        <v>3885</v>
      </c>
      <c r="I21" s="7" t="n">
        <v>0</v>
      </c>
      <c r="J21" s="9">
        <f>IF(H21=0,0,I21/H21)</f>
        <v/>
      </c>
      <c r="K21" s="14" t="n">
        <v>3885</v>
      </c>
      <c r="L21" s="14" t="n">
        <v>31083</v>
      </c>
      <c r="M21" s="7" t="n">
        <v>2602.95</v>
      </c>
      <c r="N21" s="14" t="n">
        <v>10412</v>
      </c>
      <c r="O21" s="14" t="n">
        <v>0</v>
      </c>
      <c r="P21" s="7" t="n">
        <v>8</v>
      </c>
      <c r="Q21" s="8">
        <f>L21*Conversão!$B$15+N21*Conversão!$B$17</f>
        <v/>
      </c>
      <c r="R21" s="8">
        <f>L21*Conversão!$C$15+N21*Conversão!$C$17</f>
        <v/>
      </c>
    </row>
    <row r="22">
      <c r="A22" s="6" t="n">
        <v>70</v>
      </c>
      <c r="B22" s="6" t="inlineStr">
        <is>
          <t>Pontal de Guriri</t>
        </is>
      </c>
      <c r="C22" s="6" t="inlineStr">
        <is>
          <t>João Bosco Cevolane</t>
        </is>
      </c>
      <c r="D22" s="6" t="inlineStr">
        <is>
          <t>19.747</t>
        </is>
      </c>
      <c r="E22" s="14" t="n">
        <v>244194.61</v>
      </c>
      <c r="F22" s="14" t="n">
        <v>17</v>
      </c>
      <c r="G22" s="23" t="inlineStr">
        <is>
          <t>28+0</t>
        </is>
      </c>
      <c r="H22" s="7" t="n">
        <v>6052.1</v>
      </c>
      <c r="I22" s="7" t="n">
        <v>572</v>
      </c>
      <c r="J22" s="9">
        <f>IF(H22=0,0,I22/H22)</f>
        <v/>
      </c>
      <c r="K22" s="14" t="n">
        <v>5480.1</v>
      </c>
      <c r="L22" s="14" t="n">
        <v>43842</v>
      </c>
      <c r="M22" s="7" t="n">
        <v>5931.058</v>
      </c>
      <c r="N22" s="14" t="n">
        <v>23724</v>
      </c>
      <c r="O22" s="14" t="n">
        <v>0</v>
      </c>
      <c r="P22" s="7" t="n">
        <v>8</v>
      </c>
      <c r="Q22" s="8">
        <f>L22*Conversão!$B$15+N22*Conversão!$B$17</f>
        <v/>
      </c>
      <c r="R22" s="8">
        <f>L22*Conversão!$C$15+N22*Conversão!$C$17</f>
        <v/>
      </c>
    </row>
    <row r="23">
      <c r="A23" s="6" t="n">
        <v>78</v>
      </c>
      <c r="B23" s="6" t="inlineStr">
        <is>
          <t>João de Barro (COHAJOBA)</t>
        </is>
      </c>
      <c r="C23" s="6" t="inlineStr">
        <is>
          <t>COHAJOBA</t>
        </is>
      </c>
      <c r="D23" s="6" t="inlineStr">
        <is>
          <t>19.792</t>
        </is>
      </c>
      <c r="E23" s="14" t="n">
        <v>54750</v>
      </c>
      <c r="F23" s="14" t="n">
        <v>10</v>
      </c>
      <c r="G23" s="23" t="inlineStr">
        <is>
          <t>0+14</t>
        </is>
      </c>
      <c r="H23" s="7" t="n">
        <v>1490</v>
      </c>
      <c r="I23" s="7" t="n">
        <v>0</v>
      </c>
      <c r="J23" s="9">
        <f>IF(H23=0,0,I23/H23)</f>
        <v/>
      </c>
      <c r="K23" s="14" t="n">
        <v>1490</v>
      </c>
      <c r="L23" s="14" t="n">
        <v>11920</v>
      </c>
      <c r="M23" s="7" t="inlineStr">
        <is>
          <t>não medido</t>
        </is>
      </c>
      <c r="N23" s="14" t="inlineStr">
        <is>
          <t>não medido</t>
        </is>
      </c>
      <c r="O23" s="14" t="n">
        <v>1490</v>
      </c>
      <c r="P23" s="7" t="n">
        <v>8</v>
      </c>
      <c r="Q23" s="8">
        <f>L23*Conversão!$B$15</f>
        <v/>
      </c>
      <c r="R23" s="8">
        <f>L23*Conversão!$C$15</f>
        <v/>
      </c>
    </row>
    <row r="24">
      <c r="A24" s="6" t="n">
        <v>80</v>
      </c>
      <c r="B24" s="6" t="inlineStr">
        <is>
          <t>Soma Cevolani (Golden Guriri)</t>
        </is>
      </c>
      <c r="C24" s="6" t="inlineStr">
        <is>
          <t>Soma Cevolani SPE</t>
        </is>
      </c>
      <c r="D24" s="6" t="inlineStr">
        <is>
          <t>52.586</t>
        </is>
      </c>
      <c r="E24" s="14" t="n">
        <v>234671.83</v>
      </c>
      <c r="F24" s="14" t="n">
        <v>8</v>
      </c>
      <c r="G24" s="23" t="inlineStr">
        <is>
          <t>0+32</t>
        </is>
      </c>
      <c r="H24" s="7" t="n">
        <v>4952</v>
      </c>
      <c r="I24" s="7" t="n">
        <v>4952</v>
      </c>
      <c r="J24" s="9">
        <f>IF(H24=0,0,I24/H24)</f>
        <v/>
      </c>
      <c r="K24" s="14" t="n">
        <v>0</v>
      </c>
      <c r="L24" s="14" t="n">
        <v>0</v>
      </c>
      <c r="M24" s="7" t="inlineStr">
        <is>
          <t>não medido</t>
        </is>
      </c>
      <c r="N24" s="14" t="inlineStr">
        <is>
          <t>não medido</t>
        </is>
      </c>
      <c r="O24" s="14" t="n">
        <v>4952</v>
      </c>
      <c r="P24" s="7" t="n"/>
      <c r="Q24" s="8">
        <f>L24*Conversão!$B$15</f>
        <v/>
      </c>
      <c r="R24" s="8">
        <f>L24*Conversão!$C$15</f>
        <v/>
      </c>
    </row>
    <row r="25">
      <c r="A25" s="6" t="n">
        <v>84</v>
      </c>
      <c r="B25" s="6" t="inlineStr">
        <is>
          <t>Pontal de Guriri II</t>
        </is>
      </c>
      <c r="C25" s="6" t="inlineStr">
        <is>
          <t>João Bosco Cevolane Ltda</t>
        </is>
      </c>
      <c r="D25" s="6" t="inlineStr">
        <is>
          <t>54.633</t>
        </is>
      </c>
      <c r="E25" s="14" t="n">
        <v>44371.01</v>
      </c>
      <c r="F25" s="14" t="n">
        <v>5</v>
      </c>
      <c r="G25" s="23" t="inlineStr">
        <is>
          <t>0+14</t>
        </is>
      </c>
      <c r="H25" s="7" t="n">
        <v>1073</v>
      </c>
      <c r="I25" s="7" t="n">
        <v>0</v>
      </c>
      <c r="J25" s="9">
        <f>IF(H25=0,0,I25/H25)</f>
        <v/>
      </c>
      <c r="K25" s="14" t="n">
        <v>1073</v>
      </c>
      <c r="L25" s="14" t="n">
        <v>9855</v>
      </c>
      <c r="M25" s="7" t="n">
        <v>772.5599999999999</v>
      </c>
      <c r="N25" s="14" t="n">
        <v>3256</v>
      </c>
      <c r="O25" s="14" t="n">
        <v>1073</v>
      </c>
      <c r="P25" s="7" t="n">
        <v>9.184063373718546</v>
      </c>
      <c r="Q25" s="8">
        <f>L25*Conversão!$B$15+N25*Conversão!$B$17</f>
        <v/>
      </c>
      <c r="R25" s="8">
        <f>L25*Conversão!$C$15+N25*Conversão!$C$17</f>
        <v/>
      </c>
    </row>
    <row r="26">
      <c r="A26" s="10" t="inlineStr"/>
      <c r="B26" s="10" t="inlineStr">
        <is>
          <t>TOTAL — GURIRI</t>
        </is>
      </c>
      <c r="C26" s="10" t="inlineStr"/>
      <c r="D26" s="10" t="inlineStr"/>
      <c r="E26" s="19">
        <f>SUM(E5:E25)</f>
        <v/>
      </c>
      <c r="F26" s="19">
        <f>SUM(F5:F25)</f>
        <v/>
      </c>
      <c r="G26" s="10" t="inlineStr">
        <is>
          <t>496+141</t>
        </is>
      </c>
      <c r="H26" s="21">
        <f>SUM(H5:H25)</f>
        <v/>
      </c>
      <c r="I26" s="21">
        <f>SUM(I5:I25)</f>
        <v/>
      </c>
      <c r="J26" s="12">
        <f>I26/H26</f>
        <v/>
      </c>
      <c r="K26" s="19">
        <f>SUM(K5:K25)</f>
        <v/>
      </c>
      <c r="L26" s="19">
        <f>SUM(L5:L25)</f>
        <v/>
      </c>
      <c r="M26" s="21">
        <f>SUM(M5:M25)</f>
        <v/>
      </c>
      <c r="N26" s="19">
        <f>SUM(N5:N25)</f>
        <v/>
      </c>
      <c r="O26" s="19">
        <f>SUM(O5:O25)</f>
        <v/>
      </c>
      <c r="P26" s="21">
        <f>Inventário!B33</f>
        <v/>
      </c>
      <c r="Q26" s="19">
        <f>SUM(Q5:Q25)</f>
        <v/>
      </c>
      <c r="R26" s="19">
        <f>SUM(R5:R25)</f>
        <v/>
      </c>
    </row>
    <row r="28">
      <c r="A28" s="6" t="inlineStr">
        <is>
          <t>Conferência: extensão desta aba × aba Inventário</t>
        </is>
      </c>
      <c r="B28" s="24">
        <f>H26-Inventário!B6</f>
        <v/>
      </c>
      <c r="C28" s="6">
        <f>IF(ABS(B28)&lt;=2,"fecha","DIVERGE")</f>
        <v/>
      </c>
    </row>
    <row r="29">
      <c r="A29" s="6" t="inlineStr">
        <is>
          <t>Conferência: britagem desta aba × aba Conversão</t>
        </is>
      </c>
      <c r="B29" s="24">
        <f>Q26-Conversão!E23</f>
        <v/>
      </c>
      <c r="C29" s="6">
        <f>IF(ABS(B29)&lt;=2,"fecha","DIVERGE")</f>
        <v/>
      </c>
    </row>
    <row r="30">
      <c r="A30" s="6" t="inlineStr">
        <is>
          <t>Conferência: área de pista desta aba × aba Inventário</t>
        </is>
      </c>
      <c r="B30" s="24">
        <f>L26-Inventário!C8</f>
        <v/>
      </c>
      <c r="C30" s="6">
        <f>IF(ABS(B30)&lt;=2,"fecha","DIVERGE")</f>
        <v/>
      </c>
    </row>
  </sheetData>
  <mergeCells count="1">
    <mergeCell ref="A2:R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2" customWidth="1" min="8" max="8"/>
    <col width="15" customWidth="1" min="9" max="9"/>
  </cols>
  <sheetData>
    <row r="1">
      <c r="A1" s="1" t="inlineStr">
        <is>
          <t>AUDITORIA DE PONTOS — extrato por loteamento</t>
        </is>
      </c>
    </row>
    <row r="2" ht="46" customHeight="1">
      <c r="A2" s="2" t="inlineStr">
        <is>
          <t>A planilha-fonte lista os 637 pontos um a um, cada um com id, loteamento, via, latitude, longitude, fonte, data da imagem, superfície classificada, calçada nas testadas e extensão representada. Este extrato agrega por loteamento e serve para localizar qualquer ponto na fonte. Regra de amostragem: 1 ponto a cada ~350 m de TRECHO CONTÍNUO de via, com no mínimo 1 por trecho — a mediana efetiva é de 267 m por ponto.</t>
        </is>
      </c>
    </row>
    <row r="4">
      <c r="A4" s="5" t="inlineStr">
        <is>
          <t>Nº</t>
        </is>
      </c>
      <c r="B4" s="5" t="inlineStr">
        <is>
          <t>Loteamento</t>
        </is>
      </c>
      <c r="C4" s="5" t="inlineStr">
        <is>
          <t>Vias nomeadas</t>
        </is>
      </c>
      <c r="D4" s="5" t="inlineStr">
        <is>
          <t>Malha física</t>
        </is>
      </c>
      <c r="E4" s="5" t="inlineStr">
        <is>
          <t>Total</t>
        </is>
      </c>
      <c r="F4" s="5" t="inlineStr">
        <is>
          <t>Street View</t>
        </is>
      </c>
      <c r="G4" s="5" t="inlineStr">
        <is>
          <t>Satélite</t>
        </is>
      </c>
      <c r="H4" s="5" t="inlineStr">
        <is>
          <t>Datas das imagens</t>
        </is>
      </c>
      <c r="I4" s="5" t="inlineStr">
        <is>
          <t>Extensão representada (m)</t>
        </is>
      </c>
    </row>
    <row r="5">
      <c r="A5" s="6" t="n">
        <v>7</v>
      </c>
      <c r="B5" s="6" t="inlineStr">
        <is>
          <t>Balneário de Guriri</t>
        </is>
      </c>
      <c r="C5" s="14" t="n">
        <v>54</v>
      </c>
      <c r="D5" s="14" t="n">
        <v>4</v>
      </c>
      <c r="E5" s="8" t="n">
        <v>58</v>
      </c>
      <c r="F5" s="14" t="n">
        <v>57</v>
      </c>
      <c r="G5" s="14" t="n">
        <v>1</v>
      </c>
      <c r="H5" s="6" t="inlineStr">
        <is>
          <t>fev/2012 a mai/2026</t>
        </is>
      </c>
      <c r="I5" s="14" t="n">
        <v>16415</v>
      </c>
    </row>
    <row r="6">
      <c r="A6" s="6" t="n">
        <v>9</v>
      </c>
      <c r="B6" s="6" t="inlineStr">
        <is>
          <t>Bosque da Praia</t>
        </is>
      </c>
      <c r="C6" s="14" t="n">
        <v>3</v>
      </c>
      <c r="D6" s="14" t="n">
        <v>24</v>
      </c>
      <c r="E6" s="8" t="n">
        <v>27</v>
      </c>
      <c r="F6" s="14" t="n">
        <v>12</v>
      </c>
      <c r="G6" s="14" t="n">
        <v>15</v>
      </c>
      <c r="H6" s="6" t="inlineStr">
        <is>
          <t>dez/2023</t>
        </is>
      </c>
      <c r="I6" s="14" t="n">
        <v>5780.099999999999</v>
      </c>
    </row>
    <row r="7">
      <c r="A7" s="6" t="n">
        <v>10</v>
      </c>
      <c r="B7" s="6" t="inlineStr">
        <is>
          <t>Parque dos Albatrozes</t>
        </is>
      </c>
      <c r="C7" s="14" t="n">
        <v>54</v>
      </c>
      <c r="D7" s="14" t="n">
        <v>0</v>
      </c>
      <c r="E7" s="8" t="n">
        <v>54</v>
      </c>
      <c r="F7" s="14" t="n">
        <v>54</v>
      </c>
      <c r="G7" s="14" t="n">
        <v>0</v>
      </c>
      <c r="H7" s="6" t="inlineStr">
        <is>
          <t>fev/2012 a mai/2026</t>
        </is>
      </c>
      <c r="I7" s="14" t="n">
        <v>16403.8</v>
      </c>
    </row>
    <row r="8">
      <c r="A8" s="6" t="n">
        <v>13</v>
      </c>
      <c r="B8" s="6" t="inlineStr">
        <is>
          <t>Praia de Guriri</t>
        </is>
      </c>
      <c r="C8" s="14" t="n">
        <v>57</v>
      </c>
      <c r="D8" s="14" t="n">
        <v>0</v>
      </c>
      <c r="E8" s="8" t="n">
        <v>57</v>
      </c>
      <c r="F8" s="14" t="n">
        <v>57</v>
      </c>
      <c r="G8" s="14" t="n">
        <v>0</v>
      </c>
      <c r="H8" s="6" t="inlineStr">
        <is>
          <t>fev/2012 a mai/2026</t>
        </is>
      </c>
      <c r="I8" s="14" t="n">
        <v>13270.5</v>
      </c>
    </row>
    <row r="9">
      <c r="A9" s="6" t="n">
        <v>14</v>
      </c>
      <c r="B9" s="6" t="inlineStr">
        <is>
          <t>Jardim das Caiçaras</t>
        </is>
      </c>
      <c r="C9" s="14" t="n">
        <v>78</v>
      </c>
      <c r="D9" s="14" t="n">
        <v>0</v>
      </c>
      <c r="E9" s="8" t="n">
        <v>78</v>
      </c>
      <c r="F9" s="14" t="n">
        <v>73</v>
      </c>
      <c r="G9" s="14" t="n">
        <v>5</v>
      </c>
      <c r="H9" s="6" t="inlineStr">
        <is>
          <t>nov/2023 a mai/2026</t>
        </is>
      </c>
      <c r="I9" s="14" t="n">
        <v>21063.3</v>
      </c>
    </row>
    <row r="10">
      <c r="A10" s="6" t="n">
        <v>15</v>
      </c>
      <c r="B10" s="6" t="inlineStr">
        <is>
          <t>Morada do Sol</t>
        </is>
      </c>
      <c r="C10" s="14" t="n">
        <v>15</v>
      </c>
      <c r="D10" s="14" t="n">
        <v>0</v>
      </c>
      <c r="E10" s="8" t="n">
        <v>15</v>
      </c>
      <c r="F10" s="14" t="n">
        <v>15</v>
      </c>
      <c r="G10" s="14" t="n">
        <v>0</v>
      </c>
      <c r="H10" s="6" t="inlineStr">
        <is>
          <t>nov/2023 a mai/2026</t>
        </is>
      </c>
      <c r="I10" s="14" t="n">
        <v>3261.7</v>
      </c>
    </row>
    <row r="11">
      <c r="A11" s="6" t="n">
        <v>25</v>
      </c>
      <c r="B11" s="6" t="inlineStr">
        <is>
          <t>Parque Residencial Oitizeiro</t>
        </is>
      </c>
      <c r="C11" s="14" t="n">
        <v>41</v>
      </c>
      <c r="D11" s="14" t="n">
        <v>0</v>
      </c>
      <c r="E11" s="8" t="n">
        <v>41</v>
      </c>
      <c r="F11" s="14" t="n">
        <v>41</v>
      </c>
      <c r="G11" s="14" t="n">
        <v>0</v>
      </c>
      <c r="H11" s="6" t="inlineStr">
        <is>
          <t>nov/2023 a mai/2026</t>
        </is>
      </c>
      <c r="I11" s="14" t="n">
        <v>13711</v>
      </c>
    </row>
    <row r="12">
      <c r="A12" s="6" t="n">
        <v>27</v>
      </c>
      <c r="B12" s="6" t="inlineStr">
        <is>
          <t>Residencial Mar Aberto</t>
        </is>
      </c>
      <c r="C12" s="14" t="n">
        <v>8</v>
      </c>
      <c r="D12" s="14" t="n">
        <v>25</v>
      </c>
      <c r="E12" s="8" t="n">
        <v>33</v>
      </c>
      <c r="F12" s="14" t="n">
        <v>33</v>
      </c>
      <c r="G12" s="14" t="n">
        <v>0</v>
      </c>
      <c r="H12" s="6" t="inlineStr">
        <is>
          <t>fev/2012 a dez/2023</t>
        </is>
      </c>
      <c r="I12" s="14" t="n">
        <v>6542.899999999997</v>
      </c>
    </row>
    <row r="13">
      <c r="A13" s="6" t="n">
        <v>31</v>
      </c>
      <c r="B13" s="6" t="inlineStr">
        <is>
          <t>Melhorini Residencial Parque</t>
        </is>
      </c>
      <c r="C13" s="14" t="n">
        <v>10</v>
      </c>
      <c r="D13" s="14" t="n">
        <v>0</v>
      </c>
      <c r="E13" s="8" t="n">
        <v>10</v>
      </c>
      <c r="F13" s="14" t="n">
        <v>10</v>
      </c>
      <c r="G13" s="14" t="n">
        <v>0</v>
      </c>
      <c r="H13" s="6" t="inlineStr">
        <is>
          <t>nov/2023 a mai/2026</t>
        </is>
      </c>
      <c r="I13" s="14" t="n">
        <v>1914.3</v>
      </c>
    </row>
    <row r="14">
      <c r="A14" s="6" t="n">
        <v>35</v>
      </c>
      <c r="B14" s="6" t="inlineStr">
        <is>
          <t>Verão Vermelho</t>
        </is>
      </c>
      <c r="C14" s="14" t="n">
        <v>9</v>
      </c>
      <c r="D14" s="14" t="n">
        <v>28</v>
      </c>
      <c r="E14" s="8" t="n">
        <v>37</v>
      </c>
      <c r="F14" s="14" t="n">
        <v>19</v>
      </c>
      <c r="G14" s="14" t="n">
        <v>18</v>
      </c>
      <c r="H14" s="6" t="inlineStr">
        <is>
          <t>nov/2013 a mai/2026</t>
        </is>
      </c>
      <c r="I14" s="14" t="n">
        <v>7366.299999999999</v>
      </c>
    </row>
    <row r="15">
      <c r="A15" s="6" t="n">
        <v>36</v>
      </c>
      <c r="B15" s="6" t="inlineStr">
        <is>
          <t>Residencial Ilha de Guriri I</t>
        </is>
      </c>
      <c r="C15" s="14" t="n">
        <v>9</v>
      </c>
      <c r="D15" s="14" t="n">
        <v>0</v>
      </c>
      <c r="E15" s="8" t="n">
        <v>9</v>
      </c>
      <c r="F15" s="14" t="n">
        <v>9</v>
      </c>
      <c r="G15" s="14" t="n">
        <v>0</v>
      </c>
      <c r="H15" s="6" t="inlineStr">
        <is>
          <t>fev/2012 a nov/2023</t>
        </is>
      </c>
      <c r="I15" s="14" t="n">
        <v>1945.6</v>
      </c>
    </row>
    <row r="16">
      <c r="A16" s="6" t="n">
        <v>39</v>
      </c>
      <c r="B16" s="6" t="inlineStr">
        <is>
          <t>Central</t>
        </is>
      </c>
      <c r="C16" s="14" t="n">
        <v>10</v>
      </c>
      <c r="D16" s="14" t="n">
        <v>0</v>
      </c>
      <c r="E16" s="8" t="n">
        <v>10</v>
      </c>
      <c r="F16" s="14" t="n">
        <v>10</v>
      </c>
      <c r="G16" s="14" t="n">
        <v>0</v>
      </c>
      <c r="H16" s="6" t="inlineStr">
        <is>
          <t>fev/2012 a mai/2026</t>
        </is>
      </c>
      <c r="I16" s="14" t="n">
        <v>3256.2</v>
      </c>
    </row>
    <row r="17">
      <c r="A17" s="6" t="n">
        <v>42</v>
      </c>
      <c r="B17" s="6" t="inlineStr">
        <is>
          <t>Residencial Bom Jesus</t>
        </is>
      </c>
      <c r="C17" s="14" t="n">
        <v>70</v>
      </c>
      <c r="D17" s="14" t="n">
        <v>0</v>
      </c>
      <c r="E17" s="8" t="n">
        <v>70</v>
      </c>
      <c r="F17" s="14" t="n">
        <v>48</v>
      </c>
      <c r="G17" s="14" t="n">
        <v>22</v>
      </c>
      <c r="H17" s="6" t="inlineStr">
        <is>
          <t>dez/2023 a mai/2026</t>
        </is>
      </c>
      <c r="I17" s="14" t="n">
        <v>22369.09999999999</v>
      </c>
    </row>
    <row r="18">
      <c r="A18" s="6" t="n">
        <v>47</v>
      </c>
      <c r="B18" s="6" t="inlineStr">
        <is>
          <t>Praiano</t>
        </is>
      </c>
      <c r="C18" s="14" t="n">
        <v>15</v>
      </c>
      <c r="D18" s="14" t="n">
        <v>0</v>
      </c>
      <c r="E18" s="8" t="n">
        <v>15</v>
      </c>
      <c r="F18" s="14" t="n">
        <v>15</v>
      </c>
      <c r="G18" s="14" t="n">
        <v>0</v>
      </c>
      <c r="H18" s="6" t="inlineStr">
        <is>
          <t>nov/2023 a mai/2026</t>
        </is>
      </c>
      <c r="I18" s="14" t="n">
        <v>2479.6</v>
      </c>
    </row>
    <row r="19">
      <c r="A19" s="6" t="n">
        <v>49</v>
      </c>
      <c r="B19" s="6" t="inlineStr">
        <is>
          <t>Vale do Amazonas</t>
        </is>
      </c>
      <c r="C19" s="14" t="n">
        <v>4</v>
      </c>
      <c r="D19" s="14" t="n">
        <v>0</v>
      </c>
      <c r="E19" s="8" t="n">
        <v>4</v>
      </c>
      <c r="F19" s="14" t="n">
        <v>4</v>
      </c>
      <c r="G19" s="14" t="n">
        <v>0</v>
      </c>
      <c r="H19" s="6" t="inlineStr">
        <is>
          <t>fev/2012 a nov/2013</t>
        </is>
      </c>
      <c r="I19" s="14" t="n">
        <v>1186.1</v>
      </c>
    </row>
    <row r="20">
      <c r="A20" s="6" t="n">
        <v>50</v>
      </c>
      <c r="B20" s="6" t="inlineStr">
        <is>
          <t>Flor Pan</t>
        </is>
      </c>
      <c r="C20" s="14" t="n">
        <v>9</v>
      </c>
      <c r="D20" s="14" t="n">
        <v>0</v>
      </c>
      <c r="E20" s="8" t="n">
        <v>9</v>
      </c>
      <c r="F20" s="14" t="n">
        <v>9</v>
      </c>
      <c r="G20" s="14" t="n">
        <v>0</v>
      </c>
      <c r="H20" s="6" t="inlineStr">
        <is>
          <t>fev/2012 a nov/2023</t>
        </is>
      </c>
      <c r="I20" s="14" t="n">
        <v>1995.1</v>
      </c>
    </row>
    <row r="21">
      <c r="A21" s="6" t="n">
        <v>60</v>
      </c>
      <c r="B21" s="6" t="inlineStr">
        <is>
          <t>Residencial Evidência</t>
        </is>
      </c>
      <c r="C21" s="14" t="n">
        <v>22</v>
      </c>
      <c r="D21" s="14" t="n">
        <v>0</v>
      </c>
      <c r="E21" s="8" t="n">
        <v>22</v>
      </c>
      <c r="F21" s="14" t="n">
        <v>22</v>
      </c>
      <c r="G21" s="14" t="n">
        <v>0</v>
      </c>
      <c r="H21" s="6" t="inlineStr">
        <is>
          <t>fev/2012 a mai/2026</t>
        </is>
      </c>
      <c r="I21" s="14" t="n">
        <v>3640.299999999999</v>
      </c>
    </row>
    <row r="22">
      <c r="A22" s="6" t="n">
        <v>70</v>
      </c>
      <c r="B22" s="6" t="inlineStr">
        <is>
          <t>Pontal de Guriri</t>
        </is>
      </c>
      <c r="C22" s="14" t="n">
        <v>28</v>
      </c>
      <c r="D22" s="14" t="n">
        <v>0</v>
      </c>
      <c r="E22" s="8" t="n">
        <v>28</v>
      </c>
      <c r="F22" s="14" t="n">
        <v>23</v>
      </c>
      <c r="G22" s="14" t="n">
        <v>5</v>
      </c>
      <c r="H22" s="6" t="inlineStr">
        <is>
          <t>nov/2023 a mai/2026</t>
        </is>
      </c>
      <c r="I22" s="14" t="n">
        <v>5981.000000000001</v>
      </c>
    </row>
    <row r="23">
      <c r="A23" s="6" t="n">
        <v>78</v>
      </c>
      <c r="B23" s="6" t="inlineStr">
        <is>
          <t>João de Barro (COHAJOBA)</t>
        </is>
      </c>
      <c r="C23" s="14" t="n">
        <v>0</v>
      </c>
      <c r="D23" s="14" t="n">
        <v>14</v>
      </c>
      <c r="E23" s="8" t="n">
        <v>14</v>
      </c>
      <c r="F23" s="14" t="n">
        <v>0</v>
      </c>
      <c r="G23" s="14" t="n">
        <v>14</v>
      </c>
      <c r="H23" s="6" t="inlineStr">
        <is>
          <t>—</t>
        </is>
      </c>
      <c r="I23" s="14" t="n">
        <v>672.7999999999998</v>
      </c>
    </row>
    <row r="24">
      <c r="A24" s="6" t="n">
        <v>80</v>
      </c>
      <c r="B24" s="6" t="inlineStr">
        <is>
          <t>Soma Cevolani (Golden Guriri)</t>
        </is>
      </c>
      <c r="C24" s="14" t="n">
        <v>0</v>
      </c>
      <c r="D24" s="14" t="n">
        <v>32</v>
      </c>
      <c r="E24" s="8" t="n">
        <v>32</v>
      </c>
      <c r="F24" s="14" t="n">
        <v>2</v>
      </c>
      <c r="G24" s="14" t="n">
        <v>30</v>
      </c>
      <c r="H24" s="6" t="inlineStr">
        <is>
          <t>mai/2026</t>
        </is>
      </c>
      <c r="I24" s="14" t="n">
        <v>3847.000000000001</v>
      </c>
    </row>
    <row r="25">
      <c r="A25" s="6" t="n">
        <v>84</v>
      </c>
      <c r="B25" s="6" t="inlineStr">
        <is>
          <t>Pontal de Guriri II</t>
        </is>
      </c>
      <c r="C25" s="14" t="n">
        <v>0</v>
      </c>
      <c r="D25" s="14" t="n">
        <v>14</v>
      </c>
      <c r="E25" s="8" t="n">
        <v>14</v>
      </c>
      <c r="F25" s="14" t="n">
        <v>4</v>
      </c>
      <c r="G25" s="14" t="n">
        <v>10</v>
      </c>
      <c r="H25" s="6" t="inlineStr">
        <is>
          <t>nov/2023</t>
        </is>
      </c>
      <c r="I25" s="14" t="n">
        <v>1136.9</v>
      </c>
    </row>
    <row r="26">
      <c r="A26" s="10" t="inlineStr"/>
      <c r="B26" s="10" t="inlineStr">
        <is>
          <t>TOTAL — GURIRI</t>
        </is>
      </c>
      <c r="C26" s="19">
        <f>SUM(C5:C25)</f>
        <v/>
      </c>
      <c r="D26" s="19">
        <f>SUM(D5:D25)</f>
        <v/>
      </c>
      <c r="E26" s="19">
        <f>SUM(E5:E25)</f>
        <v/>
      </c>
      <c r="F26" s="19">
        <f>SUM(F5:F25)</f>
        <v/>
      </c>
      <c r="G26" s="19">
        <f>SUM(G5:G25)</f>
        <v/>
      </c>
      <c r="H26" s="10" t="inlineStr">
        <is>
          <t>fev/2012 a mai/2026</t>
        </is>
      </c>
      <c r="I26" s="19">
        <f>SUM(I5:I25)</f>
        <v/>
      </c>
    </row>
    <row r="28">
      <c r="A28" s="6" t="inlineStr">
        <is>
          <t>Conferência: nomeadas + malha = total</t>
        </is>
      </c>
      <c r="B28" s="8">
        <f>C26+D26</f>
        <v/>
      </c>
      <c r="C28" s="6">
        <f>IF(B28=637,"fecha","DIVERGE")</f>
        <v/>
      </c>
    </row>
    <row r="29">
      <c r="A29" s="6" t="inlineStr">
        <is>
          <t>Conferência: Street View + satélite = total</t>
        </is>
      </c>
      <c r="B29" s="8">
        <f>F26+G26</f>
        <v/>
      </c>
      <c r="C29" s="6">
        <f>IF(B29=637,"fecha","DIVERGE")</f>
        <v/>
      </c>
    </row>
    <row r="30">
      <c r="A30" s="6" t="inlineStr">
        <is>
          <t>Conferência: total desta aba × aba Inventário</t>
        </is>
      </c>
      <c r="B30" s="8">
        <f>E26-Inventário!B27-Inventário!C27</f>
        <v/>
      </c>
      <c r="C30" s="6">
        <f>IF(ABS(B30)&lt;=0,"fecha","DIVERGE")</f>
        <v/>
      </c>
    </row>
    <row r="32" ht="46" customHeight="1">
      <c r="A32" s="2" t="inlineStr">
        <is>
          <t>“Extensão representada” é a soma dos trechos que cada ponto cobre; onde se aproxima da extensão do loteamento, a auditoria varreu a malha inteira. A leitura útil está no extremo oposto — Bosque da Praia, João de Barro e Soma Cevolani são os três em que a amostra cobre a menor parcela, e são exatamente os três que a aba Inventário isola como camada a confirmar. Onde não há data, a leitura foi em satélite, que não registra data na fonte.</t>
        </is>
      </c>
    </row>
  </sheetData>
  <mergeCells count="2">
    <mergeCell ref="A32:I32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2026-08-19T18:57:42Z</dcterms:created>
  <dcterms:modified xmlns:dcterms="http://purl.org/dc/terms/" xmlns:xsi="http://www.w3.org/2001/XMLSchema-instance" xsi:type="dcterms:W3CDTF">2026-08-19T18:57:42Z</dcterms:modified>
</cp:coreProperties>
</file>