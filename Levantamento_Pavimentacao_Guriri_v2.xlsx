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3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2.xml" ContentType="application/vnd.openxmlformats-officedocument.spreadsheetml.worksheet+xml"/>
  <Override PartName="/xl/worksheets/sheet21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mo Geral" sheetId="1" state="visible" r:id="rId3"/>
    <sheet name="07 Balneário de Guriri" sheetId="2" state="visible" r:id="rId4"/>
    <sheet name="09 Bosque da Praia" sheetId="3" state="visible" r:id="rId5"/>
    <sheet name="10 Parque dos Albatrozes" sheetId="4" state="visible" r:id="rId6"/>
    <sheet name="13 Praia de Guriri" sheetId="5" state="visible" r:id="rId7"/>
    <sheet name="14 Jardim das Caiçaras" sheetId="6" state="visible" r:id="rId8"/>
    <sheet name="15 Morada do Sol" sheetId="7" state="visible" r:id="rId9"/>
    <sheet name="25 Park Res. Oitizeiro" sheetId="8" state="visible" r:id="rId10"/>
    <sheet name="27 Res. Mar Aberto" sheetId="9" state="visible" r:id="rId11"/>
    <sheet name="31 Melhorini Res. Parque" sheetId="10" state="visible" r:id="rId12"/>
    <sheet name="35 Verão Vermelho" sheetId="11" state="visible" r:id="rId13"/>
    <sheet name="36 Res. Ilha de Guriri I" sheetId="12" state="visible" r:id="rId14"/>
    <sheet name="39 Central" sheetId="13" state="visible" r:id="rId15"/>
    <sheet name="42 Res. Bom Jesus" sheetId="14" state="visible" r:id="rId16"/>
    <sheet name="47 Praiano" sheetId="15" state="visible" r:id="rId17"/>
    <sheet name="49 Vale do Amazonas" sheetId="16" state="visible" r:id="rId18"/>
    <sheet name="50 Flor Pan" sheetId="17" state="visible" r:id="rId19"/>
    <sheet name="60 Res. Evidência" sheetId="18" state="visible" r:id="rId20"/>
    <sheet name="70 Pontal de Guriri" sheetId="19" state="visible" r:id="rId21"/>
    <sheet name="78 João de Barro" sheetId="20" state="visible" r:id="rId22"/>
    <sheet name="80 Soma Cevolani" sheetId="21" state="visible" r:id="rId23"/>
    <sheet name="84 Pontal de Guriri II" sheetId="22" state="visible" r:id="rId24"/>
    <sheet name="Pontos auditados" sheetId="23" state="visible" r:id="rId25"/>
  </sheets>
  <definedNames>
    <definedName function="false" hidden="true" localSheetId="22" name="_xlnm._FilterDatabase" vbProcedure="false">'Pontos auditados'!$A$4:$N$641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<sst xmlns="http://schemas.openxmlformats.org/spreadsheetml/2006/main" count="9891" uniqueCount="867">
  <si>
    <t xml:space="preserve">Levantamento de pavimentação — Loteamentos de Guriri (São Mateus/ES) — v2, reconciliada</t>
  </si>
  <si>
    <t xml:space="preserve">Pista = leito carroçável; Passeio = calçada de pedestre. Base: auditoria ponto a ponto de 637 pontos (1 a cada ~350 m de trecho contínuo de via, mínimo 1 por trecho), verificados individualmente no Google Street View (517) e, onde não há cobertura, em imagem de satélite (120). TODOS os 637 pontos estão listados um a um na aba "Pontos auditados", com coordenada, data da imagem e classificação. Emissão v2: 19/08/2026.</t>
  </si>
  <si>
    <t xml:space="preserve">Nesta versão v2: (a) os 141 pontos que caem na malha física sem nome no mapa passaram a ser reportados em coluna própria, de modo que 496 + 141 = 637 fecham; (b) a largura de pista deixou de ser um escalar único de 8 m e passou a vir da caixa de via das plantas, via a via, com a regra declarada na aba de cada loteamento; (c) o % de passeio dos loteamentos sem base de medição foi marcado como NÃO MEDIDO em vez de estimado.</t>
  </si>
  <si>
    <t xml:space="preserve">Nº</t>
  </si>
  <si>
    <t xml:space="preserve">Loteamento</t>
  </si>
  <si>
    <t xml:space="preserve">Proprietário / empreendedor</t>
  </si>
  <si>
    <t xml:space="preserve">Matrícula (registro)</t>
  </si>
  <si>
    <t xml:space="preserve">Área oficial (m²)</t>
  </si>
  <si>
    <t xml:space="preserve">Nº de vias</t>
  </si>
  <si>
    <t xml:space="preserve">Extensão de vias (m)</t>
  </si>
  <si>
    <t xml:space="preserve">Pista pavimentada (m)</t>
  </si>
  <si>
    <t xml:space="preserve">% pavimentada</t>
  </si>
  <si>
    <t xml:space="preserve">Falta pavimentar (m)</t>
  </si>
  <si>
    <t xml:space="preserve">Falta pavimentar (m²) — larguras da planta</t>
  </si>
  <si>
    <t xml:space="preserve">Falta pavimentar (m²) — premissa 8 m</t>
  </si>
  <si>
    <t xml:space="preserve">Passeio faltante (m de via)</t>
  </si>
  <si>
    <t xml:space="preserve">Passeio faltante (m²)</t>
  </si>
  <si>
    <t xml:space="preserve">% passeio existente</t>
  </si>
  <si>
    <t xml:space="preserve">Base do % de passeio</t>
  </si>
  <si>
    <t xml:space="preserve">Pontos em vias nomeadas</t>
  </si>
  <si>
    <t xml:space="preserve">Pontos na malha física</t>
  </si>
  <si>
    <t xml:space="preserve">Total de pontos</t>
  </si>
  <si>
    <t xml:space="preserve">Metragem medida (m)</t>
  </si>
  <si>
    <t xml:space="preserve">Metragem só de planta (m)</t>
  </si>
  <si>
    <t xml:space="preserve">Falta s/ metragem medida (m)</t>
  </si>
  <si>
    <t xml:space="preserve">Falta s/ metragem de planta (m)</t>
  </si>
  <si>
    <t xml:space="preserve">Balneário de Guriri</t>
  </si>
  <si>
    <t xml:space="preserve">Município de São Mateus</t>
  </si>
  <si>
    <t xml:space="preserve">7.798/3-J (22/02/1979)</t>
  </si>
  <si>
    <t xml:space="preserve">53 ponto(s) do Street View</t>
  </si>
  <si>
    <t xml:space="preserve">Bosque da Praia</t>
  </si>
  <si>
    <t xml:space="preserve">TEGIL Territorial Guriri Ltda</t>
  </si>
  <si>
    <t xml:space="preserve">2.315 (14/12/1979)</t>
  </si>
  <si>
    <t xml:space="preserve">12 ponto(s) do Street View</t>
  </si>
  <si>
    <t xml:space="preserve">Parque dos Albatrozes</t>
  </si>
  <si>
    <t xml:space="preserve">BINOTTE Emp. Imobiliários</t>
  </si>
  <si>
    <t xml:space="preserve">2.383 (18/06/1980)</t>
  </si>
  <si>
    <t xml:space="preserve">54 ponto(s) do Street View</t>
  </si>
  <si>
    <t xml:space="preserve">Praia de Guriri</t>
  </si>
  <si>
    <t xml:space="preserve">Dalla Bernardina Imob.</t>
  </si>
  <si>
    <t xml:space="preserve">2.025 (06/07/1983)</t>
  </si>
  <si>
    <t xml:space="preserve">56 ponto(s) do Street View</t>
  </si>
  <si>
    <t xml:space="preserve">Jardim das Caiçaras</t>
  </si>
  <si>
    <t xml:space="preserve">Caiçaras Emp. Imobiliários</t>
  </si>
  <si>
    <t xml:space="preserve">4.170 (05/05/1986)</t>
  </si>
  <si>
    <t xml:space="preserve">73 ponto(s) do Street View</t>
  </si>
  <si>
    <t xml:space="preserve">Morada do Sol</t>
  </si>
  <si>
    <t xml:space="preserve">Guriri Beach Turismo</t>
  </si>
  <si>
    <t xml:space="preserve">7.640 (09/10/1986)</t>
  </si>
  <si>
    <t xml:space="preserve">15 ponto(s) do Street View</t>
  </si>
  <si>
    <t xml:space="preserve">Parque Residencial Oitizeiro</t>
  </si>
  <si>
    <t xml:space="preserve">Alba Figueiredo Brasileiro</t>
  </si>
  <si>
    <t xml:space="preserve">14.380 (02/06/2000)</t>
  </si>
  <si>
    <t xml:space="preserve">41 ponto(s) do Street View</t>
  </si>
  <si>
    <t xml:space="preserve">Residencial Mar Aberto</t>
  </si>
  <si>
    <t xml:space="preserve">Mirante Emp. Imobiliários</t>
  </si>
  <si>
    <t xml:space="preserve">9.853 (25/08/2000)</t>
  </si>
  <si>
    <t xml:space="preserve">33 ponto(s) do Street View</t>
  </si>
  <si>
    <t xml:space="preserve">Melhorini Residencial Parque</t>
  </si>
  <si>
    <t xml:space="preserve">Domingos Melhorini</t>
  </si>
  <si>
    <t xml:space="preserve">9.300 (26/11/2001)</t>
  </si>
  <si>
    <t xml:space="preserve">10 ponto(s) do Street View</t>
  </si>
  <si>
    <t xml:space="preserve">Verão Vermelho</t>
  </si>
  <si>
    <t xml:space="preserve">Neri Mariani</t>
  </si>
  <si>
    <t xml:space="preserve">16.265 (24/10/2003)</t>
  </si>
  <si>
    <t xml:space="preserve">19 ponto(s) do Street View</t>
  </si>
  <si>
    <t xml:space="preserve">Residencial Ilha de Guriri I</t>
  </si>
  <si>
    <t xml:space="preserve">Airton Ruberth</t>
  </si>
  <si>
    <t xml:space="preserve">15.191 (12/11/2003)</t>
  </si>
  <si>
    <t xml:space="preserve">8 ponto(s) do Street View</t>
  </si>
  <si>
    <t xml:space="preserve">Central</t>
  </si>
  <si>
    <t xml:space="preserve">Kajuzal Camping</t>
  </si>
  <si>
    <t xml:space="preserve">16.104 (25/11/2003)</t>
  </si>
  <si>
    <t xml:space="preserve">Residencial Bom Jesus</t>
  </si>
  <si>
    <t xml:space="preserve">15.989 (23/12/2003)</t>
  </si>
  <si>
    <t xml:space="preserve">48 ponto(s) do Street View</t>
  </si>
  <si>
    <t xml:space="preserve">Praiano</t>
  </si>
  <si>
    <t xml:space="preserve">Praiano Guriri Clube</t>
  </si>
  <si>
    <t xml:space="preserve">10.725</t>
  </si>
  <si>
    <t xml:space="preserve">Vale do Amazonas</t>
  </si>
  <si>
    <t xml:space="preserve">Igor Vescovi Devens</t>
  </si>
  <si>
    <t xml:space="preserve">15.185</t>
  </si>
  <si>
    <t xml:space="preserve">4 ponto(s) do Street View</t>
  </si>
  <si>
    <t xml:space="preserve">Flor Pan</t>
  </si>
  <si>
    <t xml:space="preserve">Antonio Costa</t>
  </si>
  <si>
    <t xml:space="preserve">15.189</t>
  </si>
  <si>
    <t xml:space="preserve">9 ponto(s) do Street View</t>
  </si>
  <si>
    <t xml:space="preserve">Residencial Evidência</t>
  </si>
  <si>
    <t xml:space="preserve">Anildo Moreira Tavares</t>
  </si>
  <si>
    <t xml:space="preserve">9.497</t>
  </si>
  <si>
    <t xml:space="preserve">22 ponto(s) do Street View</t>
  </si>
  <si>
    <t xml:space="preserve">Pontal de Guriri</t>
  </si>
  <si>
    <t xml:space="preserve">João Bosco Cevolane</t>
  </si>
  <si>
    <t xml:space="preserve">19.747</t>
  </si>
  <si>
    <t xml:space="preserve">23 ponto(s) do Street View</t>
  </si>
  <si>
    <t xml:space="preserve">João de Barro (COHAJOBA)</t>
  </si>
  <si>
    <t xml:space="preserve">COHAJOBA</t>
  </si>
  <si>
    <t xml:space="preserve">19.792</t>
  </si>
  <si>
    <t xml:space="preserve">não estimado</t>
  </si>
  <si>
    <t xml:space="preserve">não medido</t>
  </si>
  <si>
    <t xml:space="preserve">NÃO MEDIDO — nenhum ponto com leitura de calçada</t>
  </si>
  <si>
    <t xml:space="preserve">Soma Cevolani (Golden Guriri)</t>
  </si>
  <si>
    <t xml:space="preserve">Soma Cevolani SPE</t>
  </si>
  <si>
    <t xml:space="preserve">52.586</t>
  </si>
  <si>
    <t xml:space="preserve">NÃO MEDIDO — as 2 leituras existentes ficam na ES-010 (orla), fora da malha interna</t>
  </si>
  <si>
    <t xml:space="preserve">Pontal de Guriri II</t>
  </si>
  <si>
    <t xml:space="preserve">João Bosco Cevolane Ltda</t>
  </si>
  <si>
    <t xml:space="preserve">54.633</t>
  </si>
  <si>
    <t xml:space="preserve">TOTAL GERAL — GURIRI</t>
  </si>
  <si>
    <t xml:space="preserve">soma exclui os NÃO MEDIDOS</t>
  </si>
  <si>
    <t xml:space="preserve">Notas, premissas e reconciliação:</t>
  </si>
  <si>
    <t xml:space="preserve">• CONTAGEM DE PONTOS: 637 = 496 pontos atribuídos a vias nomeadas + 141 pontos na malha física existente no mapa mas sem nome que corresponda a uma via da planta. Os 141 foram efetivamente verificados e alimentam a taxa do loteamento; por não terem nome, não podem ser creditados a uma linha de via. Todos os 637 constam da aba "Pontos auditados".</t>
  </si>
  <si>
    <t xml:space="preserve">• LARGURA DE PISTA: a caixa de via vem do quadro/legenda das plantas (185 das 418 vias de planta a trazem; 12,0 m é o valor dominante, em 146 delas). Conversão declarada: caixa até 15 m → pista = caixa − 4,0 m (dois passeios de 2,0 m); caixa de 15 a 20 m → pista = caixa − 5,0 m; caixa acima de 20 m → pista = caixa − 8,0 m (dois passeios de 2,5 m + canteiro central de 3,0 m). Vias sem largura na planta usam a mediana da própria planta (célula em amarelo); plantas sem nenhuma largura usam 12,0 m, a moda da ilha, que devolve os mesmos 8,0 m da premissa anterior.</t>
  </si>
  <si>
    <t xml:space="preserve">• A coluna "Falta pavimentar (m²) — premissa 8 m" é mantida apenas como base de comparação com a versão anterior do levantamento.</t>
  </si>
  <si>
    <t xml:space="preserve">• PASSEIO: o % é a média ponderada das leituras de calçada dos pontos do loteamento (ambos os lados = 100%, um lado = 50%, nenhum = 0%). Onde não há leitura válida, a célula diz NÃO MEDIDO e o passeio faltante não é estimado — a metragem correspondente fica fora do total, em vez de receber um número sem base.</t>
  </si>
  <si>
    <t xml:space="preserve">• "Passeio faltante (m de via)" são metros de VIA sem calçada completa nos dois lados, NÃO metros lineares de calçada. Para orçar calçada em metro linear, multiplique por 2.</t>
  </si>
  <si>
    <t xml:space="preserve">• A extensão de vias não abertas está incluída em "Falta pavimentar", pois são obras a executar; ela NÃO entra no cálculo de passeio.</t>
  </si>
  <si>
    <t xml:space="preserve">• Metragem medida = via com traçado existente medido sobre imagem. Metragem só de planta = via prevista no projeto sem traçado medido; sua existência física deve ser confirmada em campo antes de orçar.</t>
  </si>
  <si>
    <t xml:space="preserve">• Valores aproximados. Recomenda-se conferência em campo e junto à Prefeitura de São Mateus antes de uso oficial.</t>
  </si>
  <si>
    <t xml:space="preserve">Loteamento Balneário de Guriri — planta nº 7</t>
  </si>
  <si>
    <t xml:space="preserve">Proprietário/empreendedor: Município de São Mateus   |   Matrícula: 7.798/3-J (22/02/1979)   |   Área oficial: 578.500 m²</t>
  </si>
  <si>
    <t xml:space="preserve">Pontos verificados neste loteamento: 58 (54 atribuídos a vias nomeadas + 4 na malha física sem nome no mapa). Metragem com traçado medido: 16.241 m; só de planta: 0 m. Todos os pontos estão listados na aba 'Pontos auditados'.</t>
  </si>
  <si>
    <t xml:space="preserve">Rua / via</t>
  </si>
  <si>
    <t xml:space="preserve">Extensão da via (m)</t>
  </si>
  <si>
    <t xml:space="preserve">Situação da pista</t>
  </si>
  <si>
    <t xml:space="preserve">% pista pavimentada</t>
  </si>
  <si>
    <t xml:space="preserve">Pavimentado (m)</t>
  </si>
  <si>
    <t xml:space="preserve">Caixa de via — planta (m)</t>
  </si>
  <si>
    <t xml:space="preserve">Origem da largura</t>
  </si>
  <si>
    <t xml:space="preserve">Largura de pista adotada (m)</t>
  </si>
  <si>
    <t xml:space="preserve">Falta pavimentar (m²)</t>
  </si>
  <si>
    <t xml:space="preserve">Confiança</t>
  </si>
  <si>
    <t xml:space="preserve">Passeio (calçada)</t>
  </si>
  <si>
    <t xml:space="preserve">% passeio (via)</t>
  </si>
  <si>
    <t xml:space="preserve">Pontos próprios</t>
  </si>
  <si>
    <t xml:space="preserve">Origem da classificação</t>
  </si>
  <si>
    <t xml:space="preserve">Metragem</t>
  </si>
  <si>
    <t xml:space="preserve">Observações</t>
  </si>
  <si>
    <t xml:space="preserve">Avenida Oceano Atlântico</t>
  </si>
  <si>
    <t xml:space="preserve">Pavimentada</t>
  </si>
  <si>
    <t xml:space="preserve">moda da ilha (12 m)</t>
  </si>
  <si>
    <t xml:space="preserve">alta</t>
  </si>
  <si>
    <t xml:space="preserve">Sim (maioria)</t>
  </si>
  <si>
    <t xml:space="preserve">8 ponto(s): 8 SV + 0 satélite (bloquete)</t>
  </si>
  <si>
    <t xml:space="preserve">medida (traçado)</t>
  </si>
  <si>
    <t xml:space="preserve">Primeira Avenida da planta/orla ES-010; asfalto cinza com estacionamento, quiosques e calcadao junto a praca.</t>
  </si>
  <si>
    <t xml:space="preserve">Avenida Governador Eurico Vieira de Rezende</t>
  </si>
  <si>
    <t xml:space="preserve">2 ponto(s): 1 SV + 1 satélite (asfalto, bloquete)</t>
  </si>
  <si>
    <t xml:space="preserve">Corresponde ao eixo Av. Guriri/praca do centro comercial; cinza, comercio denso.</t>
  </si>
  <si>
    <t xml:space="preserve">Avenida Esbertalina Barbosa Damiani</t>
  </si>
  <si>
    <t xml:space="preserve">Parcial</t>
  </si>
  <si>
    <t xml:space="preserve">1 ponto(s): 1 SV + 0 satélite (bloquete)</t>
  </si>
  <si>
    <t xml:space="preserve">Segunda Avenida da planta (limite oeste); cinza continua, rota de onibus. | corrigido por SV</t>
  </si>
  <si>
    <t xml:space="preserve">Rua Pinheiros</t>
  </si>
  <si>
    <t xml:space="preserve">Não pavimentada</t>
  </si>
  <si>
    <t xml:space="preserve">1 ponto(s): 1 SV + 0 satélite (saibro)</t>
  </si>
  <si>
    <t xml:space="preserve">Areia/bege no satelite (hz_18395/18435/18475).</t>
  </si>
  <si>
    <t xml:space="preserve">Rua Linhares</t>
  </si>
  <si>
    <t xml:space="preserve">5 ponto(s): 5 SV + 0 satélite (saibro)</t>
  </si>
  <si>
    <t xml:space="preserve">OSM unpaved; satelite mostra ~150 m cinza junto ao centro comercial (Zuliani/Eurico Rezende); restante ate -18.751 em areia.</t>
  </si>
  <si>
    <t xml:space="preserve">Avenida Oceano Índico</t>
  </si>
  <si>
    <t xml:space="preserve">2 ponto(s): 2 SV + 0 satélite (bloquete)</t>
  </si>
  <si>
    <t xml:space="preserve">Terceira Avenida da planta (transversal com canteiro); cinza da Esbertalina ate a orla.</t>
  </si>
  <si>
    <t xml:space="preserve">Rua Horácio Barbosa Alves</t>
  </si>
  <si>
    <t xml:space="preserve">5 ponto(s): 5 SV + 0 satélite (bloquete, saibro)</t>
  </si>
  <si>
    <t xml:space="preserve">Rua São Gabriel da Palha</t>
  </si>
  <si>
    <t xml:space="preserve">Areia; possivel toco curto pavimentado junto ao centro (nao conclusivo).</t>
  </si>
  <si>
    <t xml:space="preserve">Rua Barra de São Francisco</t>
  </si>
  <si>
    <t xml:space="preserve">(sem nome)</t>
  </si>
  <si>
    <t xml:space="preserve">5 ponto(s): 5 SV + 0 satélite (areia, asfalto, bloquete)</t>
  </si>
  <si>
    <t xml:space="preserve">22 ways de ligacao na praca/orla (primary_link/tertiary_link) majoritariamente asfaltados; poucos tocos de areia.</t>
  </si>
  <si>
    <t xml:space="preserve">Avenida Esbertalina B. Damiani</t>
  </si>
  <si>
    <t xml:space="preserve">Continuacao sul do mesmo eixo; cinza com pontos de onibus ate alem da Mantenopolis. | corrigido por SV</t>
  </si>
  <si>
    <t xml:space="preserve">Rua Boa Esperança</t>
  </si>
  <si>
    <t xml:space="preserve">Não</t>
  </si>
  <si>
    <t xml:space="preserve">1 ponto(s): 1 SV + 0 satélite (areia)</t>
  </si>
  <si>
    <t xml:space="preserve">Quinta Avenida</t>
  </si>
  <si>
    <t xml:space="preserve">Trecho leste (Esbertalina-&gt;orla) cinza junto ao centro; e o unico trecho da 5a Av. pavimentado na ilha.</t>
  </si>
  <si>
    <t xml:space="preserve">Rua Mururici</t>
  </si>
  <si>
    <t xml:space="preserve">Rua Conceição da Barra</t>
  </si>
  <si>
    <t xml:space="preserve">5 ponto(s): 5 SV + 0 satélite (areia, bloquete, saibro)</t>
  </si>
  <si>
    <t xml:space="preserve">Rua Nova Venécia</t>
  </si>
  <si>
    <t xml:space="preserve">5 ponto(s): 5 SV + 0 satélite (areia, bloquete)</t>
  </si>
  <si>
    <t xml:space="preserve">Idem Linhares: toco norte junto ao centro aparenta pavimento; restante areia.</t>
  </si>
  <si>
    <t xml:space="preserve">Rua Daniel Camboni</t>
  </si>
  <si>
    <t xml:space="preserve">Rua Montanha</t>
  </si>
  <si>
    <t xml:space="preserve">Rua Mantenópolis</t>
  </si>
  <si>
    <t xml:space="preserve">Rua Esbertalina B. Damiani</t>
  </si>
  <si>
    <t xml:space="preserve">Toco de 9 m sem tag; mesmo eixo pavimentado. | corrigido por SV</t>
  </si>
  <si>
    <t xml:space="preserve">TOTAL</t>
  </si>
  <si>
    <t xml:space="preserve">Falta pavimentar — pista (m²), larguras da planta:</t>
  </si>
  <si>
    <t xml:space="preserve">soma da coluna J (falta × largura de pista de cada via)</t>
  </si>
  <si>
    <t xml:space="preserve">Falta pavimentar — pista (m²), premissa única de 8 m:</t>
  </si>
  <si>
    <t xml:space="preserve">base de comparação com a versão anterior do levantamento</t>
  </si>
  <si>
    <t xml:space="preserve">Vias não abertas incluídas no total (m):</t>
  </si>
  <si>
    <t xml:space="preserve">constam na planta, sem abertura visível; contam como obra a executar</t>
  </si>
  <si>
    <t xml:space="preserve">Passeio (calçada) existente:</t>
  </si>
  <si>
    <t xml:space="preserve">Passeio faltante (m de via aberta):</t>
  </si>
  <si>
    <t xml:space="preserve">metros de VIA sem calçada completa nos dois lados (não é metro linear de calçada)</t>
  </si>
  <si>
    <t xml:space="preserve">Passeio faltante (m²):</t>
  </si>
  <si>
    <t xml:space="preserve">4.00 m² de calçada por metro de via (dois lados, larguras da planta)</t>
  </si>
  <si>
    <t xml:space="preserve">Pontos verificados — em vias nomeadas:</t>
  </si>
  <si>
    <t xml:space="preserve">Pontos verificados — na malha física sem nome no mapa:</t>
  </si>
  <si>
    <t xml:space="preserve">verificados e usados na taxa do loteamento; ver aba Pontos auditados</t>
  </si>
  <si>
    <t xml:space="preserve">Pavimento sobre metragem medida (m):</t>
  </si>
  <si>
    <t xml:space="preserve">Pavimento sobre metragem só de planta (m):</t>
  </si>
  <si>
    <t xml:space="preserve">sem traçado medido — existência a confirmar em campo</t>
  </si>
  <si>
    <t xml:space="preserve">Loteamento Bosque da Praia — planta nº 9</t>
  </si>
  <si>
    <t xml:space="preserve">Proprietário/empreendedor: TEGIL Territorial Guriri Ltda   |   Matrícula: 2.315 (14/12/1979)   |   Área oficial: 1.728.555 m²</t>
  </si>
  <si>
    <t xml:space="preserve">Pontos verificados neste loteamento: 27 (3 atribuídos a vias nomeadas + 24 na malha física sem nome no mapa). Metragem com traçado medido: 942 m; só de planta: 35.450 m. Todos os pontos estão listados na aba 'Pontos auditados'.</t>
  </si>
  <si>
    <t xml:space="preserve">Estrada São Mateus-Estiva de Barra Nova</t>
  </si>
  <si>
    <t xml:space="preserve">mediana da planta</t>
  </si>
  <si>
    <t xml:space="preserve">3 ponto(s): 3 SV + 0 satélite (saibro)</t>
  </si>
  <si>
    <t xml:space="preserve">'AV.' diagonal de 20 m da divisa oeste da planta de 1979; hoje ES-010 asfaltada (linha escura no satelite), 942 m no poligono</t>
  </si>
  <si>
    <t xml:space="preserve">RUA 1</t>
  </si>
  <si>
    <t xml:space="preserve">quadro/legenda da planta</t>
  </si>
  <si>
    <t xml:space="preserve">baixa</t>
  </si>
  <si>
    <t xml:space="preserve">Não avaliável</t>
  </si>
  <si>
    <t xml:space="preserve">—</t>
  </si>
  <si>
    <t xml:space="preserve">sem ponto próprio — taxa agregada da malha física auditada do loteamento</t>
  </si>
  <si>
    <t xml:space="preserve">planta (não medida)</t>
  </si>
  <si>
    <t xml:space="preserve">primeira rua junto a orla, atras da duna: aberta em areia, continua de -18.7746 a ~-18.782</t>
  </si>
  <si>
    <t xml:space="preserve">RUA 2</t>
  </si>
  <si>
    <t xml:space="preserve">'R. Dois' rotulada no Google: aberta em areia por toda a extensao</t>
  </si>
  <si>
    <t xml:space="preserve">RUA 3</t>
  </si>
  <si>
    <t xml:space="preserve">aberta em areia (grade visivel hz_18775s/hz_18830s) de -18.7746 ate a mata em ~-18.782; sem edificacao na maior parte</t>
  </si>
  <si>
    <t xml:space="preserve">RUA 4</t>
  </si>
  <si>
    <t xml:space="preserve">RUA 5</t>
  </si>
  <si>
    <t xml:space="preserve">RUA 6</t>
  </si>
  <si>
    <t xml:space="preserve">RUA 7</t>
  </si>
  <si>
    <t xml:space="preserve">RUA 8</t>
  </si>
  <si>
    <t xml:space="preserve">RUA 9</t>
  </si>
  <si>
    <t xml:space="preserve">RUA 10</t>
  </si>
  <si>
    <t xml:space="preserve">RUA 11</t>
  </si>
  <si>
    <t xml:space="preserve">RUA 12</t>
  </si>
  <si>
    <t xml:space="preserve">RUA 13</t>
  </si>
  <si>
    <t xml:space="preserve">RUA 14</t>
  </si>
  <si>
    <t xml:space="preserve">RUA 15</t>
  </si>
  <si>
    <t xml:space="preserve">RUA 16</t>
  </si>
  <si>
    <t xml:space="preserve">RUA 17</t>
  </si>
  <si>
    <t xml:space="preserve">RUA 18</t>
  </si>
  <si>
    <t xml:space="preserve">RUA 19</t>
  </si>
  <si>
    <t xml:space="preserve">RUA 20</t>
  </si>
  <si>
    <t xml:space="preserve">RUA 21</t>
  </si>
  <si>
    <t xml:space="preserve">RUA 22</t>
  </si>
  <si>
    <t xml:space="preserve">RUA 23</t>
  </si>
  <si>
    <t xml:space="preserve">RUA 24</t>
  </si>
  <si>
    <t xml:space="preserve">RUA 25</t>
  </si>
  <si>
    <t xml:space="preserve">RUA 26</t>
  </si>
  <si>
    <t xml:space="preserve">ultima rua a oeste: trecho norte aberto; ao sul o leito converge com a diagonal da ES-010</t>
  </si>
  <si>
    <t xml:space="preserve">AV. 1</t>
  </si>
  <si>
    <t xml:space="preserve">avenida E-W aberta em areia por toda a largura da ilha (lat aprox -18.7760; numeracao assumida N-&gt;S)</t>
  </si>
  <si>
    <t xml:space="preserve">AV. 2</t>
  </si>
  <si>
    <t xml:space="preserve">avenida E-W aberta em areia por toda a largura da ilha (lat aprox -18.7778; numeracao assumida N-&gt;S)</t>
  </si>
  <si>
    <t xml:space="preserve">AV. 3</t>
  </si>
  <si>
    <t xml:space="preserve">avenida E-W aberta em areia por toda a largura da ilha (lat aprox -18.7795; numeracao assumida N-&gt;S)</t>
  </si>
  <si>
    <t xml:space="preserve">AV. 4</t>
  </si>
  <si>
    <t xml:space="preserve">avenida E-W aberta em areia por toda a largura da ilha (lat aprox -18.7811; numeracao assumida N-&gt;S)</t>
  </si>
  <si>
    <t xml:space="preserve">AV. 5</t>
  </si>
  <si>
    <t xml:space="preserve">Não aberta</t>
  </si>
  <si>
    <t xml:space="preserve">mantido (não aberta, sem ponto auditado)</t>
  </si>
  <si>
    <t xml:space="preserve">faixa sul (~-18.7827) na borda da mata: sem leito continuo visivel, apenas trilha parcial no extremo leste</t>
  </si>
  <si>
    <t xml:space="preserve">TRAVESSA 1</t>
  </si>
  <si>
    <t xml:space="preserve">curta, ladeando praca do projeto (pracas nao implantadas); nao individualizavel na grade aberta</t>
  </si>
  <si>
    <t xml:space="preserve">TRAVESSA 2</t>
  </si>
  <si>
    <t xml:space="preserve">TRAVESSA 3</t>
  </si>
  <si>
    <t xml:space="preserve">TRAVESSA 4</t>
  </si>
  <si>
    <t xml:space="preserve">TRAVESSA 5</t>
  </si>
  <si>
    <t xml:space="preserve">TRAVESSA 6</t>
  </si>
  <si>
    <t xml:space="preserve">TRAVESSA 7</t>
  </si>
  <si>
    <t xml:space="preserve">AV. ATLANTICA</t>
  </si>
  <si>
    <t xml:space="preserve">orla: trilha de areia na crista da duna, continua em trechos; estacionamento e calcadao do projeto nunca implantados</t>
  </si>
  <si>
    <t xml:space="preserve">Loteamento Parque dos Albatrozes — planta nº 10</t>
  </si>
  <si>
    <t xml:space="preserve">Proprietário/empreendedor: BINOTTE Emp. Imobiliários   |   Matrícula: 2.383 (18/06/1980)   |   Área oficial: 757.170 m²</t>
  </si>
  <si>
    <t xml:space="preserve">Pontos verificados neste loteamento: 54 (54 atribuídos a vias nomeadas + 0 na malha física sem nome no mapa). Metragem com traçado medido: 17.996 m; só de planta: 0 m. Todos os pontos estão listados na aba 'Pontos auditados'.</t>
  </si>
  <si>
    <t xml:space="preserve">Sétima Avenida</t>
  </si>
  <si>
    <t xml:space="preserve">3 ponto(s): 3 SV + 0 satélite (areia)</t>
  </si>
  <si>
    <t xml:space="preserve">Areia/bege no satelite (hz_18315/18355).</t>
  </si>
  <si>
    <t xml:space="preserve">Avenida Homero Zordan</t>
  </si>
  <si>
    <t xml:space="preserve">4 ponto(s): 4 SV + 0 satélite (areia, bloquete)</t>
  </si>
  <si>
    <t xml:space="preserve">OSM dirt+paving_stones; satelite mostra cinza no trecho central (cruzamento com o eixo asfaltado Othovarino e junto a Esbertalina/praca de eventos); extremo oeste e trecho junto a orla em tom areia.</t>
  </si>
  <si>
    <t xml:space="preserve">Avenida Espera Feliz</t>
  </si>
  <si>
    <t xml:space="preserve">trecho curto sem ponto próprio — adotada a situação da mesma via (nome próprio, loteamento contíguo) em 6 ponto(s): p13=0%, p14=100%, p60=0%</t>
  </si>
  <si>
    <t xml:space="preserve">Pavimentada (cinza, rotatoria e ponto de onibus) da diagonal Othovarino ate a orla; toco oeste em areia.</t>
  </si>
  <si>
    <t xml:space="preserve">Rua Pedro Alves Ribeiro</t>
  </si>
  <si>
    <t xml:space="preserve">2 ponto(s): 2 SV + 0 satélite (areia)</t>
  </si>
  <si>
    <t xml:space="preserve">Rua Elisa Maria Ditthz de Abreu Costa</t>
  </si>
  <si>
    <t xml:space="preserve">3 ways paving_stones+unpaved; vielas junto ao eixo Esbertalina.</t>
  </si>
  <si>
    <t xml:space="preserve">1 ponto(s): 1 SV + 0 satélite (asfalto)</t>
  </si>
  <si>
    <t xml:space="preserve">Toco de 22 m na rotatoria com a Espera Feliz; cinza no satelite.</t>
  </si>
  <si>
    <t xml:space="preserve">Rua Álvaro Leal Calmon</t>
  </si>
  <si>
    <t xml:space="preserve">2 ponto(s): 2 SV + 0 satélite (saibro)</t>
  </si>
  <si>
    <t xml:space="preserve">Rua Raísa Bastos Magnago</t>
  </si>
  <si>
    <t xml:space="preserve">Rua Octávio Borotto</t>
  </si>
  <si>
    <t xml:space="preserve">Rua Odílio Nico</t>
  </si>
  <si>
    <t xml:space="preserve">Rua Albino Negris</t>
  </si>
  <si>
    <t xml:space="preserve">2 ponto(s): 2 SV + 0 satélite (bloquete, saibro)</t>
  </si>
  <si>
    <t xml:space="preserve">Rua Adriana Barbosa Caran</t>
  </si>
  <si>
    <t xml:space="preserve">Areia/bege no satelite (hz_18315/18355). | SV: pavimentada no trecho sul, areia ao norte</t>
  </si>
  <si>
    <t xml:space="preserve">Rua Rogério Campista Correia</t>
  </si>
  <si>
    <t xml:space="preserve">Jamil Alhakim Ribeiro</t>
  </si>
  <si>
    <t xml:space="preserve">Edith Laura Moreira D'almeida</t>
  </si>
  <si>
    <t xml:space="preserve">Trecho no centro comercial; cinza com veiculos.</t>
  </si>
  <si>
    <t xml:space="preserve">Rua Oldemar Faria Santos</t>
  </si>
  <si>
    <t xml:space="preserve">2 ponto(s): 2 SV + 0 satélite (asfalto, saibro)</t>
  </si>
  <si>
    <t xml:space="preserve">Avenida Othovarino Duarte Santos</t>
  </si>
  <si>
    <t xml:space="preserve">2 ponto(s): 2 SV + 0 satélite (asfalto)</t>
  </si>
  <si>
    <t xml:space="preserve">Diagonal asfaltada da ponte a praca (ES-010); claramente cinza, com pontos de onibus.</t>
  </si>
  <si>
    <t xml:space="preserve">3 ponto(s): 3 SV + 0 satélite (bloquete)</t>
  </si>
  <si>
    <t xml:space="preserve">1a Avenida da planta (34 m, canteiro central); orla asfaltada com calcadas visiveis.</t>
  </si>
  <si>
    <t xml:space="preserve">3 ponto(s): 3 SV + 0 satélite (asfalto)</t>
  </si>
  <si>
    <t xml:space="preserve">Bloquete (paving_stones) confirmado: tom cinza continuo, praca pavimentada anexa, rotatorias.</t>
  </si>
  <si>
    <t xml:space="preserve">Rua Professor Amaro Nascimento Mendes</t>
  </si>
  <si>
    <t xml:space="preserve">Rua Darcy Natalino Formigoni</t>
  </si>
  <si>
    <t xml:space="preserve">média</t>
  </si>
  <si>
    <t xml:space="preserve">Areia/bege no satelite (hz_18315/18355). | corrigido por SV</t>
  </si>
  <si>
    <t xml:space="preserve">Rua VIII</t>
  </si>
  <si>
    <t xml:space="preserve">Rua Domingos Duarte Santos</t>
  </si>
  <si>
    <t xml:space="preserve">Rua Maria Tezolin Carrafa</t>
  </si>
  <si>
    <t xml:space="preserve">Loteamento Praia de Guriri — planta nº 13</t>
  </si>
  <si>
    <t xml:space="preserve">Proprietário/empreendedor: Dalla Bernardina Imob.   |   Matrícula: 2.025 (06/07/1983)   |   Área oficial: 625.209 m²</t>
  </si>
  <si>
    <t xml:space="preserve">Pontos verificados neste loteamento: 57 (57 atribuídos a vias nomeadas + 0 na malha física sem nome no mapa). Metragem com traçado medido: 12.416 m; só de planta: 0 m. Todos os pontos estão listados na aba 'Pontos auditados'.</t>
  </si>
  <si>
    <t xml:space="preserve">Rua XXXII</t>
  </si>
  <si>
    <t xml:space="preserve">areia clara no satelite (hz_18275_O/hz_18315_O)</t>
  </si>
  <si>
    <t xml:space="preserve">Rua Antônio Massucatti</t>
  </si>
  <si>
    <t xml:space="preserve">Rua Antônio Cunha Filho</t>
  </si>
  <si>
    <t xml:space="preserve">Rua Trinta e Sete</t>
  </si>
  <si>
    <t xml:space="preserve">Rua Trinta e Nove</t>
  </si>
  <si>
    <t xml:space="preserve">Rua Trinta e Cinco</t>
  </si>
  <si>
    <t xml:space="preserve">areia clara no satelite (hz_18275_O/hz_18315_O) | SV nov/2023: bloquete sextavado (R. XXXV)</t>
  </si>
  <si>
    <t xml:space="preserve">Rua Climéria Santos Barcellos</t>
  </si>
  <si>
    <t xml:space="preserve">Rua Felisberto Fereguetti</t>
  </si>
  <si>
    <t xml:space="preserve">Rua José Bonomo</t>
  </si>
  <si>
    <t xml:space="preserve">7 ponto(s): 7 SV + 0 satélite (bloquete, saibro)</t>
  </si>
  <si>
    <t xml:space="preserve">segmentos difusos dirt/unpaved; zona toda em areia no satelite</t>
  </si>
  <si>
    <t xml:space="preserve">Rua Adelino Fereguetti</t>
  </si>
  <si>
    <t xml:space="preserve">Rua Domingos Carrafa</t>
  </si>
  <si>
    <t xml:space="preserve">Rua Quarenta e Um</t>
  </si>
  <si>
    <t xml:space="preserve">Rua Quarenta</t>
  </si>
  <si>
    <t xml:space="preserve">Avenida Nafice Aihakim Ribeiro</t>
  </si>
  <si>
    <t xml:space="preserve">Rua Edith Laura Moreira D'Almeida</t>
  </si>
  <si>
    <t xml:space="preserve">2 ponto(s): 2 SV + 0 satélite (areia, saibro)</t>
  </si>
  <si>
    <t xml:space="preserve">Rua XXV</t>
  </si>
  <si>
    <t xml:space="preserve">Rua XVII</t>
  </si>
  <si>
    <t xml:space="preserve">Rua XXIV</t>
  </si>
  <si>
    <t xml:space="preserve">Rua Plínio Borotto</t>
  </si>
  <si>
    <t xml:space="preserve">Rua XXI</t>
  </si>
  <si>
    <t xml:space="preserve">Rua Jamil Alhakim</t>
  </si>
  <si>
    <t xml:space="preserve">Rua João Mafra Araújo</t>
  </si>
  <si>
    <t xml:space="preserve">Rua Douglas Lima</t>
  </si>
  <si>
    <t xml:space="preserve">Rua Plínio Boroto Norte</t>
  </si>
  <si>
    <t xml:space="preserve">Rua Oreste Bigossi</t>
  </si>
  <si>
    <t xml:space="preserve">Rua Orestes Bigossi</t>
  </si>
  <si>
    <t xml:space="preserve">Rua Geraldo Pinto</t>
  </si>
  <si>
    <t xml:space="preserve">Rua XXVII</t>
  </si>
  <si>
    <t xml:space="preserve">4 ponto(s): 4 SV + 0 satélite (asfalto)</t>
  </si>
  <si>
    <t xml:space="preserve">diagonal asfaltada da ponte ao centro (cinza escuro, veiculos visiveis)</t>
  </si>
  <si>
    <t xml:space="preserve">Rua Cajueiro</t>
  </si>
  <si>
    <t xml:space="preserve">Avenida Francisco Pereira de Carvalho</t>
  </si>
  <si>
    <t xml:space="preserve">Nona Avenida</t>
  </si>
  <si>
    <t xml:space="preserve">Rua Jamil Alhakin</t>
  </si>
  <si>
    <t xml:space="preserve">trecho oeste (rota ES-010, ate o entroncamento com a Av. Othovarino junto a pedreira) asfaltado com onibus; trecho leste (Igreja N.S. de Fatima em diante) em areia</t>
  </si>
  <si>
    <t xml:space="preserve">Rodovia Othovarino Duarte Santos</t>
  </si>
  <si>
    <t xml:space="preserve">trecho junto a ponte/limite oeste; cinza no canto do quadro hz_18275_O, parcialmente fora das imagens</t>
  </si>
  <si>
    <t xml:space="preserve">Loteamento Jardim das Caiçaras — planta nº 14</t>
  </si>
  <si>
    <t xml:space="preserve">Proprietário/empreendedor: Caiçaras Emp. Imobiliários   |   Matrícula: 4.170 (05/05/1986)   |   Área oficial: 1.141.458 m²</t>
  </si>
  <si>
    <t xml:space="preserve">Pontos verificados neste loteamento: 78 (78 atribuídos a vias nomeadas + 0 na malha física sem nome no mapa). Metragem com traçado medido: 21.908 m; só de planta: 0 m. Todos os pontos estão listados na aba 'Pontos auditados'.</t>
  </si>
  <si>
    <t xml:space="preserve">Areia/bege no satelite (hz_18275/18315).</t>
  </si>
  <si>
    <t xml:space="preserve">Décima Primeira Avenida</t>
  </si>
  <si>
    <t xml:space="preserve">13 ponto(s): 8 SV + 5 satélite (areia, asfalto, bloquete, saibro)</t>
  </si>
  <si>
    <t xml:space="preserve">16 ways mistos; inclui trecho tertiary com bloquete junto a orla/ES-010 (cinza no satelite) e vielas de areia.</t>
  </si>
  <si>
    <t xml:space="preserve">Cinza no satelite da diagonal Othovarino ate a orla; rotatoria na Esbertalina e ponto de onibus; so o toco oeste (~-39.765..-39.769) em areia.</t>
  </si>
  <si>
    <t xml:space="preserve">trecho curto sem ponto próprio — adotada a situação da mesma via (nome próprio, loteamento contíguo) em 3 ponto(s): p13=0%</t>
  </si>
  <si>
    <t xml:space="preserve">Rua XVI</t>
  </si>
  <si>
    <t xml:space="preserve">Rua XIII</t>
  </si>
  <si>
    <t xml:space="preserve">Rua XIV</t>
  </si>
  <si>
    <t xml:space="preserve">Décima Segunda Avenida</t>
  </si>
  <si>
    <t xml:space="preserve">2 ponto(s): 2 SV + 0 satélite (areia, bloquete)</t>
  </si>
  <si>
    <t xml:space="preserve">Décima Avenida</t>
  </si>
  <si>
    <t xml:space="preserve">Areia; possivel toco leste cinza junto ao acesso do Acqua Park/orla.</t>
  </si>
  <si>
    <t xml:space="preserve">Loteamento Morada do Sol — planta nº 15</t>
  </si>
  <si>
    <t xml:space="preserve">Proprietário/empreendedor: Guriri Beach Turismo   |   Matrícula: 7.640 (09/10/1986)   |   Área oficial: 122.214 m²</t>
  </si>
  <si>
    <t xml:space="preserve">Pontos verificados neste loteamento: 15 (15 atribuídos a vias nomeadas + 0 na malha física sem nome no mapa). Metragem com traçado medido: 3.115 m; só de planta: 0 m. Todos os pontos estão listados na aba 'Pontos auditados'.</t>
  </si>
  <si>
    <t xml:space="preserve">cinza em hz_18515_L</t>
  </si>
  <si>
    <t xml:space="preserve">tag paving_stones (bloquete) coerente com tom cinza-amarronzado do corredor</t>
  </si>
  <si>
    <t xml:space="preserve">Avenida Mar Negro</t>
  </si>
  <si>
    <t xml:space="preserve">bege/areia em todo o trecho a oeste da Esbertalina (hz_18515_L); tag 'asphalt' do OSM refere-se a trecho junto a orla, fora do poligono</t>
  </si>
  <si>
    <t xml:space="preserve">Rua Jaguaré</t>
  </si>
  <si>
    <t xml:space="preserve">limite sul do bloco oeste; bege/areia (hz_18515_L)</t>
  </si>
  <si>
    <t xml:space="preserve">via N-S bege/areia entre Mantenopolis e Jaguare (hz_18515_L)</t>
  </si>
  <si>
    <t xml:space="preserve">Rua VII</t>
  </si>
  <si>
    <t xml:space="preserve">limite norte (grafia Mantenopoles na planta); bege/areia</t>
  </si>
  <si>
    <t xml:space="preserve">trecho de ~109 m ao sul da R. Jaguare; trilha de areia visivel que se perde em vegetacao (hz_18515_L c4)</t>
  </si>
  <si>
    <t xml:space="preserve">trecho curto no lobo leste ao sul da Jaguare; faixa pouco definida em meio a vegetacao, quadras 01-06 pouco ocupadas</t>
  </si>
  <si>
    <t xml:space="preserve">trecho curto no lobo leste; areia/vegetacao, abertura apenas parcial visivel</t>
  </si>
  <si>
    <t xml:space="preserve">trecho de 55 m no lobo leste; faixa pouco definida, quase nao aberta</t>
  </si>
  <si>
    <t xml:space="preserve">trecho no lobo leste; areia/vegetacao, abertura parcial</t>
  </si>
  <si>
    <t xml:space="preserve">Loteamento Parque Residencial Oitizeiro — planta nº 25</t>
  </si>
  <si>
    <t xml:space="preserve">Proprietário/empreendedor: Alba Figueiredo Brasileiro   |   Matrícula: 14.380 (02/06/2000)   |   Área oficial: 557.784 m²</t>
  </si>
  <si>
    <t xml:space="preserve">Pontos verificados neste loteamento: 41 (41 atribuídos a vias nomeadas + 0 na malha física sem nome no mapa). Metragem com traçado medido: 13.896 m; só de planta: 0 m. Todos os pontos estão listados na aba 'Pontos auditados'.</t>
  </si>
  <si>
    <t xml:space="preserve">limite leste do loteamento; cinza nos 3 recortes hz_18395/18435/18475; onibus e comercio ao longo | corrigido por SV</t>
  </si>
  <si>
    <t xml:space="preserve">segmento sul do mesmo eixo pavimentado</t>
  </si>
  <si>
    <t xml:space="preserve">todo o trecho a oeste da Esbertalina e bege/areia (hz_18435_L/O); a parte 'paved' das tags OSM corresponde ao trecho junto a orla, fora do poligono</t>
  </si>
  <si>
    <t xml:space="preserve">hz_18395_L: faixa bege em toda extensao</t>
  </si>
  <si>
    <t xml:space="preserve">hz_18395/18435: bege/areia</t>
  </si>
  <si>
    <t xml:space="preserve">hz_18435_L: bege/areia</t>
  </si>
  <si>
    <t xml:space="preserve">Rua São Daniel Comboni</t>
  </si>
  <si>
    <t xml:space="preserve">hz_18435/18475: bege/areia</t>
  </si>
  <si>
    <t xml:space="preserve">hz_18475_L: bege/areia (trecho oeste)</t>
  </si>
  <si>
    <t xml:space="preserve">Avenida Praiana</t>
  </si>
  <si>
    <t xml:space="preserve">hz_18475/18515: bege/areia, canteiro nao perceptivel</t>
  </si>
  <si>
    <t xml:space="preserve">hz_18515_L: bege/areia (trecho oeste)</t>
  </si>
  <si>
    <t xml:space="preserve">transversal N-S bege/areia em todos os recortes (hz_18395/18435/18475)</t>
  </si>
  <si>
    <t xml:space="preserve">Octávio Borotto</t>
  </si>
  <si>
    <t xml:space="preserve">Domingos Duarte Santos</t>
  </si>
  <si>
    <t xml:space="preserve">Pedro Alves Ribeiro</t>
  </si>
  <si>
    <t xml:space="preserve">Raísa Bastos Magnago</t>
  </si>
  <si>
    <t xml:space="preserve">Elisa Maria Ditthz de Abreu Costa</t>
  </si>
  <si>
    <t xml:space="preserve">Darcy Natalino Formigoni</t>
  </si>
  <si>
    <t xml:space="preserve">fragmento de 12 m do mesmo eixo de areia</t>
  </si>
  <si>
    <t xml:space="preserve">Rua Colatina</t>
  </si>
  <si>
    <t xml:space="preserve">toco de 33 m na divisa oeste; mesmo corredor de areia do eixo Colatina/Sao Daniel Comboni</t>
  </si>
  <si>
    <t xml:space="preserve">links tertiary_link junto a Esbertalina/Oceano Indico, tag dirt; area do cruzamento em areia no satelite</t>
  </si>
  <si>
    <t xml:space="preserve">4.08 m² de calçada por metro de via (dois lados, larguras da planta)</t>
  </si>
  <si>
    <t xml:space="preserve">Loteamento Residencial Mar Aberto — planta nº 27</t>
  </si>
  <si>
    <t xml:space="preserve">Proprietário/empreendedor: Mirante Emp. Imobiliários   |   Matrícula: 9.853 (25/08/2000)   |   Área oficial: 387.200 m²</t>
  </si>
  <si>
    <t xml:space="preserve">Pontos verificados neste loteamento: 33 (8 atribuídos a vias nomeadas + 25 na malha física sem nome no mapa). Metragem com traçado medido: 2.731 m; só de planta: 4.108 m. Todos os pontos estão listados na aba 'Pontos auditados'.</t>
  </si>
  <si>
    <t xml:space="preserve">Rua Belo Horizonte</t>
  </si>
  <si>
    <t xml:space="preserve">6 ponto(s): 6 SV + 0 satélite (saibro)</t>
  </si>
  <si>
    <t xml:space="preserve">Av. Belo Horizonte da planta (16 m): eixo E-W central aberto em areia por toda a extensao (~1.980 m, lon -39.7672..-39.7484); casas esparsas; rotatoria/praca circular da planta NAO construida</t>
  </si>
  <si>
    <t xml:space="preserve">dentro do p27 leito cinzento de saibro compactado, sem bloquete visivel (RGB ~160/150/135); o bloquete termina ~lat -18.756, ao norte do poligono; tag paving_stones do OSM nao confirmada aqui</t>
  </si>
  <si>
    <t xml:space="preserve">orla em frente ao p27 e estrada larga de areia/saibro claro (RGB ~185/175/160); pavimento da orla termina ~lat -18.755, ao norte do p27</t>
  </si>
  <si>
    <t xml:space="preserve">RUA ALFENAS</t>
  </si>
  <si>
    <t xml:space="preserve">transversal oeste: stub de areia aberto nos dois lados da Av. Belo Horizonte (sat_18760); quadras em pasto, sem edificacao | metragem rateada da malha OSM sem nome</t>
  </si>
  <si>
    <t xml:space="preserve">RUA VARGINHA</t>
  </si>
  <si>
    <t xml:space="preserve">RUA UBÁ</t>
  </si>
  <si>
    <t xml:space="preserve">RUA SÃO JOÃO DEL REY</t>
  </si>
  <si>
    <t xml:space="preserve">RUA PONTE NOVA</t>
  </si>
  <si>
    <t xml:space="preserve">RUA PIRAPORA</t>
  </si>
  <si>
    <t xml:space="preserve">RUA PATOS DE MINAS</t>
  </si>
  <si>
    <t xml:space="preserve">RUA PASSOS</t>
  </si>
  <si>
    <t xml:space="preserve">RUA OURO PRETO</t>
  </si>
  <si>
    <t xml:space="preserve">RUA MURIAÉ</t>
  </si>
  <si>
    <t xml:space="preserve">RUA JANAÚBA</t>
  </si>
  <si>
    <t xml:space="preserve">zona da praca/rotatoria (nao construida): stubs tenues junto a Av. BH; quadras em pasto | metragem rateada da malha OSM sem nome</t>
  </si>
  <si>
    <t xml:space="preserve">RUA ITUIUTABA</t>
  </si>
  <si>
    <t xml:space="preserve">RUA CONTAGEM</t>
  </si>
  <si>
    <t xml:space="preserve">RUA ROGÉRIO CAMPISTA CORREIA</t>
  </si>
  <si>
    <t xml:space="preserve">lado norte coincide com a malha do Joao de Barro (p78); lado sul com faixa de vegetacao; stub curto junto a Av. BH | metragem rateada da malha OSM sem nome</t>
  </si>
  <si>
    <t xml:space="preserve">RUA XVIII</t>
  </si>
  <si>
    <t xml:space="preserve">RUA XVII</t>
  </si>
  <si>
    <t xml:space="preserve">RUA XVI</t>
  </si>
  <si>
    <t xml:space="preserve">RUA PEDRO ALVES RIBEIRO</t>
  </si>
  <si>
    <t xml:space="preserve">stub de areia aberto nos dois lados da Av. Belo Horizonte (hz_18605); extremos norte/sul terminam em pasto/capoeira | metragem rateada da malha OSM sem nome</t>
  </si>
  <si>
    <t xml:space="preserve">RUA RAISA BASTOS MAGNAGO</t>
  </si>
  <si>
    <t xml:space="preserve">trecho curto sem ponto próprio — adotada a situação da mesma via (nome próprio, loteamento contíguo) em 1 ponto(s): p47=0%</t>
  </si>
  <si>
    <t xml:space="preserve">RUA XIII</t>
  </si>
  <si>
    <t xml:space="preserve">RUA ALVARO LEAL CALMON</t>
  </si>
  <si>
    <t xml:space="preserve">RUA XI</t>
  </si>
  <si>
    <t xml:space="preserve">RUA OLDEMAR FARIAS SANTOS</t>
  </si>
  <si>
    <t xml:space="preserve">RUA DARCY NATALINO FORMIGONI</t>
  </si>
  <si>
    <t xml:space="preserve">RUA ADRIANA BARBOSA CARAN</t>
  </si>
  <si>
    <t xml:space="preserve">trecho curto sem ponto próprio — adotada a situação da mesma via (nome próprio, loteamento contíguo) em 2 ponto(s): p15=0%, p47=0%</t>
  </si>
  <si>
    <t xml:space="preserve">RUA PROF. AMARO NASCIMENTO MENDES</t>
  </si>
  <si>
    <t xml:space="preserve">RUA ALBINO NEGRIS</t>
  </si>
  <si>
    <t xml:space="preserve">trecho curto sem ponto próprio — adotada a situação da mesma via (nome próprio, loteamento contíguo) em 3 ponto(s): p15=0%, p47=0%</t>
  </si>
  <si>
    <t xml:space="preserve">RUA SÃO GABRIEL DA PALHA</t>
  </si>
  <si>
    <t xml:space="preserve">trecho curto sem ponto próprio — adotada a situação da mesma via (nome próprio, loteamento contíguo) em 1 ponto(s): p15=0%</t>
  </si>
  <si>
    <t xml:space="preserve">trecho leste (entre Esbertalina e a orla): stub curto de areia ao norte da Av. BH; lado sul fechado por vegetacao ate o Bar Lisboa | metragem rateada da malha OSM sem nome</t>
  </si>
  <si>
    <t xml:space="preserve">RUA NOVA VENÉCIA</t>
  </si>
  <si>
    <t xml:space="preserve">RUA LINHARES</t>
  </si>
  <si>
    <t xml:space="preserve">RUA CONCEIÇÃO DA BARRA</t>
  </si>
  <si>
    <t xml:space="preserve">trecho curto sem ponto próprio — adotada a situação da mesma via (nome próprio, loteamento contíguo) em 3 ponto(s): p15=0%, p42=100%</t>
  </si>
  <si>
    <t xml:space="preserve">AVENIDA PROJETADA (limite oeste)</t>
  </si>
  <si>
    <t xml:space="preserve">ligacao 'VAI PARA BARRA NOVA': trilha de areia conectando o fim da Av. BH a ES-010, visivel no sat_18760 | metragem rateada da malha OSM sem nome</t>
  </si>
  <si>
    <t xml:space="preserve">5.00 m² de calçada por metro de via (dois lados, larguras da planta)</t>
  </si>
  <si>
    <t xml:space="preserve">Loteamento Melhorini Residencial Parque — planta nº 31</t>
  </si>
  <si>
    <t xml:space="preserve">Proprietário/empreendedor: Domingos Melhorini   |   Matrícula: 9.300 (26/11/2001)   |   Área oficial: 70.180 m²</t>
  </si>
  <si>
    <t xml:space="preserve">Pontos verificados neste loteamento: 10 (10 atribuídos a vias nomeadas + 0 na malha física sem nome no mapa). Metragem com traçado medido: 1.521 m; só de planta: 0 m. Todos os pontos estão listados na aba 'Pontos auditados'.</t>
  </si>
  <si>
    <t xml:space="preserve">limite leste; cinza em hz_18435/18475 | corrigido por SV</t>
  </si>
  <si>
    <t xml:space="preserve">via interna N-S bege/areia (hz_18435_L/18475_L)</t>
  </si>
  <si>
    <t xml:space="preserve">via interna N-S bege/areia (hz_18435_L/18475_L); Rua VII = Prof. Amaro N. Mendes da planta</t>
  </si>
  <si>
    <t xml:space="preserve">limite sul; bege/areia em hz_18435/18475</t>
  </si>
  <si>
    <t xml:space="preserve">Loteamento Verão Vermelho — planta nº 35</t>
  </si>
  <si>
    <t xml:space="preserve">Proprietário/empreendedor: Neri Mariani   |   Matrícula: 16.265 (24/10/2003)   |   Área oficial: 402.084 m²</t>
  </si>
  <si>
    <t xml:space="preserve">Pontos verificados neste loteamento: 37 (9 atribuídos a vias nomeadas + 28 na malha física sem nome no mapa). Metragem com traçado medido: 2.772 m; só de planta: 7.830 m. Todos os pontos estão listados na aba 'Pontos auditados'.</t>
  </si>
  <si>
    <t xml:space="preserve">RODOVIA BREJO VELHO da planta (fundos oeste); asfalto (ES-010), linha escura no satelite; apenas ~52 m dentro do poligono</t>
  </si>
  <si>
    <t xml:space="preserve">Rua Verão Vermelho</t>
  </si>
  <si>
    <t xml:space="preserve">6 ponto(s): 6 SV + 0 satélite (areia)</t>
  </si>
  <si>
    <t xml:space="preserve">AV. VERAO VERMELHO da planta (longitudinal sul): aberta em areia por ~2,16 km; casas concentradas no trecho centro-leste; extremo oeste com leito tenue</t>
  </si>
  <si>
    <t xml:space="preserve">saibro compactado cinzento, sem bloquete visivel dentro do p35; tag paving_stones do OSM nao confirmada</t>
  </si>
  <si>
    <t xml:space="preserve">1 ponto(s): 0 SV + 1 satélite (areia)</t>
  </si>
  <si>
    <t xml:space="preserve">aberta em areia junto as dunas no trecho norte do loteamento (ate ~-18.765); ao sul vira trilha na duna; 'Final do Calcadao Lado Sul' fica no limite norte do p35</t>
  </si>
  <si>
    <t xml:space="preserve">AV. EDÉSIO MARIANI</t>
  </si>
  <si>
    <t xml:space="preserve">longitudinal norte: aberta em areia por ~2,1 km (hz_18645/sat_18760), com a maior parte das casas do loteamento</t>
  </si>
  <si>
    <t xml:space="preserve">transversal leste (entre Esbertalina e a orla): trecho norte aberto em areia; fileira sul de quadras em mata fechada | metragem rateada da malha OSM</t>
  </si>
  <si>
    <t xml:space="preserve">aberta em areia no trecho entre a Av. Edesio Mariani e a R. Verao Vermelho (~150 m); prolongamentos norte/sul nao abertos | metragem rateada da malha OSM</t>
  </si>
  <si>
    <t xml:space="preserve">RUA PROF. AMARO NASC. MENDES</t>
  </si>
  <si>
    <t xml:space="preserve">RUA DARCY N. FORMIGONI</t>
  </si>
  <si>
    <t xml:space="preserve">RUA ODÉLIO NICO</t>
  </si>
  <si>
    <t xml:space="preserve">RUA ALVARO LEAL COLMON</t>
  </si>
  <si>
    <t xml:space="preserve">RUA ELISA MARIA DITTZ DE ABREU COSTA</t>
  </si>
  <si>
    <t xml:space="preserve">RUA RAISA BASTOS MAGNANO</t>
  </si>
  <si>
    <t xml:space="preserve">PEDRO ALVES RIBEIRO</t>
  </si>
  <si>
    <t xml:space="preserve">RUA DOMINGAS DUARTE SANTOS</t>
  </si>
  <si>
    <t xml:space="preserve">RUA OTÁVIO BOROTO</t>
  </si>
  <si>
    <t xml:space="preserve">RUA EDITH LAURA MOREIRA D'AVILA</t>
  </si>
  <si>
    <t xml:space="preserve">abertura parcial/tenue entre as duas avenidas (lon ~-39.761) | metragem rateada da malha OSM</t>
  </si>
  <si>
    <t xml:space="preserve">trecho oeste: apenas traco tenue no capim/vegetacao entre as avenidas</t>
  </si>
  <si>
    <t xml:space="preserve">RUA JAMIL ALHAKIM</t>
  </si>
  <si>
    <t xml:space="preserve">RUA MARIA TESOLIN CARRAFA</t>
  </si>
  <si>
    <t xml:space="preserve">RUA XXII</t>
  </si>
  <si>
    <t xml:space="preserve">extremo oeste (inclui area 2A dos campos de futebol/lazer, nao implantada): vegetacao/pasto sem leito visivel</t>
  </si>
  <si>
    <t xml:space="preserve">RUA XXIII (nao rotulada)</t>
  </si>
  <si>
    <t xml:space="preserve">RUA XXIV (nao rotulada)</t>
  </si>
  <si>
    <t xml:space="preserve">RUA XXV</t>
  </si>
  <si>
    <t xml:space="preserve">RUA XXVI</t>
  </si>
  <si>
    <t xml:space="preserve">RUA XXVII</t>
  </si>
  <si>
    <t xml:space="preserve">RUA XXVIII</t>
  </si>
  <si>
    <t xml:space="preserve">RUA XXIX</t>
  </si>
  <si>
    <t xml:space="preserve">RUA XXX</t>
  </si>
  <si>
    <t xml:space="preserve">RUA XXXI</t>
  </si>
  <si>
    <t xml:space="preserve">RUA XXXII</t>
  </si>
  <si>
    <t xml:space="preserve">Loteamento Residencial Ilha de Guriri I — planta nº 36</t>
  </si>
  <si>
    <t xml:space="preserve">Proprietário/empreendedor: Airton Ruberth   |   Matrícula: 15.191 (12/11/2003)   |   Área oficial: 77.639 m²</t>
  </si>
  <si>
    <t xml:space="preserve">Pontos verificados neste loteamento: 9 (9 atribuídos a vias nomeadas + 0 na malha física sem nome no mapa). Metragem com traçado medido: 1.995 m; só de planta: 0 m. Todos os pontos estão listados na aba 'Pontos auditados'.</t>
  </si>
  <si>
    <t xml:space="preserve">Asfalto (ES-010 real, beira-rio); cinza com acostamento rural, sem passeio.</t>
  </si>
  <si>
    <t xml:space="preserve">Rua José Pereira de Amorim</t>
  </si>
  <si>
    <t xml:space="preserve">Areia/bege no satelite (hz_18355_O/18395_O).</t>
  </si>
  <si>
    <t xml:space="preserve">Rua Trinta e Três</t>
  </si>
  <si>
    <t xml:space="preserve">Rua Elis Regina</t>
  </si>
  <si>
    <t xml:space="preserve">Trilha de areia; trecho sul pouco definido em meio a pasto.</t>
  </si>
  <si>
    <t xml:space="preserve">ES-010</t>
  </si>
  <si>
    <t xml:space="preserve">Way OSM nomeada ES-010 porem residencial/dirt: e via de areia paralela a estrada asfaltada; nome enganoso.</t>
  </si>
  <si>
    <t xml:space="preserve">Rua Rafael Barbosa Brahin</t>
  </si>
  <si>
    <t xml:space="preserve">Areia na faixa edificada junto a estrada.</t>
  </si>
  <si>
    <t xml:space="preserve">Leôncio Medeiros</t>
  </si>
  <si>
    <t xml:space="preserve">Loteamento Central — planta nº 39</t>
  </si>
  <si>
    <t xml:space="preserve">Proprietário/empreendedor: Kajuzal Camping   |   Matrícula: 16.104 (25/11/2003)   |   Área oficial: 124.388 m²</t>
  </si>
  <si>
    <t xml:space="preserve">Pontos verificados neste loteamento: 10 (10 atribuídos a vias nomeadas + 0 na malha física sem nome no mapa). Metragem com traçado medido: 3.725 m; só de planta: 0 m. Todos os pontos estão listados na aba 'Pontos auditados'.</t>
  </si>
  <si>
    <t xml:space="preserve">limite oeste na planta (leste geografico); cinza em hz_18475_L | corrigido por SV</t>
  </si>
  <si>
    <t xml:space="preserve">via N-S bege/areia (hz_18475_L)</t>
  </si>
  <si>
    <t xml:space="preserve">trecho curto sem ponto próprio — adotada a situação da mesma via (nome próprio, loteamento contíguo) em 5 ponto(s): p10=100%, p15=0%, p25=0%, p31=0%, p47=0%</t>
  </si>
  <si>
    <t xml:space="preserve">trecho curto sem ponto próprio — adotada a situação da mesma via (nome próprio, loteamento contíguo) em 3 ponto(s): p25=0%, p31=100%, p7=0%</t>
  </si>
  <si>
    <t xml:space="preserve">limite norte; bege/areia</t>
  </si>
  <si>
    <t xml:space="preserve">limite sul; bege/areia (hz_18475_L)</t>
  </si>
  <si>
    <t xml:space="preserve">trecho curto sem ponto próprio — adotada a situação da mesma via (nome próprio, loteamento contíguo) em 1 ponto(s): p25=0%</t>
  </si>
  <si>
    <t xml:space="preserve">transversal central (=Rua Colatina da planta); bege/areia</t>
  </si>
  <si>
    <t xml:space="preserve">Rua São Daniel Camboni</t>
  </si>
  <si>
    <t xml:space="preserve">mesmo eixo transversal central, grafia OSM do trecho leste; bege/areia</t>
  </si>
  <si>
    <t xml:space="preserve">trecho curto sem ponto próprio — adotada a situação da mesma via (nome próprio, loteamento contíguo) em 1 ponto(s): p7=100%</t>
  </si>
  <si>
    <t xml:space="preserve">fragmento de 5 m do mesmo eixo de areia junto a Esbertalina</t>
  </si>
  <si>
    <t xml:space="preserve">29 m de links sem tag no cruzamento com a Av. Esbertalina; assumidos como parte do corredor pavimentado</t>
  </si>
  <si>
    <t xml:space="preserve">Loteamento Residencial Bom Jesus — planta nº 42</t>
  </si>
  <si>
    <t xml:space="preserve">Proprietário/empreendedor: Kajuzal Camping   |   Matrícula: 15.989 (23/12/2003)   |   Área oficial: 1.089.673 m²</t>
  </si>
  <si>
    <t xml:space="preserve">Pontos verificados neste loteamento: 70 (70 atribuídos a vias nomeadas + 0 na malha física sem nome no mapa). Metragem com traçado medido: 21.624 m; só de planta: 2.076 m. Todos os pontos estão listados na aba 'Pontos auditados'.</t>
  </si>
  <si>
    <t xml:space="preserve">Rua Macapá</t>
  </si>
  <si>
    <t xml:space="preserve">aberta so no trecho leste da Av. Esbertalina ate a orla (~350-500 m); metade oeste em mata (faixa entre p35 e p42) | corrigido por SV</t>
  </si>
  <si>
    <t xml:space="preserve">Rua Belém</t>
  </si>
  <si>
    <t xml:space="preserve">3 ponto(s): 2 SV + 1 satélite (bloquete)</t>
  </si>
  <si>
    <t xml:space="preserve">aberta da R. Sao Paulo para leste (~760 m); extremo oeste nao aberto (mata) | corrigido por SV</t>
  </si>
  <si>
    <t xml:space="preserve">Rua João Pessoa</t>
  </si>
  <si>
    <t xml:space="preserve">4 ponto(s): 4 SV + 0 satélite (bloquete)</t>
  </si>
  <si>
    <t xml:space="preserve">aberta em areia por toda a largura (Porto Velho ate Conceicao da Barra) | corrigido por SV</t>
  </si>
  <si>
    <t xml:space="preserve">Rua Maceió</t>
  </si>
  <si>
    <t xml:space="preserve">4 ponto(s): 1 SV + 3 satélite (bloquete)</t>
  </si>
  <si>
    <t xml:space="preserve">aberta em areia por toda a largura | corrigido por SV</t>
  </si>
  <si>
    <t xml:space="preserve">Rua Natal</t>
  </si>
  <si>
    <t xml:space="preserve">Rua Recife</t>
  </si>
  <si>
    <t xml:space="preserve">4 ponto(s): 2 SV + 2 satélite (bloquete)</t>
  </si>
  <si>
    <t xml:space="preserve">Rua Cuiabá</t>
  </si>
  <si>
    <t xml:space="preserve">4 ponto(s): 2 SV + 2 satélite (areia, bloquete)</t>
  </si>
  <si>
    <t xml:space="preserve">Rua Salvador</t>
  </si>
  <si>
    <t xml:space="preserve">aberta em areia; trecho leste com boa ocupacao | corrigido por SV</t>
  </si>
  <si>
    <t xml:space="preserve">Rua Vitória</t>
  </si>
  <si>
    <t xml:space="preserve">aberta em areia; trecho leste denso (Recanto dos Pioneiros) | corrigido por SV</t>
  </si>
  <si>
    <t xml:space="preserve">Rua Brasília</t>
  </si>
  <si>
    <t xml:space="preserve">Rua Campo Grande</t>
  </si>
  <si>
    <t xml:space="preserve">Rua Curitiba</t>
  </si>
  <si>
    <t xml:space="preserve">3 ponto(s): 1 SV + 2 satélite (areia, bloquete)</t>
  </si>
  <si>
    <t xml:space="preserve">aberta em areia; so existe a oeste da Av. Esbertalina (OSM 1.013 m; a leste ficam as quadras do Camurupin Clube) | corrigido por SV</t>
  </si>
  <si>
    <t xml:space="preserve">Rua Florianópolis</t>
  </si>
  <si>
    <t xml:space="preserve">OSM tem way tertiary 'paved'; satelite mostra leito de areia na maior parte, com possivel trecho cinzento curto no acesso leste (Camurupin/orla); estimado 20% pavimentado | corrigido por SV</t>
  </si>
  <si>
    <t xml:space="preserve">Avenida Conceição da Barra</t>
  </si>
  <si>
    <t xml:space="preserve">avenida beira-mar (canteiro 10/3/10 da planta nao implantado): leito unico graded de areia/saibro por ~1,6 km | corrigido por SV</t>
  </si>
  <si>
    <t xml:space="preserve">AVENIDA ALEGRE da planta (canteiro 10/2/10 nao implantado); saibro compactado cinzento, sem bloquete visivel; tag paving_stones nao confirmada</t>
  </si>
  <si>
    <t xml:space="preserve">continuacao sul do mesmo eixo (= Av. Alegre) ate a R. Curitiba; leito de saibro/areia</t>
  </si>
  <si>
    <t xml:space="preserve">2 ponto(s): 1 SV + 1 satélite (bloquete)</t>
  </si>
  <si>
    <t xml:space="preserve">longitudinal N-S (~lon -39.755): aberta em areia, trecho central com falhas/vegetacao | corrigido por SV</t>
  </si>
  <si>
    <t xml:space="preserve">Rua São Paulo</t>
  </si>
  <si>
    <t xml:space="preserve">1 ponto(s): 0 SV + 1 satélite (bloquete)</t>
  </si>
  <si>
    <t xml:space="preserve">longitudinal aberta em areia (OSM 674 m, metade sul) | corrigido por SV</t>
  </si>
  <si>
    <t xml:space="preserve">Rua Rio de Janeiro</t>
  </si>
  <si>
    <t xml:space="preserve">longitudinal aberta em areia por toda a extensao (~760 m) | corrigido por SV</t>
  </si>
  <si>
    <t xml:space="preserve">12 ponto(s): 9 SV + 3 satélite (areia, bloquete)</t>
  </si>
  <si>
    <t xml:space="preserve">2.628 m em 9 ways: inclui a RUA PORTO ALEGRE e trechos nao nomeados; nao somar em dobro com as entradas de planta abaixo | reduzido 1.370 m (Rua Porto Alegre listada em separado)</t>
  </si>
  <si>
    <t xml:space="preserve">RUA PORTO ALEGRE</t>
  </si>
  <si>
    <t xml:space="preserve">transversal sul (divisa com o Bosque da Praia, ~lat -18.7741): aberta em areia por ~1,3 km (hz_18730)</t>
  </si>
  <si>
    <t xml:space="preserve">RUA PORTO VELHO</t>
  </si>
  <si>
    <t xml:space="preserve">longitudinal oeste: aberta em areia (OSM 706 m, mas os ways cairam ~10 m fora do poligono na medicao)</t>
  </si>
  <si>
    <t xml:space="preserve">4.07 m² de calçada por metro de via (dois lados, larguras da planta)</t>
  </si>
  <si>
    <t xml:space="preserve">Loteamento Praiano — planta nº 47</t>
  </si>
  <si>
    <t xml:space="preserve">Proprietário/empreendedor: Praiano Guriri Clube   |   Matrícula: 10.725   |   Área oficial: 96.800 m²</t>
  </si>
  <si>
    <t xml:space="preserve">Pontos verificados neste loteamento: 15 (15 atribuídos a vias nomeadas + 0 na malha física sem nome no mapa). Metragem com traçado medido: 2.612 m; só de planta: 0 m. Todos os pontos estão listados na aba 'Pontos auditados'.</t>
  </si>
  <si>
    <t xml:space="preserve">divisa leste (20 m na planta); cinza em hz_18475/18515 | corrigido por SV</t>
  </si>
  <si>
    <t xml:space="preserve">trecho curto sem ponto próprio — adotada a situação da mesma via (nome próprio, loteamento contíguo) em 10 ponto(s): p10=100%, p15=62%, p25=100%, p27=100%, p7=100%</t>
  </si>
  <si>
    <t xml:space="preserve">mesmo eixo pavimentado</t>
  </si>
  <si>
    <t xml:space="preserve">via interna N-S bege/areia (hz_18475_L/18515_L)</t>
  </si>
  <si>
    <t xml:space="preserve">via interna N-S bege/areia (hz_18475_L/18515_L); Rua VII = Prof. Amaro N. Mendes</t>
  </si>
  <si>
    <t xml:space="preserve">Av. Praiano da planta (20 m com canteiro); bege/areia em hz_18475/18515, canteiro nao pavimentado</t>
  </si>
  <si>
    <t xml:space="preserve">divisa sul; bege/areia (hz_18515_L)</t>
  </si>
  <si>
    <t xml:space="preserve">toco de 12 m na divisa norte; corredor de areia</t>
  </si>
  <si>
    <t xml:space="preserve">69 m residential sem tag; nenhum corredor cinza interno no poligono alem da Esbertalina</t>
  </si>
  <si>
    <t xml:space="preserve">Loteamento Vale do Amazonas — planta nº 49</t>
  </si>
  <si>
    <t xml:space="preserve">Proprietário/empreendedor: Igor Vescovi Devens   |   Matrícula: 15.185   |   Área oficial: 77.639 m²</t>
  </si>
  <si>
    <t xml:space="preserve">Pontos verificados neste loteamento: 4 (4 atribuídos a vias nomeadas + 0 na malha física sem nome no mapa). Metragem com traçado medido: 1.154 m; só de planta: 0 m. Todos os pontos estão listados na aba 'Pontos auditados'.</t>
  </si>
  <si>
    <t xml:space="preserve">Rua Oswaldo Manoel Pimenta Ramos</t>
  </si>
  <si>
    <t xml:space="preserve">Areia; tracado em 3 trechos, partes oeste/sul pouco definidas com grama.</t>
  </si>
  <si>
    <t xml:space="preserve">Rua Gentil Otaviano Fundão Santos</t>
  </si>
  <si>
    <t xml:space="preserve">Areia; trechos fragmentados por vegetacao no lado oeste.</t>
  </si>
  <si>
    <t xml:space="preserve">Loteamento Flor Pan — planta nº 50</t>
  </si>
  <si>
    <t xml:space="preserve">Proprietário/empreendedor: Antonio Costa   |   Matrícula: 15.189   |   Área oficial: 77.639 m²</t>
  </si>
  <si>
    <t xml:space="preserve">Pontos verificados neste loteamento: 9 (9 atribuídos a vias nomeadas + 0 na malha física sem nome no mapa). Metragem com traçado medido: 1.809 m; só de planta: 0 m. Todos os pontos estão listados na aba 'Pontos auditados'.</t>
  </si>
  <si>
    <t xml:space="preserve">Plínio Borotto</t>
  </si>
  <si>
    <t xml:space="preserve">Loteamento Residencial Evidência — planta nº 60</t>
  </si>
  <si>
    <t xml:space="preserve">Proprietário/empreendedor: Anildo Moreira Tavares   |   Matrícula: 9.497   |   Área oficial: 138.514 m²</t>
  </si>
  <si>
    <t xml:space="preserve">Pontos verificados neste loteamento: 22 (22 atribuídos a vias nomeadas + 0 na malha física sem nome no mapa). Metragem com traçado medido: 3.885 m; só de planta: 0 m. Todos os pontos estão listados na aba 'Pontos auditados'.</t>
  </si>
  <si>
    <t xml:space="preserve">areia clara no satelite (hz_18315_O)</t>
  </si>
  <si>
    <t xml:space="preserve">Rua Edaval Pedro Barcello</t>
  </si>
  <si>
    <t xml:space="preserve">Rua XXVIII</t>
  </si>
  <si>
    <t xml:space="preserve">Rua XXIX</t>
  </si>
  <si>
    <t xml:space="preserve">trecho de 217 m medido no p60 fica a leste do entroncamento com a Av. Othovarino = areia; o trecho oeste asfaltado do corredor (ES-010) esta contabilizado no p13</t>
  </si>
  <si>
    <t xml:space="preserve">E-W na cauda sul do loteamento; areia</t>
  </si>
  <si>
    <t xml:space="preserve">Rua Beatriz Barbosa de Aguiar</t>
  </si>
  <si>
    <t xml:space="preserve">Rua Trinta e Oito</t>
  </si>
  <si>
    <t xml:space="preserve">Rua Petrobrás</t>
  </si>
  <si>
    <t xml:space="preserve">DIVERGE do OSM (dirt): satelite mostra pista cinza continua com pontos de onibus - corredor da rota ES-010 que desce ate o Supermercado SuperGiro; aparenta asfalto antigo</t>
  </si>
  <si>
    <t xml:space="preserve">Quarenta e Cinco</t>
  </si>
  <si>
    <t xml:space="preserve">Quarenta e Seis</t>
  </si>
  <si>
    <t xml:space="preserve">Loteamento Pontal de Guriri — planta nº 70</t>
  </si>
  <si>
    <t xml:space="preserve">Proprietário/empreendedor: João Bosco Cevolane   |   Matrícula: 19.747   |   Área oficial: 244.195 m²</t>
  </si>
  <si>
    <t xml:space="preserve">Pontos verificados neste loteamento: 28 (28 atribuídos a vias nomeadas + 0 na malha física sem nome no mapa). Metragem com traçado medido: 6.052 m; só de planta: 0 m. Todos os pontos estão listados na aba 'Pontos auditados'.</t>
  </si>
  <si>
    <t xml:space="preserve">faixa norte do grid, areia clara no satelite (hz_18245_O)</t>
  </si>
  <si>
    <t xml:space="preserve">vias sem nome do grid do Pontal, incl. eixo E-W da Av. Samuel Scardini (18,5 m na planta) - tudo areia no satelite</t>
  </si>
  <si>
    <t xml:space="preserve">Rua XXXV</t>
  </si>
  <si>
    <t xml:space="preserve">Loteamento João de Barro (COHAJOBA) — planta nº 78</t>
  </si>
  <si>
    <t xml:space="preserve">Proprietário/empreendedor: COHAJOBA   |   Matrícula: 19.792   |   Área oficial: 54.750 m²</t>
  </si>
  <si>
    <t xml:space="preserve">Pontos verificados neste loteamento: 14 (0 atribuídos a vias nomeadas + 14 na malha física sem nome no mapa). Metragem com traçado medido: 0 m; só de planta: 1.490 m. Todos os pontos estão listados na aba 'Pontos auditados'.</t>
  </si>
  <si>
    <t xml:space="preserve">AVENIDA PROJETADA - 01</t>
  </si>
  <si>
    <t xml:space="preserve">eixo central ENE-WSW (~500 m): consolidado em areia no trecho leste (~300 m, lotes murados); a oeste apenas traco no pasto</t>
  </si>
  <si>
    <t xml:space="preserve">RUA PLINIO BOROTTO</t>
  </si>
  <si>
    <t xml:space="preserve">extremo oeste: leito apenas demarcado no pasto, nao consolidado</t>
  </si>
  <si>
    <t xml:space="preserve">RUA MARIA TEZOLIN GARRAFA</t>
  </si>
  <si>
    <t xml:space="preserve">leito apenas demarcado no pasto, nao consolidado</t>
  </si>
  <si>
    <t xml:space="preserve">traco tenue no pasto</t>
  </si>
  <si>
    <t xml:space="preserve">RUA ROGÉRIO CAMPISTA CORREIRA</t>
  </si>
  <si>
    <t xml:space="preserve">na borda da area consolidada (~lon -39.760); abertura parcial</t>
  </si>
  <si>
    <t xml:space="preserve">RUA EDITH LAURA MOREIRA D'ALMEIDA</t>
  </si>
  <si>
    <t xml:space="preserve">aberta em areia, grade visivel (hz_18565)</t>
  </si>
  <si>
    <t xml:space="preserve">RUA OCTAVIO BOROTTO</t>
  </si>
  <si>
    <t xml:space="preserve">aberta em areia, quadras com muros</t>
  </si>
  <si>
    <t xml:space="preserve">RUA DOMINGOS DUARTE SANTOS</t>
  </si>
  <si>
    <t xml:space="preserve">aberta em areia</t>
  </si>
  <si>
    <t xml:space="preserve">aberta em areia; alinha com a R. Pedro Alves Ribeiro de Guriri (lon -39.7576)</t>
  </si>
  <si>
    <t xml:space="preserve">extremo leste, junto a ETE/RA; aberta em areia</t>
  </si>
  <si>
    <t xml:space="preserve">sem base de medição — ver aba Resumo Geral</t>
  </si>
  <si>
    <t xml:space="preserve">Loteamento Soma Cevolani (Golden Guriri) — planta nº 80</t>
  </si>
  <si>
    <t xml:space="preserve">Proprietário/empreendedor: Soma Cevolani SPE   |   Matrícula: 52.586   |   Área oficial: 234.672 m²</t>
  </si>
  <si>
    <t xml:space="preserve">Pontos verificados neste loteamento: 32 (0 atribuídos a vias nomeadas + 32 na malha física sem nome no mapa). Metragem com traçado medido: 0 m; só de planta: 4.952 m. Todos os pontos estão listados na aba 'Pontos auditados'.</t>
  </si>
  <si>
    <t xml:space="preserve">Avenida Copacabana</t>
  </si>
  <si>
    <t xml:space="preserve">avenida coletora 25 m com canteiro/ciclovia; pista cinza com meio-fio e setas de mao; inclui acesso pela area verde ate rotatoria ELUP1 na ES-010 e 2a rotatoria na quadra F (hz_18235_L)</t>
  </si>
  <si>
    <t xml:space="preserve">Rua Ipanema</t>
  </si>
  <si>
    <t xml:space="preserve">perimetral NW paralela a Copacabana; pista cinza com meio-fio</t>
  </si>
  <si>
    <t xml:space="preserve">Rua Praia Grande</t>
  </si>
  <si>
    <t xml:space="preserve">longitudinal interna; pista cinza com meio-fio</t>
  </si>
  <si>
    <t xml:space="preserve">Rua Canoa Quebrada</t>
  </si>
  <si>
    <t xml:space="preserve">perimetral SE junto a malha antiga de Guriri Norte; pista cinza com meio-fio</t>
  </si>
  <si>
    <t xml:space="preserve">Rua Boa Viagem</t>
  </si>
  <si>
    <t xml:space="preserve">transversal junto a rotatoria da quadra F; segmento extra contornando a quadra Z nao distinguivel individualmente, mas todo o grid aparece pavimentado</t>
  </si>
  <si>
    <t xml:space="preserve">Rua Praia do Espelho</t>
  </si>
  <si>
    <t xml:space="preserve">transversal; pista cinza com meio-fio</t>
  </si>
  <si>
    <t xml:space="preserve">Rua Jurere</t>
  </si>
  <si>
    <t xml:space="preserve">Rua Cabo Branco</t>
  </si>
  <si>
    <t xml:space="preserve">transversal no extremo oeste do grid (visivel tambem em hz_18245_O a direita); pista cinza com meio-fio</t>
  </si>
  <si>
    <t xml:space="preserve">Loteamento Pontal de Guriri II — planta nº 84</t>
  </si>
  <si>
    <t xml:space="preserve">Proprietário/empreendedor: João Bosco Cevolane Ltda   |   Matrícula: 54.633   |   Área oficial: 44.371 m²</t>
  </si>
  <si>
    <t xml:space="preserve">Pontos verificados neste loteamento: 14 (0 atribuídos a vias nomeadas + 14 na malha física sem nome no mapa). Metragem com traçado medido: 0 m; só de planta: 1.073 m. Todos os pontos estão listados na aba 'Pontos auditados'.</t>
  </si>
  <si>
    <t xml:space="preserve">Avenida Samuel Scardini</t>
  </si>
  <si>
    <t xml:space="preserve">avenida central E-W (18,5 m na planta); aberta em areia, continuacao do eixo do p70; OSM: way sem nome unpaved</t>
  </si>
  <si>
    <t xml:space="preserve">Rua Plínio Boroto</t>
  </si>
  <si>
    <t xml:space="preserve">N-S entre Q1/Q7 e Q2/Q6; aberta em areia (hz_18245_O)</t>
  </si>
  <si>
    <t xml:space="preserve">trecho curto sem ponto próprio — adotada a situação da mesma via (nome próprio, loteamento contíguo) em 3 ponto(s): p10=0%, p13=0%, p50=0%</t>
  </si>
  <si>
    <t xml:space="preserve">N-S entre Q2/Q6 e Q3/Q5; aberta em areia</t>
  </si>
  <si>
    <t xml:space="preserve">trecho curto sem ponto próprio — adotada a situação da mesma via (nome próprio, loteamento contíguo) em 1 ponto(s): p13=0%</t>
  </si>
  <si>
    <t xml:space="preserve">N-S junto a Q4; aparece so como trilha tenue na areia/vegetacao rasteira - quase nao aberta</t>
  </si>
  <si>
    <t xml:space="preserve">Rua Abilio Duque de Lima</t>
  </si>
  <si>
    <t xml:space="preserve">E-W na divisa sul (12 m na planta); corredor em areia com casas da malha antiga ao sul</t>
  </si>
  <si>
    <t xml:space="preserve">4.22 m² de calçada por metro de via (dois lados, larguras da planta)</t>
  </si>
  <si>
    <t xml:space="preserve">Os 637 pontos verificados, um a um</t>
  </si>
  <si>
    <t xml:space="preserve">Cada linha é um ponto efetivamente aberto e examinado. "Via / malha" com o prefixo (malha) indica ponto sobre traçado existente no mapa sem nome que corresponda a uma via da planta: o ponto foi verificado e entra na taxa do loteamento, mas não é creditado a uma linha de via. Coordenadas em WGS-84; para reproduzir um ponto de Street View, abra https://www.google.com/maps/@?api=1&amp;map_action=pano&amp;viewpoint=LATITUDE,LONGITUDE</t>
  </si>
  <si>
    <t xml:space="preserve">ID</t>
  </si>
  <si>
    <t xml:space="preserve">Nº lot.</t>
  </si>
  <si>
    <t xml:space="preserve">Via / malha</t>
  </si>
  <si>
    <t xml:space="preserve">Latitude</t>
  </si>
  <si>
    <t xml:space="preserve">Longitude</t>
  </si>
  <si>
    <t xml:space="preserve">Fonte</t>
  </si>
  <si>
    <t xml:space="preserve">Data da imagem</t>
  </si>
  <si>
    <t xml:space="preserve">Superfície da pista</t>
  </si>
  <si>
    <t xml:space="preserve">Conta como pavimentada?</t>
  </si>
  <si>
    <t xml:space="preserve">Calçada nas testadas</t>
  </si>
  <si>
    <t xml:space="preserve">Extensão representada (m)</t>
  </si>
  <si>
    <t xml:space="preserve">Confiança (satélite)</t>
  </si>
  <si>
    <t xml:space="preserve">Observação do verificador</t>
  </si>
  <si>
    <t xml:space="preserve">Street View</t>
  </si>
  <si>
    <t xml:space="preserve">mai/2026</t>
  </si>
  <si>
    <t xml:space="preserve">bloquete</t>
  </si>
  <si>
    <t xml:space="preserve">Sim</t>
  </si>
  <si>
    <t xml:space="preserve">Nos dois lados</t>
  </si>
  <si>
    <t xml:space="preserve">canteiro central</t>
  </si>
  <si>
    <t xml:space="preserve">nov/2023</t>
  </si>
  <si>
    <t xml:space="preserve">Em um lado</t>
  </si>
  <si>
    <t xml:space="preserve">saibro</t>
  </si>
  <si>
    <t xml:space="preserve">Nenhuma</t>
  </si>
  <si>
    <t xml:space="preserve">areia</t>
  </si>
  <si>
    <t xml:space="preserve">dez/2023</t>
  </si>
  <si>
    <t xml:space="preserve">asfalto</t>
  </si>
  <si>
    <t xml:space="preserve">asfalto antigo com trincas; canteiro central</t>
  </si>
  <si>
    <t xml:space="preserve">bloquete antigo, parcialmente coberto de areia</t>
  </si>
  <si>
    <t xml:space="preserve">lotes vazios</t>
  </si>
  <si>
    <t xml:space="preserve">areia sobre pavimento</t>
  </si>
  <si>
    <t xml:space="preserve">bloquete coberto de areia; canteiro central</t>
  </si>
  <si>
    <t xml:space="preserve">fev/2012</t>
  </si>
  <si>
    <t xml:space="preserve">lente parcialmente obstruida</t>
  </si>
  <si>
    <t xml:space="preserve">passeio novo em concreto</t>
  </si>
  <si>
    <t xml:space="preserve">canteiro central; bloquete coberto</t>
  </si>
  <si>
    <t xml:space="preserve">canteiro central; bloquete sob sedimento</t>
  </si>
  <si>
    <t xml:space="preserve">Satélite</t>
  </si>
  <si>
    <t xml:space="preserve">media</t>
  </si>
  <si>
    <t xml:space="preserve">p70 R. Vinte e Cinco; faixa bege sem meio-fio nem textura de bloquete</t>
  </si>
  <si>
    <t xml:space="preserve">p70 R. Joao Mafra Araujo; cruzamento, leito claro confundindo-se com o terreno</t>
  </si>
  <si>
    <t xml:space="preserve">Estr. das Meleiras</t>
  </si>
  <si>
    <t xml:space="preserve">via lateral a pista asfaltada</t>
  </si>
  <si>
    <t xml:space="preserve">p70 rua N-S sem nome; leito claro arenoso, bordas difusas, sem meio-fio</t>
  </si>
  <si>
    <t xml:space="preserve">bloquete coberto por areia</t>
  </si>
  <si>
    <t xml:space="preserve">p70 R. Lot. Pontal da Ilha; leito arenoso, vegetacao invadindo as bordas</t>
  </si>
  <si>
    <t xml:space="preserve">p70 cruzamento de duas vias de areia clara</t>
  </si>
  <si>
    <t xml:space="preserve">(malha) sem nome</t>
  </si>
  <si>
    <t xml:space="preserve">p84 via E-O larga, leito claro compactado</t>
  </si>
  <si>
    <t xml:space="preserve">p84 rua N-S estreita, leito claro</t>
  </si>
  <si>
    <t xml:space="preserve">p84 via E-O larga (~11 m), sem meio-fio, bordas irregulares</t>
  </si>
  <si>
    <t xml:space="preserve">p84 rua N-S entre lotes edificados, leito arenoso</t>
  </si>
  <si>
    <t xml:space="preserve">final de rua, area aberta de areia</t>
  </si>
  <si>
    <t xml:space="preserve">p84 rua N-S, faixa clara com bordas irregulares</t>
  </si>
  <si>
    <t xml:space="preserve">p84 mesma via E-O do ponto 124</t>
  </si>
  <si>
    <t xml:space="preserve">p84 rua N-S, leito claro</t>
  </si>
  <si>
    <t xml:space="preserve">mesmo pano do id 126, a 36m</t>
  </si>
  <si>
    <t xml:space="preserve">p84 faixa larga de areia amarelada com marcas de pneu, junto a avenida asfaltada</t>
  </si>
  <si>
    <t xml:space="preserve">p80 avenida E-O, linhas brancas pintadas e faixa de pedestres no cruzamento</t>
  </si>
  <si>
    <t xml:space="preserve">p80 via E-O junto ao muro norte, asfalto com meio-fio</t>
  </si>
  <si>
    <t xml:space="preserve">p80 cruzamento rua N-S x avenida E-O</t>
  </si>
  <si>
    <t xml:space="preserve">p80 avenida E-O, faixa de pedestres pintada</t>
  </si>
  <si>
    <t xml:space="preserve">p80 rua N-S pavimentada, meio-fio e sarjeta</t>
  </si>
  <si>
    <t xml:space="preserve">p80 avenida E-O com faixa de pedestres</t>
  </si>
  <si>
    <t xml:space="preserve">p80 rua N-S perimetral oeste, asfalto</t>
  </si>
  <si>
    <t xml:space="preserve">p80 via E-O norte junto ao muro, asfalto</t>
  </si>
  <si>
    <t xml:space="preserve">p80 rua N-S asfaltada</t>
  </si>
  <si>
    <t xml:space="preserve">p80 avenida E-O no encontro com o calcadao central</t>
  </si>
  <si>
    <t xml:space="preserve">p80 via E-O asfaltada, faixa de pedestres junto ao calcadao</t>
  </si>
  <si>
    <t xml:space="preserve">p80 avenida E-O asfaltada</t>
  </si>
  <si>
    <t xml:space="preserve">p80 via E-O asfaltada</t>
  </si>
  <si>
    <t xml:space="preserve">p80 rotatoria asfaltada com sinalizacao horizontal pintada</t>
  </si>
  <si>
    <t xml:space="preserve">p80 aproximacao sudoeste da rotatoria</t>
  </si>
  <si>
    <t xml:space="preserve">p80 via curva asfaltada no limite sul-leste do loteamento</t>
  </si>
  <si>
    <t xml:space="preserve">p80 via E-O junto ao muro norte, trecho do clube</t>
  </si>
  <si>
    <t xml:space="preserve">p80 aproximacao norte da rotatoria, faixa de pedestres pintada</t>
  </si>
  <si>
    <t xml:space="preserve">p80 via N-S asfaltada ao norte da curva sul</t>
  </si>
  <si>
    <t xml:space="preserve">p80 aproximacao sul/leste da rotatoria, faixa de pedestres</t>
  </si>
  <si>
    <t xml:space="preserve">p80 avenida E-O leste (trecho do clube), asfalto com sinalizacao</t>
  </si>
  <si>
    <t xml:space="preserve">p80 trecho leste da rotatoria, asfalto</t>
  </si>
  <si>
    <t xml:space="preserve">rodovia ES-010, pista dupla</t>
  </si>
  <si>
    <t xml:space="preserve">ES-010, passeio/calcadao na orla</t>
  </si>
  <si>
    <t xml:space="preserve">pano a 17m</t>
  </si>
  <si>
    <t xml:space="preserve">leito indefinido, terreno aberto</t>
  </si>
  <si>
    <t xml:space="preserve">pano a 26m na R. Trinta e Dois</t>
  </si>
  <si>
    <t xml:space="preserve">bloquete cor de areia, parcialmente coberto</t>
  </si>
  <si>
    <t xml:space="preserve">imagem antiga (2012)</t>
  </si>
  <si>
    <t xml:space="preserve">ciclovia/passeio vermelho no canteiro central</t>
  </si>
  <si>
    <t xml:space="preserve">ciclovia vermelha; so um lado visivel</t>
  </si>
  <si>
    <t xml:space="preserve">vista lateral</t>
  </si>
  <si>
    <t xml:space="preserve">meio-fio executado</t>
  </si>
  <si>
    <t xml:space="preserve">pano a 37m</t>
  </si>
  <si>
    <t xml:space="preserve">nov/2013</t>
  </si>
  <si>
    <t xml:space="preserve">rua perimetral oeste do loteamento; leito pouco definido/vegetado</t>
  </si>
  <si>
    <t xml:space="preserve">leito estreito entre lote murado e campo aberto</t>
  </si>
  <si>
    <t xml:space="preserve">corredor aberto porem pouco trafegado e parcialmente vegetado</t>
  </si>
  <si>
    <t xml:space="preserve">R. Edith Laura Moreira D'Almeida</t>
  </si>
  <si>
    <t xml:space="preserve">via apenas demarcada em campo aberto</t>
  </si>
  <si>
    <t xml:space="preserve">leito aberto em areia, bordas difusas, vegetacao invadindo</t>
  </si>
  <si>
    <t xml:space="preserve">trecho parcialmente encoberto por copas</t>
  </si>
  <si>
    <t xml:space="preserve">pano a 30m</t>
  </si>
  <si>
    <t xml:space="preserve">pano a 28m</t>
  </si>
  <si>
    <t xml:space="preserve">pano a 31m; imagem antiga</t>
  </si>
  <si>
    <t xml:space="preserve">imagem antiga</t>
  </si>
  <si>
    <t xml:space="preserve">esquina c/ Av. Esbertalina (bloquete); rua sem nome e de areia</t>
  </si>
  <si>
    <t xml:space="preserve">av. c/ ciclovia; faixa lateral pavimentada so de um lado</t>
  </si>
  <si>
    <t xml:space="preserve">Av. Oceano Atlantico: leito de areia entre dunas/restinga</t>
  </si>
  <si>
    <t xml:space="preserve">meio-fio presente</t>
  </si>
  <si>
    <t xml:space="preserve">faixa cinza-clara uniforme continua com R. Vitoria (bloquete confirmado em SV no mesmo enquadramento)</t>
  </si>
  <si>
    <t xml:space="preserve">mesmo tom/geometria de R. Florianopolis (bloquete confirmado em SV) no mesmo enquadramento</t>
  </si>
  <si>
    <t xml:space="preserve">pista parcialmente encoberta por vegetacao</t>
  </si>
  <si>
    <t xml:space="preserve">pano ~22m a leste, avenida com canteiro central</t>
  </si>
  <si>
    <t xml:space="preserve">pano ~21m a leste, avenida com canteiro central</t>
  </si>
  <si>
    <t xml:space="preserve">faixa cinza-clara uniforme, bordas retas; identica a R. Joao Pessoa (bloquete confirmado em SV) no mesmo enquadramento</t>
  </si>
  <si>
    <t xml:space="preserve">pano ~25m a leste, avenida com canteiro central</t>
  </si>
  <si>
    <t xml:space="preserve">mesma faixa continua do ponto 373 da R. Belem, bloquete confirmado em SV</t>
  </si>
  <si>
    <t xml:space="preserve">R. Macapa: faixa tom areia sob a linha de arvores, borda inferior difusa; contrasta com R. Belem e Av. Conceicao da Barra (cinza/bloquete) no mesmo enquadramento</t>
  </si>
  <si>
    <t xml:space="preserve">R. Sao Paulo: faixa N-S cinza uniforme, contínua com Maceio/Natal/Recife</t>
  </si>
  <si>
    <t xml:space="preserve">R. Rio de Janeiro: faixa N-S cinza de largura constante, contínua com Recife/Cuiaba/Salvador</t>
  </si>
  <si>
    <t xml:space="preserve">R. Belo Horizonte: faixa N-S cinza uniforme</t>
  </si>
  <si>
    <t xml:space="preserve">rua sem nome na borda sul do loteamento, leito de areia em quadras nao ocupadas</t>
  </si>
  <si>
    <t xml:space="preserve">corredor N-S de terra/areia entre lotes (Joao Pessoa a Cuiaba), cruzado pelas ruas pavimentadas</t>
  </si>
  <si>
    <t xml:space="preserve">leito de areia com marcas de pneu; mesmo aspecto do ponto 392 (areia confirmada em SV)</t>
  </si>
  <si>
    <t xml:space="preserve">pano a 40m</t>
  </si>
  <si>
    <t xml:space="preserve">(malha) Rua Rio de Janeiro</t>
  </si>
  <si>
    <t xml:space="preserve">trilha arenosa estreita; ponto na borda do leito</t>
  </si>
  <si>
    <t xml:space="preserve">via leste-oeste continua, leito arenoso com marcas de pneu</t>
  </si>
  <si>
    <t xml:space="preserve">R. Dois</t>
  </si>
  <si>
    <t xml:space="preserve">pano a 45m</t>
  </si>
  <si>
    <t xml:space="preserve">pano a 44m</t>
  </si>
  <si>
    <t xml:space="preserve">bloquete coberto de areia</t>
  </si>
  <si>
    <t xml:space="preserve">loteamento novo; pista cinza homogenea, meio-fio/sarjeta e faixa de pedestre pintada</t>
  </si>
  <si>
    <t xml:space="preserve">via de terra incipiente</t>
  </si>
  <si>
    <t xml:space="preserve">faixa de pedestre e linha de retencao pintadas na aproximacao</t>
  </si>
  <si>
    <t xml:space="preserve">via incipiente</t>
  </si>
  <si>
    <t xml:space="preserve">pista alagada</t>
  </si>
  <si>
    <t xml:space="preserve">orla ES-010, bloquete cor de areia</t>
  </si>
  <si>
    <t xml:space="preserve">via marginal junto a ES-010</t>
  </si>
  <si>
    <t xml:space="preserve">orla ES-010</t>
  </si>
  <si>
    <t xml:space="preserve">nov/2025</t>
  </si>
  <si>
    <t xml:space="preserve">bloquete parc. coberto de areia</t>
  </si>
  <si>
    <t xml:space="preserve">pav. nova com ciclovia; bloquete sob areia</t>
  </si>
  <si>
    <t xml:space="preserve">bloquete sob areia; ciclovia</t>
  </si>
  <si>
    <t xml:space="preserve">canteiro central; bloquete sob areia</t>
  </si>
  <si>
    <t xml:space="preserve">ponto junto a praça com piso intertravado</t>
  </si>
  <si>
    <t xml:space="preserve">esquina c/ avenida; rua vira terra ao fundo</t>
  </si>
  <si>
    <t xml:space="preserve">orla; blocos sob areia</t>
  </si>
  <si>
    <t xml:space="preserve">orla</t>
  </si>
  <si>
    <t xml:space="preserve">bloquete sextavado parc. coberto de areia</t>
  </si>
  <si>
    <t xml:space="preserve">lado praia com calçadão+ciclovia; lado lotes só grama</t>
  </si>
  <si>
    <t xml:space="preserve">areia sobre pavimento no cruzamento</t>
  </si>
  <si>
    <t xml:space="preserve">ES-010 / Av. Gov. Eurico Vieira de Rezende; pista larga escura no centro comercial de Guriri</t>
  </si>
  <si>
    <t xml:space="preserve">pista oposta em asfalto; canteiro central</t>
  </si>
  <si>
    <t xml:space="preserve">cruzamento com via de bloquete</t>
  </si>
  <si>
    <t xml:space="preserve">areia sobre blocos; pista dupla</t>
  </si>
  <si>
    <t xml:space="preserve">areia parcial sobre blocos</t>
  </si>
  <si>
    <t xml:space="preserve">areia sobre blocos</t>
  </si>
  <si>
    <t xml:space="preserve">asfalto desgastado com areia; junto à praça</t>
  </si>
  <si>
    <t xml:space="preserve">lado praia com material de pavimentação empilhado</t>
  </si>
  <si>
    <t xml:space="preserve">bloquete cor de areia</t>
  </si>
  <si>
    <t xml:space="preserve">fim de pavimento no ponto; adiante areia</t>
  </si>
  <si>
    <t xml:space="preserve">(malha) Calçadão Guriri</t>
  </si>
  <si>
    <t xml:space="preserve">calçadão de pedestres</t>
  </si>
  <si>
    <t xml:space="preserve">calçadão de pedestres; ciclovia ao lado</t>
  </si>
  <si>
    <t xml:space="preserve">calcadas em trechos</t>
  </si>
  <si>
    <t xml:space="preserve">pano a 54m, na R. Elis Regina</t>
  </si>
  <si>
    <t xml:space="preserve">vista lateral, terreno vago</t>
  </si>
  <si>
    <t xml:space="preserve">pontos verificados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</si>
</sst>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"/>
    <numFmt numFmtId="166" formatCode="0.0%"/>
    <numFmt numFmtId="167" formatCode="0%"/>
    <numFmt numFmtId="168" formatCode="#,##0.0"/>
    <numFmt numFmtId="169" formatCode="0.0"/>
    <numFmt numFmtId="170" formatCode="0.000000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9"/>
      <name val="Arial"/>
      <family val="0"/>
      <charset val="1"/>
    </font>
    <font>
      <sz val="8.5"/>
      <color rgb="FF000000"/>
      <name val="Arial"/>
      <family val="0"/>
      <charset val="1"/>
    </font>
    <font>
      <i val="true"/>
      <sz val="8.5"/>
      <color rgb="FF777777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8"/>
      <name val="Arial"/>
      <family val="0"/>
      <charset val="1"/>
    </font>
    <font>
      <b val="true"/>
      <sz val="9"/>
      <name val="Arial"/>
      <family val="0"/>
      <charset val="1"/>
    </font>
    <font>
      <sz val="8"/>
      <name val="Arial"/>
      <family val="0"/>
      <charset val="1"/>
    </font>
    <font>
      <b val="true"/>
      <sz val="13"/>
      <color rgb="FF1F4E79"/>
      <name val="Arial"/>
      <family val="0"/>
      <charset val="1"/>
    </font>
    <font>
      <i val="true"/>
      <sz val="8"/>
      <color rgb="FF777777"/>
      <name val="Arial"/>
      <family val="0"/>
      <charset val="1"/>
    </font>
    <font>
      <b val="true"/>
      <sz val="9"/>
      <color rgb="FF000000"/>
      <name val="Arial"/>
      <family val="0"/>
      <charset val="1"/>
    </font>
    <font>
      <b val="true"/>
      <sz val="9"/>
      <color rgb="FF0000FF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FF2CC"/>
        <bgColor rgb="FFFFE8B3"/>
      </patternFill>
    </fill>
    <fill>
      <patternFill patternType="solid">
        <fgColor rgb="FFDDEBF7"/>
        <bgColor rgb="FFD9D9D9"/>
      </patternFill>
    </fill>
    <fill>
      <patternFill patternType="solid">
        <fgColor rgb="FFC6EFCE"/>
        <bgColor rgb="FFDDEBF7"/>
      </patternFill>
    </fill>
    <fill>
      <patternFill patternType="solid">
        <fgColor rgb="FFF8CBAD"/>
        <bgColor rgb="FFFFE8B3"/>
      </patternFill>
    </fill>
    <fill>
      <patternFill patternType="solid">
        <fgColor rgb="FFFFE8B3"/>
        <bgColor rgb="FFFFF2CC"/>
      </patternFill>
    </fill>
    <fill>
      <patternFill patternType="solid">
        <fgColor rgb="FFD9D9D9"/>
        <bgColor rgb="FFDDEBF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F4E79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F8CBAD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77777"/>
      <rgbColor rgb="FF9999FF"/>
      <rgbColor rgb="FF993366"/>
      <rgbColor rgb="FFFFF2CC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8B3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3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3" min="2" style="0" width="28"/>
    <col collapsed="false" customWidth="true" hidden="false" outlineLevel="0" max="4" min="4" style="0" width="17"/>
    <col collapsed="false" customWidth="true" hidden="false" outlineLevel="0" max="5" min="5" style="0" width="12"/>
    <col collapsed="false" customWidth="true" hidden="false" outlineLevel="0" max="6" min="6" style="0" width="8"/>
    <col collapsed="false" customWidth="true" hidden="false" outlineLevel="0" max="8" min="7" style="0" width="13"/>
    <col collapsed="false" customWidth="true" hidden="false" outlineLevel="0" max="9" min="9" style="0" width="11"/>
    <col collapsed="false" customWidth="true" hidden="false" outlineLevel="0" max="10" min="10" style="0" width="13"/>
    <col collapsed="false" customWidth="true" hidden="false" outlineLevel="0" max="11" min="11" style="0" width="15"/>
    <col collapsed="false" customWidth="true" hidden="false" outlineLevel="0" max="12" min="12" style="0" width="14"/>
    <col collapsed="false" customWidth="true" hidden="false" outlineLevel="0" max="14" min="13" style="0" width="13"/>
    <col collapsed="false" customWidth="true" hidden="false" outlineLevel="0" max="15" min="15" style="0" width="11"/>
    <col collapsed="false" customWidth="true" hidden="false" outlineLevel="0" max="16" min="16" style="0" width="30"/>
    <col collapsed="false" customWidth="true" hidden="false" outlineLevel="0" max="18" min="17" style="0" width="10"/>
    <col collapsed="false" customWidth="true" hidden="false" outlineLevel="0" max="19" min="19" style="0" width="9"/>
    <col collapsed="false" customWidth="true" hidden="false" outlineLevel="0" max="20" min="20" style="0" width="13"/>
    <col collapsed="false" customWidth="true" hidden="false" outlineLevel="0" max="21" min="21" style="0" width="14"/>
    <col collapsed="false" customWidth="true" hidden="false" outlineLevel="0" max="22" min="22" style="0" width="15"/>
    <col collapsed="false" customWidth="true" hidden="false" outlineLevel="0" max="23" min="23" style="0" width="16"/>
  </cols>
  <sheetData>
    <row r="1" customFormat="false" ht="17.35" hidden="false" customHeight="false" outlineLevel="0" collapsed="false">
      <c r="A1" s="1" t="s">
        <v>0</v>
      </c>
    </row>
    <row r="2" customFormat="false" ht="45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customFormat="false" ht="45.7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5" customFormat="false" ht="32.8" hidden="false" customHeight="fals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  <c r="L5" s="4" t="s">
        <v>14</v>
      </c>
      <c r="M5" s="4" t="s">
        <v>15</v>
      </c>
      <c r="N5" s="4" t="s">
        <v>16</v>
      </c>
      <c r="O5" s="4" t="s">
        <v>17</v>
      </c>
      <c r="P5" s="4" t="s">
        <v>18</v>
      </c>
      <c r="Q5" s="4" t="s">
        <v>19</v>
      </c>
      <c r="R5" s="4" t="s">
        <v>20</v>
      </c>
      <c r="S5" s="4" t="s">
        <v>21</v>
      </c>
      <c r="T5" s="4" t="s">
        <v>22</v>
      </c>
      <c r="U5" s="4" t="s">
        <v>23</v>
      </c>
      <c r="V5" s="4" t="s">
        <v>24</v>
      </c>
      <c r="W5" s="4" t="s">
        <v>25</v>
      </c>
    </row>
    <row r="6" customFormat="false" ht="15" hidden="false" customHeight="false" outlineLevel="0" collapsed="false">
      <c r="A6" s="5" t="n">
        <v>7</v>
      </c>
      <c r="B6" s="5" t="s">
        <v>26</v>
      </c>
      <c r="C6" s="5" t="s">
        <v>27</v>
      </c>
      <c r="D6" s="5" t="s">
        <v>28</v>
      </c>
      <c r="E6" s="6" t="n">
        <v>578500</v>
      </c>
      <c r="F6" s="6" t="n">
        <v>20</v>
      </c>
      <c r="G6" s="6" t="n">
        <f aca="false">'07 Balneário de Guriri'!B26</f>
        <v>16241.4</v>
      </c>
      <c r="H6" s="6" t="n">
        <f aca="false">'07 Balneário de Guriri'!E26</f>
        <v>9731.3</v>
      </c>
      <c r="I6" s="7" t="n">
        <f aca="false">IF(G6=0,0,H6/G6)</f>
        <v>0.599166328025909</v>
      </c>
      <c r="J6" s="6" t="n">
        <f aca="false">'07 Balneário de Guriri'!F26</f>
        <v>6510.1</v>
      </c>
      <c r="K6" s="6" t="n">
        <f aca="false">'07 Balneário de Guriri'!D28</f>
        <v>52083</v>
      </c>
      <c r="L6" s="6" t="n">
        <f aca="false">'07 Balneário de Guriri'!D29</f>
        <v>52080.8</v>
      </c>
      <c r="M6" s="6" t="n">
        <f aca="false">'07 Balneário de Guriri'!D32</f>
        <v>6496.56</v>
      </c>
      <c r="N6" s="6" t="n">
        <f aca="false">'07 Balneário de Guriri'!D33</f>
        <v>25986</v>
      </c>
      <c r="O6" s="8" t="n">
        <v>0.6</v>
      </c>
      <c r="P6" s="9" t="s">
        <v>29</v>
      </c>
      <c r="Q6" s="6" t="n">
        <v>54</v>
      </c>
      <c r="R6" s="6" t="n">
        <v>4</v>
      </c>
      <c r="S6" s="6" t="n">
        <v>58</v>
      </c>
      <c r="T6" s="6" t="n">
        <v>16241</v>
      </c>
      <c r="U6" s="6" t="n">
        <v>0</v>
      </c>
      <c r="V6" s="6" t="n">
        <v>6510</v>
      </c>
      <c r="W6" s="6" t="n">
        <v>0</v>
      </c>
    </row>
    <row r="7" customFormat="false" ht="15" hidden="false" customHeight="false" outlineLevel="0" collapsed="false">
      <c r="A7" s="5" t="n">
        <v>9</v>
      </c>
      <c r="B7" s="5" t="s">
        <v>30</v>
      </c>
      <c r="C7" s="5" t="s">
        <v>31</v>
      </c>
      <c r="D7" s="5" t="s">
        <v>32</v>
      </c>
      <c r="E7" s="6" t="n">
        <v>1728555</v>
      </c>
      <c r="F7" s="6" t="n">
        <v>40</v>
      </c>
      <c r="G7" s="6" t="n">
        <f aca="false">'09 Bosque da Praia'!B46</f>
        <v>36392.4</v>
      </c>
      <c r="H7" s="6" t="n">
        <f aca="false">'09 Bosque da Praia'!E46</f>
        <v>0</v>
      </c>
      <c r="I7" s="7" t="n">
        <f aca="false">IF(G7=0,0,H7/G7)</f>
        <v>0</v>
      </c>
      <c r="J7" s="6" t="n">
        <f aca="false">'09 Bosque da Praia'!F46</f>
        <v>36392.4</v>
      </c>
      <c r="K7" s="6" t="n">
        <f aca="false">'09 Bosque da Praia'!D48</f>
        <v>335689</v>
      </c>
      <c r="L7" s="6" t="n">
        <f aca="false">'09 Bosque da Praia'!D49</f>
        <v>291139.2</v>
      </c>
      <c r="M7" s="6" t="n">
        <f aca="false">'09 Bosque da Praia'!D52</f>
        <v>32796.28</v>
      </c>
      <c r="N7" s="6" t="n">
        <f aca="false">'09 Bosque da Praia'!D53</f>
        <v>131185</v>
      </c>
      <c r="O7" s="8" t="n">
        <v>0.05</v>
      </c>
      <c r="P7" s="9" t="s">
        <v>33</v>
      </c>
      <c r="Q7" s="6" t="n">
        <v>3</v>
      </c>
      <c r="R7" s="6" t="n">
        <v>24</v>
      </c>
      <c r="S7" s="6" t="n">
        <v>27</v>
      </c>
      <c r="T7" s="6" t="n">
        <v>942</v>
      </c>
      <c r="U7" s="6" t="n">
        <v>35450</v>
      </c>
      <c r="V7" s="6" t="n">
        <v>942</v>
      </c>
      <c r="W7" s="6" t="n">
        <v>35450</v>
      </c>
    </row>
    <row r="8" customFormat="false" ht="15" hidden="false" customHeight="false" outlineLevel="0" collapsed="false">
      <c r="A8" s="5" t="n">
        <v>10</v>
      </c>
      <c r="B8" s="5" t="s">
        <v>34</v>
      </c>
      <c r="C8" s="5" t="s">
        <v>35</v>
      </c>
      <c r="D8" s="5" t="s">
        <v>36</v>
      </c>
      <c r="E8" s="6" t="n">
        <v>757170</v>
      </c>
      <c r="F8" s="6" t="n">
        <v>32</v>
      </c>
      <c r="G8" s="6" t="n">
        <f aca="false">'10 Parque dos Albatrozes'!B38</f>
        <v>17996.4</v>
      </c>
      <c r="H8" s="6" t="n">
        <f aca="false">'10 Parque dos Albatrozes'!E38</f>
        <v>5685.3</v>
      </c>
      <c r="I8" s="7" t="n">
        <f aca="false">IF(G8=0,0,H8/G8)</f>
        <v>0.315913182636527</v>
      </c>
      <c r="J8" s="6" t="n">
        <f aca="false">'10 Parque dos Albatrozes'!F38</f>
        <v>12311.1</v>
      </c>
      <c r="K8" s="6" t="n">
        <f aca="false">'10 Parque dos Albatrozes'!D40</f>
        <v>104760</v>
      </c>
      <c r="L8" s="6" t="n">
        <f aca="false">'10 Parque dos Albatrozes'!D41</f>
        <v>98488.8</v>
      </c>
      <c r="M8" s="6" t="n">
        <f aca="false">'10 Parque dos Albatrozes'!D44</f>
        <v>8458.308</v>
      </c>
      <c r="N8" s="6" t="n">
        <f aca="false">'10 Parque dos Albatrozes'!D45</f>
        <v>33833</v>
      </c>
      <c r="O8" s="8" t="n">
        <v>0.53</v>
      </c>
      <c r="P8" s="9" t="s">
        <v>37</v>
      </c>
      <c r="Q8" s="6" t="n">
        <v>54</v>
      </c>
      <c r="R8" s="6" t="n">
        <v>0</v>
      </c>
      <c r="S8" s="6" t="n">
        <v>54</v>
      </c>
      <c r="T8" s="6" t="n">
        <v>17996</v>
      </c>
      <c r="U8" s="6" t="n">
        <v>0</v>
      </c>
      <c r="V8" s="6" t="n">
        <v>12311</v>
      </c>
      <c r="W8" s="6" t="n">
        <v>0</v>
      </c>
    </row>
    <row r="9" customFormat="false" ht="15" hidden="false" customHeight="false" outlineLevel="0" collapsed="false">
      <c r="A9" s="5" t="n">
        <v>13</v>
      </c>
      <c r="B9" s="5" t="s">
        <v>38</v>
      </c>
      <c r="C9" s="5" t="s">
        <v>39</v>
      </c>
      <c r="D9" s="5" t="s">
        <v>40</v>
      </c>
      <c r="E9" s="6" t="n">
        <v>625209.2</v>
      </c>
      <c r="F9" s="6" t="n">
        <v>40</v>
      </c>
      <c r="G9" s="6" t="n">
        <f aca="false">'13 Praia de Guriri'!B46</f>
        <v>12416.1</v>
      </c>
      <c r="H9" s="6" t="n">
        <f aca="false">'13 Praia de Guriri'!E46</f>
        <v>2691.3</v>
      </c>
      <c r="I9" s="7" t="n">
        <f aca="false">IF(G9=0,0,H9/G9)</f>
        <v>0.216758885640419</v>
      </c>
      <c r="J9" s="6" t="n">
        <f aca="false">'13 Praia de Guriri'!F46</f>
        <v>9724.8</v>
      </c>
      <c r="K9" s="6" t="n">
        <f aca="false">'13 Praia de Guriri'!D48</f>
        <v>77796</v>
      </c>
      <c r="L9" s="6" t="n">
        <f aca="false">'13 Praia de Guriri'!D49</f>
        <v>77798.4</v>
      </c>
      <c r="M9" s="6" t="n">
        <f aca="false">'13 Praia de Guriri'!D52</f>
        <v>9063.753</v>
      </c>
      <c r="N9" s="6" t="n">
        <f aca="false">'13 Praia de Guriri'!D53</f>
        <v>36255</v>
      </c>
      <c r="O9" s="8" t="n">
        <v>0.27</v>
      </c>
      <c r="P9" s="9" t="s">
        <v>41</v>
      </c>
      <c r="Q9" s="6" t="n">
        <v>57</v>
      </c>
      <c r="R9" s="6" t="n">
        <v>0</v>
      </c>
      <c r="S9" s="6" t="n">
        <v>57</v>
      </c>
      <c r="T9" s="6" t="n">
        <v>12416</v>
      </c>
      <c r="U9" s="6" t="n">
        <v>0</v>
      </c>
      <c r="V9" s="6" t="n">
        <v>9725</v>
      </c>
      <c r="W9" s="6" t="n">
        <v>0</v>
      </c>
    </row>
    <row r="10" customFormat="false" ht="15" hidden="false" customHeight="false" outlineLevel="0" collapsed="false">
      <c r="A10" s="5" t="n">
        <v>14</v>
      </c>
      <c r="B10" s="5" t="s">
        <v>42</v>
      </c>
      <c r="C10" s="5" t="s">
        <v>43</v>
      </c>
      <c r="D10" s="5" t="s">
        <v>44</v>
      </c>
      <c r="E10" s="6" t="n">
        <v>1141457.92</v>
      </c>
      <c r="F10" s="6" t="n">
        <v>48</v>
      </c>
      <c r="G10" s="6" t="n">
        <f aca="false">'14 Jardim das Caiçaras'!B54</f>
        <v>21907.8</v>
      </c>
      <c r="H10" s="6" t="n">
        <f aca="false">'14 Jardim das Caiçaras'!E54</f>
        <v>3731.2</v>
      </c>
      <c r="I10" s="7" t="n">
        <f aca="false">IF(G10=0,0,H10/G10)</f>
        <v>0.170313769525009</v>
      </c>
      <c r="J10" s="6" t="n">
        <f aca="false">'14 Jardim das Caiçaras'!F54</f>
        <v>18176.6</v>
      </c>
      <c r="K10" s="6" t="n">
        <f aca="false">'14 Jardim das Caiçaras'!D56</f>
        <v>145416</v>
      </c>
      <c r="L10" s="6" t="n">
        <f aca="false">'14 Jardim das Caiçaras'!D57</f>
        <v>145412.8</v>
      </c>
      <c r="M10" s="6" t="n">
        <f aca="false">'14 Jardim das Caiçaras'!D60</f>
        <v>18402.552</v>
      </c>
      <c r="N10" s="6" t="n">
        <f aca="false">'14 Jardim das Caiçaras'!D61</f>
        <v>73610</v>
      </c>
      <c r="O10" s="8" t="n">
        <v>0.16</v>
      </c>
      <c r="P10" s="9" t="s">
        <v>45</v>
      </c>
      <c r="Q10" s="6" t="n">
        <v>78</v>
      </c>
      <c r="R10" s="6" t="n">
        <v>0</v>
      </c>
      <c r="S10" s="6" t="n">
        <v>78</v>
      </c>
      <c r="T10" s="6" t="n">
        <v>21908</v>
      </c>
      <c r="U10" s="6" t="n">
        <v>0</v>
      </c>
      <c r="V10" s="6" t="n">
        <v>18177</v>
      </c>
      <c r="W10" s="6" t="n">
        <v>0</v>
      </c>
    </row>
    <row r="11" customFormat="false" ht="15" hidden="false" customHeight="false" outlineLevel="0" collapsed="false">
      <c r="A11" s="5" t="n">
        <v>15</v>
      </c>
      <c r="B11" s="5" t="s">
        <v>46</v>
      </c>
      <c r="C11" s="5" t="s">
        <v>47</v>
      </c>
      <c r="D11" s="5" t="s">
        <v>48</v>
      </c>
      <c r="E11" s="6" t="n">
        <v>122213.92</v>
      </c>
      <c r="F11" s="6" t="n">
        <v>13</v>
      </c>
      <c r="G11" s="6" t="n">
        <f aca="false">'15 Morada do Sol'!B19</f>
        <v>3114.8</v>
      </c>
      <c r="H11" s="6" t="n">
        <f aca="false">'15 Morada do Sol'!E19</f>
        <v>514.4</v>
      </c>
      <c r="I11" s="7" t="n">
        <f aca="false">IF(G11=0,0,H11/G11)</f>
        <v>0.165147039938359</v>
      </c>
      <c r="J11" s="6" t="n">
        <f aca="false">'15 Morada do Sol'!F19</f>
        <v>2600.4</v>
      </c>
      <c r="K11" s="6" t="n">
        <f aca="false">'15 Morada do Sol'!D21</f>
        <v>20801</v>
      </c>
      <c r="L11" s="6" t="n">
        <f aca="false">'15 Morada do Sol'!D22</f>
        <v>20803.2</v>
      </c>
      <c r="M11" s="6" t="n">
        <f aca="false">'15 Morada do Sol'!D25</f>
        <v>1993.472</v>
      </c>
      <c r="N11" s="6" t="n">
        <f aca="false">'15 Morada do Sol'!D26</f>
        <v>7974</v>
      </c>
      <c r="O11" s="8" t="n">
        <v>0.36</v>
      </c>
      <c r="P11" s="9" t="s">
        <v>49</v>
      </c>
      <c r="Q11" s="6" t="n">
        <v>15</v>
      </c>
      <c r="R11" s="6" t="n">
        <v>0</v>
      </c>
      <c r="S11" s="6" t="n">
        <v>15</v>
      </c>
      <c r="T11" s="6" t="n">
        <v>3115</v>
      </c>
      <c r="U11" s="6" t="n">
        <v>0</v>
      </c>
      <c r="V11" s="6" t="n">
        <v>2600</v>
      </c>
      <c r="W11" s="6" t="n">
        <v>0</v>
      </c>
    </row>
    <row r="12" customFormat="false" ht="15" hidden="false" customHeight="false" outlineLevel="0" collapsed="false">
      <c r="A12" s="5" t="n">
        <v>25</v>
      </c>
      <c r="B12" s="5" t="s">
        <v>50</v>
      </c>
      <c r="C12" s="5" t="s">
        <v>51</v>
      </c>
      <c r="D12" s="5" t="s">
        <v>52</v>
      </c>
      <c r="E12" s="6" t="n">
        <v>557784.5</v>
      </c>
      <c r="F12" s="6" t="n">
        <v>31</v>
      </c>
      <c r="G12" s="6" t="n">
        <f aca="false">'25 Park Res. Oitizeiro'!B37</f>
        <v>13895.5</v>
      </c>
      <c r="H12" s="6" t="n">
        <f aca="false">'25 Park Res. Oitizeiro'!E37</f>
        <v>752.2</v>
      </c>
      <c r="I12" s="7" t="n">
        <f aca="false">IF(G12=0,0,H12/G12)</f>
        <v>0.0541326328667554</v>
      </c>
      <c r="J12" s="6" t="n">
        <f aca="false">'25 Park Res. Oitizeiro'!F37</f>
        <v>13143.3</v>
      </c>
      <c r="K12" s="6" t="n">
        <f aca="false">'25 Park Res. Oitizeiro'!D39</f>
        <v>110278</v>
      </c>
      <c r="L12" s="6" t="n">
        <f aca="false">'25 Park Res. Oitizeiro'!D40</f>
        <v>105146.4</v>
      </c>
      <c r="M12" s="6" t="n">
        <f aca="false">'25 Park Res. Oitizeiro'!D43</f>
        <v>7781.48</v>
      </c>
      <c r="N12" s="6" t="n">
        <f aca="false">'25 Park Res. Oitizeiro'!D44</f>
        <v>31756</v>
      </c>
      <c r="O12" s="8" t="n">
        <v>0.44</v>
      </c>
      <c r="P12" s="9" t="s">
        <v>53</v>
      </c>
      <c r="Q12" s="6" t="n">
        <v>41</v>
      </c>
      <c r="R12" s="6" t="n">
        <v>0</v>
      </c>
      <c r="S12" s="6" t="n">
        <v>41</v>
      </c>
      <c r="T12" s="6" t="n">
        <v>13896</v>
      </c>
      <c r="U12" s="6" t="n">
        <v>0</v>
      </c>
      <c r="V12" s="6" t="n">
        <v>13143</v>
      </c>
      <c r="W12" s="6" t="n">
        <v>0</v>
      </c>
    </row>
    <row r="13" customFormat="false" ht="15" hidden="false" customHeight="false" outlineLevel="0" collapsed="false">
      <c r="A13" s="5" t="n">
        <v>27</v>
      </c>
      <c r="B13" s="5" t="s">
        <v>54</v>
      </c>
      <c r="C13" s="5" t="s">
        <v>55</v>
      </c>
      <c r="D13" s="5" t="s">
        <v>56</v>
      </c>
      <c r="E13" s="6" t="n">
        <v>387200</v>
      </c>
      <c r="F13" s="6" t="n">
        <v>35</v>
      </c>
      <c r="G13" s="6" t="n">
        <f aca="false">'27 Res. Mar Aberto'!B41</f>
        <v>6839</v>
      </c>
      <c r="H13" s="6" t="n">
        <f aca="false">'27 Res. Mar Aberto'!E41</f>
        <v>626.2</v>
      </c>
      <c r="I13" s="7" t="n">
        <f aca="false">IF(G13=0,0,H13/G13)</f>
        <v>0.0915630940195935</v>
      </c>
      <c r="J13" s="6" t="n">
        <f aca="false">'27 Res. Mar Aberto'!F41</f>
        <v>6212.8</v>
      </c>
      <c r="K13" s="6" t="n">
        <f aca="false">'27 Res. Mar Aberto'!D43</f>
        <v>68341</v>
      </c>
      <c r="L13" s="6" t="n">
        <f aca="false">'27 Res. Mar Aberto'!D44</f>
        <v>49702.4</v>
      </c>
      <c r="M13" s="6" t="n">
        <f aca="false">'27 Res. Mar Aberto'!D47</f>
        <v>6702.22</v>
      </c>
      <c r="N13" s="6" t="n">
        <f aca="false">'27 Res. Mar Aberto'!D48</f>
        <v>33511</v>
      </c>
      <c r="O13" s="8" t="n">
        <v>0.02</v>
      </c>
      <c r="P13" s="9" t="s">
        <v>57</v>
      </c>
      <c r="Q13" s="6" t="n">
        <v>8</v>
      </c>
      <c r="R13" s="6" t="n">
        <v>25</v>
      </c>
      <c r="S13" s="6" t="n">
        <v>33</v>
      </c>
      <c r="T13" s="6" t="n">
        <v>2731</v>
      </c>
      <c r="U13" s="6" t="n">
        <v>4108</v>
      </c>
      <c r="V13" s="6" t="n">
        <v>2220</v>
      </c>
      <c r="W13" s="6" t="n">
        <v>3993</v>
      </c>
    </row>
    <row r="14" customFormat="false" ht="15" hidden="false" customHeight="false" outlineLevel="0" collapsed="false">
      <c r="A14" s="5" t="n">
        <v>31</v>
      </c>
      <c r="B14" s="5" t="s">
        <v>58</v>
      </c>
      <c r="C14" s="5" t="s">
        <v>59</v>
      </c>
      <c r="D14" s="5" t="s">
        <v>60</v>
      </c>
      <c r="E14" s="6" t="n">
        <v>70180</v>
      </c>
      <c r="F14" s="6" t="n">
        <v>10</v>
      </c>
      <c r="G14" s="6" t="n">
        <f aca="false">'31 Melhorini Res. Parque'!B16</f>
        <v>1520.9</v>
      </c>
      <c r="H14" s="6" t="n">
        <f aca="false">'31 Melhorini Res. Parque'!E16</f>
        <v>339.3</v>
      </c>
      <c r="I14" s="7" t="n">
        <f aca="false">IF(G14=0,0,H14/G14)</f>
        <v>0.223091590505622</v>
      </c>
      <c r="J14" s="6" t="n">
        <f aca="false">'31 Melhorini Res. Parque'!F16</f>
        <v>1181.6</v>
      </c>
      <c r="K14" s="6" t="n">
        <f aca="false">'31 Melhorini Res. Parque'!D18</f>
        <v>9453</v>
      </c>
      <c r="L14" s="6" t="n">
        <f aca="false">'31 Melhorini Res. Parque'!D19</f>
        <v>9452.8</v>
      </c>
      <c r="M14" s="6" t="n">
        <f aca="false">'31 Melhorini Res. Parque'!D22</f>
        <v>1079.839</v>
      </c>
      <c r="N14" s="6" t="n">
        <f aca="false">'31 Melhorini Res. Parque'!D23</f>
        <v>4319</v>
      </c>
      <c r="O14" s="8" t="n">
        <v>0.29</v>
      </c>
      <c r="P14" s="9" t="s">
        <v>61</v>
      </c>
      <c r="Q14" s="6" t="n">
        <v>10</v>
      </c>
      <c r="R14" s="6" t="n">
        <v>0</v>
      </c>
      <c r="S14" s="6" t="n">
        <v>10</v>
      </c>
      <c r="T14" s="6" t="n">
        <v>1521</v>
      </c>
      <c r="U14" s="6" t="n">
        <v>0</v>
      </c>
      <c r="V14" s="6" t="n">
        <v>1182</v>
      </c>
      <c r="W14" s="6" t="n">
        <v>0</v>
      </c>
    </row>
    <row r="15" customFormat="false" ht="15" hidden="false" customHeight="false" outlineLevel="0" collapsed="false">
      <c r="A15" s="5" t="n">
        <v>35</v>
      </c>
      <c r="B15" s="5" t="s">
        <v>62</v>
      </c>
      <c r="C15" s="5" t="s">
        <v>63</v>
      </c>
      <c r="D15" s="5" t="s">
        <v>64</v>
      </c>
      <c r="E15" s="6" t="n">
        <v>402084</v>
      </c>
      <c r="F15" s="6" t="n">
        <v>34</v>
      </c>
      <c r="G15" s="6" t="n">
        <f aca="false">'35 Verão Vermelho'!B40</f>
        <v>10602.1</v>
      </c>
      <c r="H15" s="6" t="n">
        <f aca="false">'35 Verão Vermelho'!E40</f>
        <v>425.3</v>
      </c>
      <c r="I15" s="7" t="n">
        <f aca="false">IF(G15=0,0,H15/G15)</f>
        <v>0.0401146942586846</v>
      </c>
      <c r="J15" s="6" t="n">
        <f aca="false">'35 Verão Vermelho'!F40</f>
        <v>10176.8</v>
      </c>
      <c r="K15" s="6" t="n">
        <f aca="false">'35 Verão Vermelho'!D42</f>
        <v>79492</v>
      </c>
      <c r="L15" s="6" t="n">
        <f aca="false">'35 Verão Vermelho'!D43</f>
        <v>81414.4</v>
      </c>
      <c r="M15" s="6" t="n">
        <f aca="false">'35 Verão Vermelho'!D46</f>
        <v>6807.574</v>
      </c>
      <c r="N15" s="6" t="n">
        <f aca="false">'35 Verão Vermelho'!D47</f>
        <v>27741</v>
      </c>
      <c r="O15" s="8" t="n">
        <v>0.06</v>
      </c>
      <c r="P15" s="9" t="s">
        <v>65</v>
      </c>
      <c r="Q15" s="6" t="n">
        <v>9</v>
      </c>
      <c r="R15" s="6" t="n">
        <v>28</v>
      </c>
      <c r="S15" s="6" t="n">
        <v>37</v>
      </c>
      <c r="T15" s="6" t="n">
        <v>2772</v>
      </c>
      <c r="U15" s="6" t="n">
        <v>7830</v>
      </c>
      <c r="V15" s="6" t="n">
        <v>2347</v>
      </c>
      <c r="W15" s="6" t="n">
        <v>7830</v>
      </c>
    </row>
    <row r="16" customFormat="false" ht="15" hidden="false" customHeight="false" outlineLevel="0" collapsed="false">
      <c r="A16" s="5" t="n">
        <v>36</v>
      </c>
      <c r="B16" s="5" t="s">
        <v>66</v>
      </c>
      <c r="C16" s="5" t="s">
        <v>67</v>
      </c>
      <c r="D16" s="5" t="s">
        <v>68</v>
      </c>
      <c r="E16" s="6" t="n">
        <v>77639</v>
      </c>
      <c r="F16" s="6" t="n">
        <v>9</v>
      </c>
      <c r="G16" s="6" t="n">
        <f aca="false">'36 Res. Ilha de Guriri I'!B15</f>
        <v>1995.2</v>
      </c>
      <c r="H16" s="6" t="n">
        <f aca="false">'36 Res. Ilha de Guriri I'!E15</f>
        <v>0</v>
      </c>
      <c r="I16" s="7" t="n">
        <f aca="false">IF(G16=0,0,H16/G16)</f>
        <v>0</v>
      </c>
      <c r="J16" s="6" t="n">
        <f aca="false">'36 Res. Ilha de Guriri I'!F15</f>
        <v>1995.2</v>
      </c>
      <c r="K16" s="6" t="n">
        <f aca="false">'36 Res. Ilha de Guriri I'!D17</f>
        <v>15962</v>
      </c>
      <c r="L16" s="6" t="n">
        <f aca="false">'36 Res. Ilha de Guriri I'!D18</f>
        <v>15961.6</v>
      </c>
      <c r="M16" s="6" t="n">
        <f aca="false">'36 Res. Ilha de Guriri I'!D21</f>
        <v>1556.256</v>
      </c>
      <c r="N16" s="6" t="n">
        <f aca="false">'36 Res. Ilha de Guriri I'!D22</f>
        <v>6225</v>
      </c>
      <c r="O16" s="8" t="n">
        <v>0.22</v>
      </c>
      <c r="P16" s="9" t="s">
        <v>69</v>
      </c>
      <c r="Q16" s="6" t="n">
        <v>9</v>
      </c>
      <c r="R16" s="6" t="n">
        <v>0</v>
      </c>
      <c r="S16" s="6" t="n">
        <v>9</v>
      </c>
      <c r="T16" s="6" t="n">
        <v>1995</v>
      </c>
      <c r="U16" s="6" t="n">
        <v>0</v>
      </c>
      <c r="V16" s="6" t="n">
        <v>1995</v>
      </c>
      <c r="W16" s="6" t="n">
        <v>0</v>
      </c>
    </row>
    <row r="17" customFormat="false" ht="15" hidden="false" customHeight="false" outlineLevel="0" collapsed="false">
      <c r="A17" s="5" t="n">
        <v>39</v>
      </c>
      <c r="B17" s="5" t="s">
        <v>70</v>
      </c>
      <c r="C17" s="5" t="s">
        <v>71</v>
      </c>
      <c r="D17" s="5" t="s">
        <v>72</v>
      </c>
      <c r="E17" s="6" t="n">
        <v>124388</v>
      </c>
      <c r="F17" s="6" t="n">
        <v>15</v>
      </c>
      <c r="G17" s="6" t="n">
        <f aca="false">'39 Central'!B21</f>
        <v>3725.3</v>
      </c>
      <c r="H17" s="6" t="n">
        <f aca="false">'39 Central'!E21</f>
        <v>435.4</v>
      </c>
      <c r="I17" s="7" t="n">
        <f aca="false">IF(G17=0,0,H17/G17)</f>
        <v>0.116876493168335</v>
      </c>
      <c r="J17" s="6" t="n">
        <f aca="false">'39 Central'!F21</f>
        <v>3289.9</v>
      </c>
      <c r="K17" s="6" t="n">
        <f aca="false">'39 Central'!D23</f>
        <v>26319</v>
      </c>
      <c r="L17" s="6" t="n">
        <f aca="false">'39 Central'!D24</f>
        <v>26319.2</v>
      </c>
      <c r="M17" s="6" t="n">
        <f aca="false">'39 Central'!D27</f>
        <v>2980.24</v>
      </c>
      <c r="N17" s="6" t="n">
        <f aca="false">'39 Central'!D28</f>
        <v>11921</v>
      </c>
      <c r="O17" s="8" t="n">
        <v>0.2</v>
      </c>
      <c r="P17" s="9" t="s">
        <v>61</v>
      </c>
      <c r="Q17" s="6" t="n">
        <v>10</v>
      </c>
      <c r="R17" s="6" t="n">
        <v>0</v>
      </c>
      <c r="S17" s="6" t="n">
        <v>10</v>
      </c>
      <c r="T17" s="6" t="n">
        <v>3725</v>
      </c>
      <c r="U17" s="6" t="n">
        <v>0</v>
      </c>
      <c r="V17" s="6" t="n">
        <v>3290</v>
      </c>
      <c r="W17" s="6" t="n">
        <v>0</v>
      </c>
    </row>
    <row r="18" customFormat="false" ht="15" hidden="false" customHeight="false" outlineLevel="0" collapsed="false">
      <c r="A18" s="5" t="n">
        <v>42</v>
      </c>
      <c r="B18" s="5" t="s">
        <v>73</v>
      </c>
      <c r="C18" s="5" t="s">
        <v>71</v>
      </c>
      <c r="D18" s="5" t="s">
        <v>74</v>
      </c>
      <c r="E18" s="6" t="n">
        <v>1089673.36</v>
      </c>
      <c r="F18" s="6" t="n">
        <v>22</v>
      </c>
      <c r="G18" s="6" t="n">
        <f aca="false">'42 Res. Bom Jesus'!B28</f>
        <v>23700.1</v>
      </c>
      <c r="H18" s="6" t="n">
        <f aca="false">'42 Res. Bom Jesus'!E28</f>
        <v>20665.5</v>
      </c>
      <c r="I18" s="7" t="n">
        <f aca="false">IF(G18=0,0,H18/G18)</f>
        <v>0.871958346167316</v>
      </c>
      <c r="J18" s="6" t="n">
        <f aca="false">'42 Res. Bom Jesus'!F28</f>
        <v>3034.6</v>
      </c>
      <c r="K18" s="6" t="n">
        <f aca="false">'42 Res. Bom Jesus'!D30</f>
        <v>24277</v>
      </c>
      <c r="L18" s="6" t="n">
        <f aca="false">'42 Res. Bom Jesus'!D31</f>
        <v>24276.8</v>
      </c>
      <c r="M18" s="6" t="n">
        <f aca="false">'42 Res. Bom Jesus'!D34</f>
        <v>18249.077</v>
      </c>
      <c r="N18" s="6" t="n">
        <f aca="false">'42 Res. Bom Jesus'!D35</f>
        <v>74201</v>
      </c>
      <c r="O18" s="8" t="n">
        <v>0.23</v>
      </c>
      <c r="P18" s="9" t="s">
        <v>75</v>
      </c>
      <c r="Q18" s="6" t="n">
        <v>70</v>
      </c>
      <c r="R18" s="6" t="n">
        <v>0</v>
      </c>
      <c r="S18" s="6" t="n">
        <v>70</v>
      </c>
      <c r="T18" s="6" t="n">
        <v>21624</v>
      </c>
      <c r="U18" s="6" t="n">
        <v>2076</v>
      </c>
      <c r="V18" s="6" t="n">
        <v>2702</v>
      </c>
      <c r="W18" s="6" t="n">
        <v>332</v>
      </c>
    </row>
    <row r="19" customFormat="false" ht="15" hidden="false" customHeight="false" outlineLevel="0" collapsed="false">
      <c r="A19" s="5" t="n">
        <v>47</v>
      </c>
      <c r="B19" s="5" t="s">
        <v>76</v>
      </c>
      <c r="C19" s="5" t="s">
        <v>77</v>
      </c>
      <c r="D19" s="5" t="s">
        <v>78</v>
      </c>
      <c r="E19" s="6" t="n">
        <v>96800</v>
      </c>
      <c r="F19" s="6" t="n">
        <v>15</v>
      </c>
      <c r="G19" s="6" t="n">
        <f aca="false">'47 Praiano'!B21</f>
        <v>2612.2</v>
      </c>
      <c r="H19" s="6" t="n">
        <f aca="false">'47 Praiano'!E21</f>
        <v>257.4</v>
      </c>
      <c r="I19" s="7" t="n">
        <f aca="false">IF(G19=0,0,H19/G19)</f>
        <v>0.0985376311155348</v>
      </c>
      <c r="J19" s="6" t="n">
        <f aca="false">'47 Praiano'!F21</f>
        <v>2354.8</v>
      </c>
      <c r="K19" s="6" t="n">
        <f aca="false">'47 Praiano'!D23</f>
        <v>18838</v>
      </c>
      <c r="L19" s="6" t="n">
        <f aca="false">'47 Praiano'!D24</f>
        <v>18838.4</v>
      </c>
      <c r="M19" s="6" t="n">
        <f aca="false">'47 Praiano'!D27</f>
        <v>2063.638</v>
      </c>
      <c r="N19" s="6" t="n">
        <f aca="false">'47 Praiano'!D28</f>
        <v>8393</v>
      </c>
      <c r="O19" s="8" t="n">
        <v>0.21</v>
      </c>
      <c r="P19" s="9" t="s">
        <v>49</v>
      </c>
      <c r="Q19" s="6" t="n">
        <v>15</v>
      </c>
      <c r="R19" s="6" t="n">
        <v>0</v>
      </c>
      <c r="S19" s="6" t="n">
        <v>15</v>
      </c>
      <c r="T19" s="6" t="n">
        <v>2612</v>
      </c>
      <c r="U19" s="6" t="n">
        <v>0</v>
      </c>
      <c r="V19" s="6" t="n">
        <v>2355</v>
      </c>
      <c r="W19" s="6" t="n">
        <v>0</v>
      </c>
    </row>
    <row r="20" customFormat="false" ht="15" hidden="false" customHeight="false" outlineLevel="0" collapsed="false">
      <c r="A20" s="5" t="n">
        <v>49</v>
      </c>
      <c r="B20" s="5" t="s">
        <v>79</v>
      </c>
      <c r="C20" s="5" t="s">
        <v>80</v>
      </c>
      <c r="D20" s="5" t="s">
        <v>81</v>
      </c>
      <c r="E20" s="6" t="n">
        <v>77639</v>
      </c>
      <c r="F20" s="6" t="n">
        <v>4</v>
      </c>
      <c r="G20" s="6" t="n">
        <f aca="false">'49 Vale do Amazonas'!B10</f>
        <v>1154.4</v>
      </c>
      <c r="H20" s="6" t="n">
        <f aca="false">'49 Vale do Amazonas'!E10</f>
        <v>0</v>
      </c>
      <c r="I20" s="7" t="n">
        <f aca="false">IF(G20=0,0,H20/G20)</f>
        <v>0</v>
      </c>
      <c r="J20" s="6" t="n">
        <f aca="false">'49 Vale do Amazonas'!F10</f>
        <v>1154.4</v>
      </c>
      <c r="K20" s="6" t="n">
        <f aca="false">'49 Vale do Amazonas'!D12</f>
        <v>10442</v>
      </c>
      <c r="L20" s="6" t="n">
        <f aca="false">'49 Vale do Amazonas'!D13</f>
        <v>9235.2</v>
      </c>
      <c r="M20" s="6" t="n">
        <f aca="false">'49 Vale do Amazonas'!D16</f>
        <v>1154.4</v>
      </c>
      <c r="N20" s="6" t="n">
        <f aca="false">'49 Vale do Amazonas'!D17</f>
        <v>4618</v>
      </c>
      <c r="O20" s="8" t="n">
        <v>0</v>
      </c>
      <c r="P20" s="9" t="s">
        <v>82</v>
      </c>
      <c r="Q20" s="6" t="n">
        <v>4</v>
      </c>
      <c r="R20" s="6" t="n">
        <v>0</v>
      </c>
      <c r="S20" s="6" t="n">
        <v>4</v>
      </c>
      <c r="T20" s="6" t="n">
        <v>1154</v>
      </c>
      <c r="U20" s="6" t="n">
        <v>0</v>
      </c>
      <c r="V20" s="6" t="n">
        <v>1154</v>
      </c>
      <c r="W20" s="6" t="n">
        <v>0</v>
      </c>
    </row>
    <row r="21" customFormat="false" ht="15" hidden="false" customHeight="false" outlineLevel="0" collapsed="false">
      <c r="A21" s="5" t="n">
        <v>50</v>
      </c>
      <c r="B21" s="5" t="s">
        <v>83</v>
      </c>
      <c r="C21" s="5" t="s">
        <v>84</v>
      </c>
      <c r="D21" s="5" t="s">
        <v>85</v>
      </c>
      <c r="E21" s="6" t="n">
        <v>77639</v>
      </c>
      <c r="F21" s="6" t="n">
        <v>7</v>
      </c>
      <c r="G21" s="6" t="n">
        <f aca="false">'50 Flor Pan'!B13</f>
        <v>1809.1</v>
      </c>
      <c r="H21" s="6" t="n">
        <f aca="false">'50 Flor Pan'!E13</f>
        <v>0</v>
      </c>
      <c r="I21" s="7" t="n">
        <f aca="false">IF(G21=0,0,H21/G21)</f>
        <v>0</v>
      </c>
      <c r="J21" s="6" t="n">
        <f aca="false">'50 Flor Pan'!F13</f>
        <v>1809.1</v>
      </c>
      <c r="K21" s="6" t="n">
        <f aca="false">'50 Flor Pan'!D15</f>
        <v>19900</v>
      </c>
      <c r="L21" s="6" t="n">
        <f aca="false">'50 Flor Pan'!D16</f>
        <v>14472.8</v>
      </c>
      <c r="M21" s="6" t="n">
        <f aca="false">'50 Flor Pan'!D19</f>
        <v>1320.643</v>
      </c>
      <c r="N21" s="6" t="n">
        <f aca="false">'50 Flor Pan'!D20</f>
        <v>5283</v>
      </c>
      <c r="O21" s="8" t="n">
        <v>0.27</v>
      </c>
      <c r="P21" s="9" t="s">
        <v>86</v>
      </c>
      <c r="Q21" s="6" t="n">
        <v>9</v>
      </c>
      <c r="R21" s="6" t="n">
        <v>0</v>
      </c>
      <c r="S21" s="6" t="n">
        <v>9</v>
      </c>
      <c r="T21" s="6" t="n">
        <v>1809</v>
      </c>
      <c r="U21" s="6" t="n">
        <v>0</v>
      </c>
      <c r="V21" s="6" t="n">
        <v>1809</v>
      </c>
      <c r="W21" s="6" t="n">
        <v>0</v>
      </c>
    </row>
    <row r="22" customFormat="false" ht="15" hidden="false" customHeight="false" outlineLevel="0" collapsed="false">
      <c r="A22" s="5" t="n">
        <v>60</v>
      </c>
      <c r="B22" s="5" t="s">
        <v>87</v>
      </c>
      <c r="C22" s="5" t="s">
        <v>88</v>
      </c>
      <c r="D22" s="5" t="s">
        <v>89</v>
      </c>
      <c r="E22" s="6" t="n">
        <v>138513.92</v>
      </c>
      <c r="F22" s="6" t="n">
        <v>22</v>
      </c>
      <c r="G22" s="6" t="n">
        <f aca="false">'60 Res. Evidência'!B28</f>
        <v>3885</v>
      </c>
      <c r="H22" s="6" t="n">
        <f aca="false">'60 Res. Evidência'!E28</f>
        <v>0</v>
      </c>
      <c r="I22" s="7" t="n">
        <f aca="false">IF(G22=0,0,H22/G22)</f>
        <v>0</v>
      </c>
      <c r="J22" s="6" t="n">
        <f aca="false">'60 Res. Evidência'!F28</f>
        <v>3885</v>
      </c>
      <c r="K22" s="6" t="n">
        <f aca="false">'60 Res. Evidência'!D30</f>
        <v>31083</v>
      </c>
      <c r="L22" s="6" t="n">
        <f aca="false">'60 Res. Evidência'!D31</f>
        <v>31080</v>
      </c>
      <c r="M22" s="6" t="n">
        <f aca="false">'60 Res. Evidência'!D34</f>
        <v>2602.95</v>
      </c>
      <c r="N22" s="6" t="n">
        <f aca="false">'60 Res. Evidência'!D35</f>
        <v>10412</v>
      </c>
      <c r="O22" s="8" t="n">
        <v>0.33</v>
      </c>
      <c r="P22" s="9" t="s">
        <v>90</v>
      </c>
      <c r="Q22" s="6" t="n">
        <v>22</v>
      </c>
      <c r="R22" s="6" t="n">
        <v>0</v>
      </c>
      <c r="S22" s="6" t="n">
        <v>22</v>
      </c>
      <c r="T22" s="6" t="n">
        <v>3885</v>
      </c>
      <c r="U22" s="6" t="n">
        <v>0</v>
      </c>
      <c r="V22" s="6" t="n">
        <v>3885</v>
      </c>
      <c r="W22" s="6" t="n">
        <v>0</v>
      </c>
    </row>
    <row r="23" customFormat="false" ht="15" hidden="false" customHeight="false" outlineLevel="0" collapsed="false">
      <c r="A23" s="5" t="n">
        <v>70</v>
      </c>
      <c r="B23" s="5" t="s">
        <v>91</v>
      </c>
      <c r="C23" s="5" t="s">
        <v>92</v>
      </c>
      <c r="D23" s="5" t="s">
        <v>93</v>
      </c>
      <c r="E23" s="6" t="n">
        <v>244194.61</v>
      </c>
      <c r="F23" s="6" t="n">
        <v>17</v>
      </c>
      <c r="G23" s="6" t="n">
        <f aca="false">'70 Pontal de Guriri'!B23</f>
        <v>6052.1</v>
      </c>
      <c r="H23" s="6" t="n">
        <f aca="false">'70 Pontal de Guriri'!E23</f>
        <v>572</v>
      </c>
      <c r="I23" s="7" t="n">
        <f aca="false">IF(G23=0,0,H23/G23)</f>
        <v>0.0945126485021728</v>
      </c>
      <c r="J23" s="6" t="n">
        <f aca="false">'70 Pontal de Guriri'!F23</f>
        <v>5480.1</v>
      </c>
      <c r="K23" s="6" t="n">
        <f aca="false">'70 Pontal de Guriri'!D25</f>
        <v>43842</v>
      </c>
      <c r="L23" s="6" t="n">
        <f aca="false">'70 Pontal de Guriri'!D26</f>
        <v>43840.8</v>
      </c>
      <c r="M23" s="6" t="n">
        <f aca="false">'70 Pontal de Guriri'!D29</f>
        <v>5931.058</v>
      </c>
      <c r="N23" s="6" t="n">
        <f aca="false">'70 Pontal de Guriri'!D30</f>
        <v>23724</v>
      </c>
      <c r="O23" s="8" t="n">
        <v>0.02</v>
      </c>
      <c r="P23" s="9" t="s">
        <v>94</v>
      </c>
      <c r="Q23" s="6" t="n">
        <v>28</v>
      </c>
      <c r="R23" s="6" t="n">
        <v>0</v>
      </c>
      <c r="S23" s="6" t="n">
        <v>28</v>
      </c>
      <c r="T23" s="6" t="n">
        <v>6052</v>
      </c>
      <c r="U23" s="6" t="n">
        <v>0</v>
      </c>
      <c r="V23" s="6" t="n">
        <v>5480</v>
      </c>
      <c r="W23" s="6" t="n">
        <v>0</v>
      </c>
    </row>
    <row r="24" customFormat="false" ht="22.35" hidden="false" customHeight="false" outlineLevel="0" collapsed="false">
      <c r="A24" s="5" t="n">
        <v>78</v>
      </c>
      <c r="B24" s="5" t="s">
        <v>95</v>
      </c>
      <c r="C24" s="5" t="s">
        <v>96</v>
      </c>
      <c r="D24" s="5" t="s">
        <v>97</v>
      </c>
      <c r="E24" s="6" t="n">
        <v>54750</v>
      </c>
      <c r="F24" s="6" t="n">
        <v>10</v>
      </c>
      <c r="G24" s="6" t="n">
        <f aca="false">'78 João de Barro'!B16</f>
        <v>1490</v>
      </c>
      <c r="H24" s="6" t="n">
        <f aca="false">'78 João de Barro'!E16</f>
        <v>0</v>
      </c>
      <c r="I24" s="7" t="n">
        <f aca="false">IF(G24=0,0,H24/G24)</f>
        <v>0</v>
      </c>
      <c r="J24" s="6" t="n">
        <f aca="false">'78 João de Barro'!F16</f>
        <v>1490</v>
      </c>
      <c r="K24" s="6" t="n">
        <f aca="false">'78 João de Barro'!D18</f>
        <v>11920</v>
      </c>
      <c r="L24" s="6" t="n">
        <f aca="false">'78 João de Barro'!D19</f>
        <v>11920</v>
      </c>
      <c r="M24" s="10" t="s">
        <v>98</v>
      </c>
      <c r="N24" s="10" t="s">
        <v>98</v>
      </c>
      <c r="O24" s="10" t="s">
        <v>99</v>
      </c>
      <c r="P24" s="11" t="s">
        <v>100</v>
      </c>
      <c r="Q24" s="6" t="n">
        <v>0</v>
      </c>
      <c r="R24" s="6" t="n">
        <v>14</v>
      </c>
      <c r="S24" s="6" t="n">
        <v>14</v>
      </c>
      <c r="T24" s="6" t="n">
        <v>0</v>
      </c>
      <c r="U24" s="6" t="n">
        <v>1490</v>
      </c>
      <c r="V24" s="6" t="n">
        <v>0</v>
      </c>
      <c r="W24" s="6" t="n">
        <v>1490</v>
      </c>
    </row>
    <row r="25" customFormat="false" ht="32.8" hidden="false" customHeight="false" outlineLevel="0" collapsed="false">
      <c r="A25" s="5" t="n">
        <v>80</v>
      </c>
      <c r="B25" s="5" t="s">
        <v>101</v>
      </c>
      <c r="C25" s="5" t="s">
        <v>102</v>
      </c>
      <c r="D25" s="5" t="s">
        <v>103</v>
      </c>
      <c r="E25" s="6" t="n">
        <v>234671.83</v>
      </c>
      <c r="F25" s="6" t="n">
        <v>8</v>
      </c>
      <c r="G25" s="6" t="n">
        <f aca="false">'80 Soma Cevolani'!B14</f>
        <v>4952</v>
      </c>
      <c r="H25" s="6" t="n">
        <f aca="false">'80 Soma Cevolani'!E14</f>
        <v>4952</v>
      </c>
      <c r="I25" s="7" t="n">
        <f aca="false">IF(G25=0,0,H25/G25)</f>
        <v>1</v>
      </c>
      <c r="J25" s="6" t="n">
        <f aca="false">'80 Soma Cevolani'!F14</f>
        <v>0</v>
      </c>
      <c r="K25" s="6" t="n">
        <f aca="false">'80 Soma Cevolani'!D16</f>
        <v>0</v>
      </c>
      <c r="L25" s="6" t="n">
        <f aca="false">'80 Soma Cevolani'!D17</f>
        <v>0</v>
      </c>
      <c r="M25" s="10" t="s">
        <v>98</v>
      </c>
      <c r="N25" s="10" t="s">
        <v>98</v>
      </c>
      <c r="O25" s="10" t="s">
        <v>99</v>
      </c>
      <c r="P25" s="11" t="s">
        <v>104</v>
      </c>
      <c r="Q25" s="6" t="n">
        <v>0</v>
      </c>
      <c r="R25" s="6" t="n">
        <v>32</v>
      </c>
      <c r="S25" s="6" t="n">
        <v>32</v>
      </c>
      <c r="T25" s="6" t="n">
        <v>0</v>
      </c>
      <c r="U25" s="6" t="n">
        <v>4952</v>
      </c>
      <c r="V25" s="6" t="n">
        <v>0</v>
      </c>
      <c r="W25" s="6" t="n">
        <v>0</v>
      </c>
    </row>
    <row r="26" customFormat="false" ht="15" hidden="false" customHeight="false" outlineLevel="0" collapsed="false">
      <c r="A26" s="5" t="n">
        <v>84</v>
      </c>
      <c r="B26" s="5" t="s">
        <v>105</v>
      </c>
      <c r="C26" s="5" t="s">
        <v>106</v>
      </c>
      <c r="D26" s="5" t="s">
        <v>107</v>
      </c>
      <c r="E26" s="6" t="n">
        <v>44371.01</v>
      </c>
      <c r="F26" s="6" t="n">
        <v>5</v>
      </c>
      <c r="G26" s="6" t="n">
        <f aca="false">'84 Pontal de Guriri II'!B11</f>
        <v>1073</v>
      </c>
      <c r="H26" s="6" t="n">
        <f aca="false">'84 Pontal de Guriri II'!E11</f>
        <v>0</v>
      </c>
      <c r="I26" s="7" t="n">
        <f aca="false">IF(G26=0,0,H26/G26)</f>
        <v>0</v>
      </c>
      <c r="J26" s="6" t="n">
        <f aca="false">'84 Pontal de Guriri II'!F11</f>
        <v>1073</v>
      </c>
      <c r="K26" s="6" t="n">
        <f aca="false">'84 Pontal de Guriri II'!D13</f>
        <v>9855</v>
      </c>
      <c r="L26" s="6" t="n">
        <f aca="false">'84 Pontal de Guriri II'!D14</f>
        <v>8584</v>
      </c>
      <c r="M26" s="6" t="n">
        <f aca="false">'84 Pontal de Guriri II'!D17</f>
        <v>772.56</v>
      </c>
      <c r="N26" s="6" t="n">
        <f aca="false">'84 Pontal de Guriri II'!D18</f>
        <v>3256</v>
      </c>
      <c r="O26" s="8" t="n">
        <v>0.28</v>
      </c>
      <c r="P26" s="9" t="s">
        <v>82</v>
      </c>
      <c r="Q26" s="6" t="n">
        <v>0</v>
      </c>
      <c r="R26" s="6" t="n">
        <v>14</v>
      </c>
      <c r="S26" s="6" t="n">
        <v>14</v>
      </c>
      <c r="T26" s="6" t="n">
        <v>0</v>
      </c>
      <c r="U26" s="6" t="n">
        <v>1073</v>
      </c>
      <c r="V26" s="6" t="n">
        <v>0</v>
      </c>
      <c r="W26" s="6" t="n">
        <v>1073</v>
      </c>
    </row>
    <row r="27" customFormat="false" ht="15" hidden="false" customHeight="false" outlineLevel="0" collapsed="false">
      <c r="A27" s="12"/>
      <c r="B27" s="12" t="s">
        <v>108</v>
      </c>
      <c r="C27" s="12"/>
      <c r="D27" s="12"/>
      <c r="E27" s="12"/>
      <c r="F27" s="13" t="n">
        <f aca="false">SUM(F6:F26)</f>
        <v>437</v>
      </c>
      <c r="G27" s="13" t="n">
        <f aca="false">SUM(G6:G26)</f>
        <v>193374.8</v>
      </c>
      <c r="H27" s="13" t="n">
        <f aca="false">SUM(H6:H26)</f>
        <v>51378.8</v>
      </c>
      <c r="I27" s="14" t="n">
        <f aca="false">IF(G27=0,0,H27/G27)</f>
        <v>0.265695426705031</v>
      </c>
      <c r="J27" s="13" t="n">
        <f aca="false">SUM(J6:J26)</f>
        <v>141996</v>
      </c>
      <c r="K27" s="13" t="n">
        <f aca="false">SUM(K6:K26)</f>
        <v>1216547</v>
      </c>
      <c r="L27" s="13" t="n">
        <f aca="false">SUM(L6:L26)</f>
        <v>1135968</v>
      </c>
      <c r="M27" s="13" t="n">
        <f aca="false">SUMIF($O$6:$O$26,"&lt;&gt;não estimado",M6:M26)</f>
        <v>136212.86</v>
      </c>
      <c r="N27" s="13" t="n">
        <f aca="false">SUMIF($O$6:$O$26,"&lt;&gt;não estimado",N6:N26)</f>
        <v>554203</v>
      </c>
      <c r="O27" s="12"/>
      <c r="P27" s="15" t="s">
        <v>109</v>
      </c>
      <c r="Q27" s="13" t="n">
        <f aca="false">SUM(Q6:Q26)</f>
        <v>496</v>
      </c>
      <c r="R27" s="13" t="n">
        <f aca="false">SUM(R6:R26)</f>
        <v>141</v>
      </c>
      <c r="S27" s="13" t="n">
        <f aca="false">SUM(S6:S26)</f>
        <v>637</v>
      </c>
      <c r="T27" s="13" t="n">
        <f aca="false">SUM(T6:T26)</f>
        <v>136394</v>
      </c>
      <c r="U27" s="13" t="n">
        <f aca="false">SUM(U6:U26)</f>
        <v>56979</v>
      </c>
      <c r="V27" s="13" t="n">
        <f aca="false">SUM(V6:V26)</f>
        <v>91827</v>
      </c>
      <c r="W27" s="13" t="n">
        <f aca="false">SUM(W6:W26)</f>
        <v>50168</v>
      </c>
    </row>
    <row r="29" customFormat="false" ht="15" hidden="false" customHeight="false" outlineLevel="0" collapsed="false">
      <c r="A29" s="16" t="s">
        <v>110</v>
      </c>
    </row>
    <row r="30" customFormat="false" ht="37.5" hidden="false" customHeight="true" outlineLevel="0" collapsed="false">
      <c r="A30" s="17" t="s">
        <v>111</v>
      </c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</row>
    <row r="31" customFormat="false" ht="37.5" hidden="false" customHeight="true" outlineLevel="0" collapsed="false">
      <c r="A31" s="17" t="s">
        <v>112</v>
      </c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</row>
    <row r="32" customFormat="false" ht="24" hidden="false" customHeight="true" outlineLevel="0" collapsed="false">
      <c r="A32" s="17" t="s">
        <v>113</v>
      </c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</row>
    <row r="33" customFormat="false" ht="37.5" hidden="false" customHeight="true" outlineLevel="0" collapsed="false">
      <c r="A33" s="17" t="s">
        <v>114</v>
      </c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</row>
    <row r="34" customFormat="false" ht="24" hidden="false" customHeight="true" outlineLevel="0" collapsed="false">
      <c r="A34" s="17" t="s">
        <v>115</v>
      </c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</row>
    <row r="35" customFormat="false" ht="24" hidden="false" customHeight="true" outlineLevel="0" collapsed="false">
      <c r="A35" s="17" t="s">
        <v>116</v>
      </c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</row>
    <row r="36" customFormat="false" ht="24" hidden="false" customHeight="true" outlineLevel="0" collapsed="false">
      <c r="A36" s="17" t="s">
        <v>117</v>
      </c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</row>
    <row r="37" customFormat="false" ht="24" hidden="false" customHeight="true" outlineLevel="0" collapsed="false">
      <c r="A37" s="17" t="s">
        <v>118</v>
      </c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</row>
  </sheetData>
  <mergeCells count="10">
    <mergeCell ref="A2:W2"/>
    <mergeCell ref="A3:W3"/>
    <mergeCell ref="A30:W30"/>
    <mergeCell ref="A31:W31"/>
    <mergeCell ref="A32:W32"/>
    <mergeCell ref="A33:W33"/>
    <mergeCell ref="A34:W34"/>
    <mergeCell ref="A35:W35"/>
    <mergeCell ref="A36:W36"/>
    <mergeCell ref="A37:W3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3"/>
    <col collapsed="false" customWidth="true" hidden="false" outlineLevel="0" max="3" min="3" style="0" width="15"/>
    <col collapsed="false" customWidth="true" hidden="false" outlineLevel="0" max="4" min="4" style="0" width="12"/>
    <col collapsed="false" customWidth="true" hidden="false" outlineLevel="0" max="6" min="5" style="0" width="13"/>
    <col collapsed="false" customWidth="true" hidden="false" outlineLevel="0" max="7" min="7" style="0" width="11"/>
    <col collapsed="false" customWidth="true" hidden="false" outlineLevel="0" max="8" min="8" style="0" width="20"/>
    <col collapsed="false" customWidth="true" hidden="false" outlineLevel="0" max="10" min="9" style="0" width="13"/>
    <col collapsed="false" customWidth="true" hidden="false" outlineLevel="0" max="11" min="11" style="0" width="10"/>
    <col collapsed="false" customWidth="true" hidden="false" outlineLevel="0" max="12" min="12" style="0" width="13"/>
    <col collapsed="false" customWidth="true" hidden="false" outlineLevel="0" max="14" min="13" style="0" width="9"/>
    <col collapsed="false" customWidth="true" hidden="false" outlineLevel="0" max="15" min="15" style="0" width="46"/>
    <col collapsed="false" customWidth="true" hidden="false" outlineLevel="0" max="16" min="16" style="0" width="17"/>
    <col collapsed="false" customWidth="true" hidden="false" outlineLevel="0" max="17" min="17" style="0" width="52"/>
  </cols>
  <sheetData>
    <row r="1" customFormat="false" ht="16.15" hidden="false" customHeight="false" outlineLevel="0" collapsed="false">
      <c r="A1" s="18" t="s">
        <v>119</v>
      </c>
    </row>
    <row r="2" customFormat="false" ht="15" hidden="false" customHeight="false" outlineLevel="0" collapsed="false">
      <c r="A2" s="19" t="s">
        <v>120</v>
      </c>
    </row>
    <row r="3" customFormat="false" ht="15" hidden="false" customHeight="false" outlineLevel="0" collapsed="false">
      <c r="A3" s="20" t="s">
        <v>121</v>
      </c>
    </row>
    <row r="5" customFormat="false" ht="32.8" hidden="false" customHeight="false" outlineLevel="0" collapsed="false">
      <c r="A5" s="4" t="s">
        <v>122</v>
      </c>
      <c r="B5" s="4" t="s">
        <v>123</v>
      </c>
      <c r="C5" s="4" t="s">
        <v>124</v>
      </c>
      <c r="D5" s="4" t="s">
        <v>125</v>
      </c>
      <c r="E5" s="4" t="s">
        <v>126</v>
      </c>
      <c r="F5" s="4" t="s">
        <v>12</v>
      </c>
      <c r="G5" s="4" t="s">
        <v>127</v>
      </c>
      <c r="H5" s="4" t="s">
        <v>128</v>
      </c>
      <c r="I5" s="4" t="s">
        <v>129</v>
      </c>
      <c r="J5" s="4" t="s">
        <v>130</v>
      </c>
      <c r="K5" s="4" t="s">
        <v>131</v>
      </c>
      <c r="L5" s="4" t="s">
        <v>132</v>
      </c>
      <c r="M5" s="4" t="s">
        <v>133</v>
      </c>
      <c r="N5" s="4" t="s">
        <v>134</v>
      </c>
      <c r="O5" s="4" t="s">
        <v>135</v>
      </c>
      <c r="P5" s="4" t="s">
        <v>136</v>
      </c>
      <c r="Q5" s="4" t="s">
        <v>137</v>
      </c>
    </row>
    <row r="6" customFormat="false" ht="22.35" hidden="false" customHeight="false" outlineLevel="0" collapsed="false">
      <c r="A6" s="9" t="s">
        <v>138</v>
      </c>
      <c r="B6" s="21" t="n">
        <v>2712</v>
      </c>
      <c r="C6" s="22" t="s">
        <v>139</v>
      </c>
      <c r="D6" s="8" t="n">
        <v>1</v>
      </c>
      <c r="E6" s="21" t="n">
        <f aca="false">ROUND(B6*D6,1)</f>
        <v>2712</v>
      </c>
      <c r="F6" s="21" t="n">
        <f aca="false">B6-E6</f>
        <v>0</v>
      </c>
      <c r="G6" s="23" t="n">
        <v>12</v>
      </c>
      <c r="H6" s="9" t="s">
        <v>140</v>
      </c>
      <c r="I6" s="24" t="n">
        <v>8</v>
      </c>
      <c r="J6" s="6" t="n">
        <f aca="false">ROUND(F6*I6,0)</f>
        <v>0</v>
      </c>
      <c r="K6" s="5" t="s">
        <v>141</v>
      </c>
      <c r="L6" s="5" t="s">
        <v>142</v>
      </c>
      <c r="M6" s="8" t="n">
        <v>0.93</v>
      </c>
      <c r="N6" s="5" t="n">
        <v>8</v>
      </c>
      <c r="O6" s="9" t="s">
        <v>143</v>
      </c>
      <c r="P6" s="5" t="s">
        <v>144</v>
      </c>
      <c r="Q6" s="9" t="s">
        <v>145</v>
      </c>
    </row>
    <row r="7" customFormat="false" ht="22.35" hidden="false" customHeight="false" outlineLevel="0" collapsed="false">
      <c r="A7" s="9" t="s">
        <v>146</v>
      </c>
      <c r="B7" s="21" t="n">
        <v>805.1</v>
      </c>
      <c r="C7" s="22" t="s">
        <v>139</v>
      </c>
      <c r="D7" s="8" t="n">
        <v>1</v>
      </c>
      <c r="E7" s="21" t="n">
        <f aca="false">ROUND(B7*D7,1)</f>
        <v>805.1</v>
      </c>
      <c r="F7" s="21" t="n">
        <f aca="false">B7-E7</f>
        <v>0</v>
      </c>
      <c r="G7" s="23" t="n">
        <v>12</v>
      </c>
      <c r="H7" s="9" t="s">
        <v>140</v>
      </c>
      <c r="I7" s="24" t="n">
        <v>8</v>
      </c>
      <c r="J7" s="6" t="n">
        <f aca="false">ROUND(F7*I7,0)</f>
        <v>0</v>
      </c>
      <c r="K7" s="5" t="s">
        <v>141</v>
      </c>
      <c r="L7" s="5" t="s">
        <v>142</v>
      </c>
      <c r="M7" s="8" t="n">
        <v>1</v>
      </c>
      <c r="N7" s="5" t="n">
        <v>2</v>
      </c>
      <c r="O7" s="9" t="s">
        <v>147</v>
      </c>
      <c r="P7" s="5" t="s">
        <v>144</v>
      </c>
      <c r="Q7" s="9" t="s">
        <v>148</v>
      </c>
    </row>
    <row r="8" customFormat="false" ht="22.35" hidden="false" customHeight="false" outlineLevel="0" collapsed="false">
      <c r="A8" s="9" t="s">
        <v>149</v>
      </c>
      <c r="B8" s="21" t="n">
        <v>379.5</v>
      </c>
      <c r="C8" s="22" t="s">
        <v>139</v>
      </c>
      <c r="D8" s="8" t="n">
        <v>1</v>
      </c>
      <c r="E8" s="21" t="n">
        <f aca="false">ROUND(B8*D8,1)</f>
        <v>379.5</v>
      </c>
      <c r="F8" s="21" t="n">
        <f aca="false">B8-E8</f>
        <v>0</v>
      </c>
      <c r="G8" s="23" t="n">
        <v>12</v>
      </c>
      <c r="H8" s="9" t="s">
        <v>140</v>
      </c>
      <c r="I8" s="24" t="n">
        <v>8</v>
      </c>
      <c r="J8" s="6" t="n">
        <f aca="false">ROUND(F8*I8,0)</f>
        <v>0</v>
      </c>
      <c r="K8" s="5" t="s">
        <v>141</v>
      </c>
      <c r="L8" s="5" t="s">
        <v>150</v>
      </c>
      <c r="M8" s="8" t="n">
        <v>0.5</v>
      </c>
      <c r="N8" s="5" t="n">
        <v>1</v>
      </c>
      <c r="O8" s="9" t="s">
        <v>151</v>
      </c>
      <c r="P8" s="5" t="s">
        <v>144</v>
      </c>
      <c r="Q8" s="9" t="s">
        <v>152</v>
      </c>
    </row>
    <row r="9" customFormat="false" ht="15" hidden="false" customHeight="false" outlineLevel="0" collapsed="false">
      <c r="A9" s="9" t="s">
        <v>153</v>
      </c>
      <c r="B9" s="21" t="n">
        <v>386.2</v>
      </c>
      <c r="C9" s="25" t="s">
        <v>154</v>
      </c>
      <c r="D9" s="8" t="n">
        <v>0</v>
      </c>
      <c r="E9" s="21" t="n">
        <f aca="false">ROUND(B9*D9,1)</f>
        <v>0</v>
      </c>
      <c r="F9" s="21" t="n">
        <f aca="false">B9-E9</f>
        <v>386.2</v>
      </c>
      <c r="G9" s="23" t="n">
        <v>12</v>
      </c>
      <c r="H9" s="9" t="s">
        <v>140</v>
      </c>
      <c r="I9" s="24" t="n">
        <v>8</v>
      </c>
      <c r="J9" s="6" t="n">
        <f aca="false">ROUND(F9*I9,0)</f>
        <v>3090</v>
      </c>
      <c r="K9" s="5" t="s">
        <v>141</v>
      </c>
      <c r="L9" s="5" t="s">
        <v>150</v>
      </c>
      <c r="M9" s="8" t="n">
        <v>0.5</v>
      </c>
      <c r="N9" s="5" t="n">
        <v>1</v>
      </c>
      <c r="O9" s="9" t="s">
        <v>155</v>
      </c>
      <c r="P9" s="5" t="s">
        <v>144</v>
      </c>
      <c r="Q9" s="9" t="s">
        <v>156</v>
      </c>
    </row>
    <row r="10" customFormat="false" ht="22.35" hidden="false" customHeight="false" outlineLevel="0" collapsed="false">
      <c r="A10" s="9" t="s">
        <v>157</v>
      </c>
      <c r="B10" s="21" t="n">
        <v>1390.7</v>
      </c>
      <c r="C10" s="25" t="s">
        <v>154</v>
      </c>
      <c r="D10" s="8" t="n">
        <v>0</v>
      </c>
      <c r="E10" s="21" t="n">
        <f aca="false">ROUND(B10*D10,1)</f>
        <v>0</v>
      </c>
      <c r="F10" s="21" t="n">
        <f aca="false">B10-E10</f>
        <v>1390.7</v>
      </c>
      <c r="G10" s="23" t="n">
        <v>12</v>
      </c>
      <c r="H10" s="9" t="s">
        <v>140</v>
      </c>
      <c r="I10" s="24" t="n">
        <v>8</v>
      </c>
      <c r="J10" s="6" t="n">
        <f aca="false">ROUND(F10*I10,0)</f>
        <v>11126</v>
      </c>
      <c r="K10" s="5" t="s">
        <v>141</v>
      </c>
      <c r="L10" s="5" t="s">
        <v>150</v>
      </c>
      <c r="M10" s="8" t="n">
        <v>0.5</v>
      </c>
      <c r="N10" s="5" t="n">
        <v>5</v>
      </c>
      <c r="O10" s="9" t="s">
        <v>158</v>
      </c>
      <c r="P10" s="5" t="s">
        <v>144</v>
      </c>
      <c r="Q10" s="9" t="s">
        <v>159</v>
      </c>
    </row>
    <row r="11" customFormat="false" ht="22.35" hidden="false" customHeight="false" outlineLevel="0" collapsed="false">
      <c r="A11" s="9" t="s">
        <v>160</v>
      </c>
      <c r="B11" s="21" t="n">
        <v>805.8</v>
      </c>
      <c r="C11" s="22" t="s">
        <v>139</v>
      </c>
      <c r="D11" s="8" t="n">
        <v>1</v>
      </c>
      <c r="E11" s="21" t="n">
        <f aca="false">ROUND(B11*D11,1)</f>
        <v>805.8</v>
      </c>
      <c r="F11" s="21" t="n">
        <f aca="false">B11-E11</f>
        <v>0</v>
      </c>
      <c r="G11" s="23" t="n">
        <v>12</v>
      </c>
      <c r="H11" s="9" t="s">
        <v>140</v>
      </c>
      <c r="I11" s="24" t="n">
        <v>8</v>
      </c>
      <c r="J11" s="6" t="n">
        <f aca="false">ROUND(F11*I11,0)</f>
        <v>0</v>
      </c>
      <c r="K11" s="5" t="s">
        <v>141</v>
      </c>
      <c r="L11" s="5" t="s">
        <v>150</v>
      </c>
      <c r="M11" s="8" t="n">
        <v>0.5</v>
      </c>
      <c r="N11" s="5" t="n">
        <v>2</v>
      </c>
      <c r="O11" s="9" t="s">
        <v>161</v>
      </c>
      <c r="P11" s="5" t="s">
        <v>144</v>
      </c>
      <c r="Q11" s="9" t="s">
        <v>162</v>
      </c>
    </row>
    <row r="12" customFormat="false" ht="15" hidden="false" customHeight="false" outlineLevel="0" collapsed="false">
      <c r="A12" s="9" t="s">
        <v>163</v>
      </c>
      <c r="B12" s="21" t="n">
        <v>1372.6</v>
      </c>
      <c r="C12" s="26" t="s">
        <v>150</v>
      </c>
      <c r="D12" s="8" t="n">
        <v>0.77</v>
      </c>
      <c r="E12" s="21" t="n">
        <f aca="false">ROUND(B12*D12,1)</f>
        <v>1056.9</v>
      </c>
      <c r="F12" s="21" t="n">
        <f aca="false">B12-E12</f>
        <v>315.7</v>
      </c>
      <c r="G12" s="23" t="n">
        <v>12</v>
      </c>
      <c r="H12" s="9" t="s">
        <v>140</v>
      </c>
      <c r="I12" s="24" t="n">
        <v>8</v>
      </c>
      <c r="J12" s="6" t="n">
        <f aca="false">ROUND(F12*I12,0)</f>
        <v>2526</v>
      </c>
      <c r="K12" s="5" t="s">
        <v>141</v>
      </c>
      <c r="L12" s="5" t="s">
        <v>150</v>
      </c>
      <c r="M12" s="8" t="n">
        <v>0.54</v>
      </c>
      <c r="N12" s="5" t="n">
        <v>5</v>
      </c>
      <c r="O12" s="9" t="s">
        <v>164</v>
      </c>
      <c r="P12" s="5" t="s">
        <v>144</v>
      </c>
      <c r="Q12" s="9" t="s">
        <v>156</v>
      </c>
    </row>
    <row r="13" customFormat="false" ht="22.35" hidden="false" customHeight="false" outlineLevel="0" collapsed="false">
      <c r="A13" s="9" t="s">
        <v>165</v>
      </c>
      <c r="B13" s="21" t="n">
        <v>1414</v>
      </c>
      <c r="C13" s="26" t="s">
        <v>150</v>
      </c>
      <c r="D13" s="8" t="n">
        <v>0.27</v>
      </c>
      <c r="E13" s="21" t="n">
        <f aca="false">ROUND(B13*D13,1)</f>
        <v>381.8</v>
      </c>
      <c r="F13" s="21" t="n">
        <f aca="false">B13-E13</f>
        <v>1032.2</v>
      </c>
      <c r="G13" s="23" t="n">
        <v>12</v>
      </c>
      <c r="H13" s="9" t="s">
        <v>140</v>
      </c>
      <c r="I13" s="24" t="n">
        <v>8</v>
      </c>
      <c r="J13" s="6" t="n">
        <f aca="false">ROUND(F13*I13,0)</f>
        <v>8258</v>
      </c>
      <c r="K13" s="5" t="s">
        <v>141</v>
      </c>
      <c r="L13" s="5" t="s">
        <v>150</v>
      </c>
      <c r="M13" s="8" t="n">
        <v>0.64</v>
      </c>
      <c r="N13" s="5" t="n">
        <v>5</v>
      </c>
      <c r="O13" s="9" t="s">
        <v>164</v>
      </c>
      <c r="P13" s="5" t="s">
        <v>144</v>
      </c>
      <c r="Q13" s="9" t="s">
        <v>166</v>
      </c>
    </row>
    <row r="14" customFormat="false" ht="15" hidden="false" customHeight="false" outlineLevel="0" collapsed="false">
      <c r="A14" s="9" t="s">
        <v>167</v>
      </c>
      <c r="B14" s="21" t="n">
        <v>383.2</v>
      </c>
      <c r="C14" s="25" t="s">
        <v>154</v>
      </c>
      <c r="D14" s="8" t="n">
        <v>0</v>
      </c>
      <c r="E14" s="21" t="n">
        <f aca="false">ROUND(B14*D14,1)</f>
        <v>0</v>
      </c>
      <c r="F14" s="21" t="n">
        <f aca="false">B14-E14</f>
        <v>383.2</v>
      </c>
      <c r="G14" s="23" t="n">
        <v>12</v>
      </c>
      <c r="H14" s="9" t="s">
        <v>140</v>
      </c>
      <c r="I14" s="24" t="n">
        <v>8</v>
      </c>
      <c r="J14" s="6" t="n">
        <f aca="false">ROUND(F14*I14,0)</f>
        <v>3066</v>
      </c>
      <c r="K14" s="5" t="s">
        <v>141</v>
      </c>
      <c r="L14" s="5" t="s">
        <v>150</v>
      </c>
      <c r="M14" s="8" t="n">
        <v>0.5</v>
      </c>
      <c r="N14" s="5" t="n">
        <v>1</v>
      </c>
      <c r="O14" s="9" t="s">
        <v>155</v>
      </c>
      <c r="P14" s="5" t="s">
        <v>144</v>
      </c>
      <c r="Q14" s="9" t="s">
        <v>156</v>
      </c>
    </row>
    <row r="15" customFormat="false" ht="22.35" hidden="false" customHeight="false" outlineLevel="0" collapsed="false">
      <c r="A15" s="9" t="s">
        <v>168</v>
      </c>
      <c r="B15" s="21" t="n">
        <v>367.2</v>
      </c>
      <c r="C15" s="26" t="s">
        <v>150</v>
      </c>
      <c r="D15" s="8" t="n">
        <v>0.66</v>
      </c>
      <c r="E15" s="21" t="n">
        <f aca="false">ROUND(B15*D15,1)</f>
        <v>242.4</v>
      </c>
      <c r="F15" s="21" t="n">
        <f aca="false">B15-E15</f>
        <v>124.8</v>
      </c>
      <c r="G15" s="23" t="n">
        <v>12</v>
      </c>
      <c r="H15" s="9" t="s">
        <v>140</v>
      </c>
      <c r="I15" s="24" t="n">
        <v>8</v>
      </c>
      <c r="J15" s="6" t="n">
        <f aca="false">ROUND(F15*I15,0)</f>
        <v>998</v>
      </c>
      <c r="K15" s="5" t="s">
        <v>141</v>
      </c>
      <c r="L15" s="5" t="s">
        <v>142</v>
      </c>
      <c r="M15" s="8" t="n">
        <v>0.79</v>
      </c>
      <c r="N15" s="5" t="n">
        <v>5</v>
      </c>
      <c r="O15" s="9" t="s">
        <v>169</v>
      </c>
      <c r="P15" s="5" t="s">
        <v>144</v>
      </c>
      <c r="Q15" s="9" t="s">
        <v>170</v>
      </c>
    </row>
    <row r="16" customFormat="false" ht="22.35" hidden="false" customHeight="false" outlineLevel="0" collapsed="false">
      <c r="A16" s="9" t="s">
        <v>171</v>
      </c>
      <c r="B16" s="21" t="n">
        <v>1142.1</v>
      </c>
      <c r="C16" s="22" t="s">
        <v>139</v>
      </c>
      <c r="D16" s="8" t="n">
        <v>1</v>
      </c>
      <c r="E16" s="21" t="n">
        <f aca="false">ROUND(B16*D16,1)</f>
        <v>1142.1</v>
      </c>
      <c r="F16" s="21" t="n">
        <f aca="false">B16-E16</f>
        <v>0</v>
      </c>
      <c r="G16" s="23" t="n">
        <v>12</v>
      </c>
      <c r="H16" s="9" t="s">
        <v>140</v>
      </c>
      <c r="I16" s="24" t="n">
        <v>8</v>
      </c>
      <c r="J16" s="6" t="n">
        <f aca="false">ROUND(F16*I16,0)</f>
        <v>0</v>
      </c>
      <c r="K16" s="5" t="s">
        <v>141</v>
      </c>
      <c r="L16" s="5" t="s">
        <v>150</v>
      </c>
      <c r="M16" s="8" t="n">
        <v>0.5</v>
      </c>
      <c r="N16" s="5" t="n">
        <v>2</v>
      </c>
      <c r="O16" s="9" t="s">
        <v>161</v>
      </c>
      <c r="P16" s="5" t="s">
        <v>144</v>
      </c>
      <c r="Q16" s="9" t="s">
        <v>172</v>
      </c>
    </row>
    <row r="17" customFormat="false" ht="15" hidden="false" customHeight="false" outlineLevel="0" collapsed="false">
      <c r="A17" s="9" t="s">
        <v>173</v>
      </c>
      <c r="B17" s="21" t="n">
        <v>389</v>
      </c>
      <c r="C17" s="25" t="s">
        <v>154</v>
      </c>
      <c r="D17" s="8" t="n">
        <v>0</v>
      </c>
      <c r="E17" s="21" t="n">
        <f aca="false">ROUND(B17*D17,1)</f>
        <v>0</v>
      </c>
      <c r="F17" s="21" t="n">
        <f aca="false">B17-E17</f>
        <v>389</v>
      </c>
      <c r="G17" s="23" t="n">
        <v>12</v>
      </c>
      <c r="H17" s="9" t="s">
        <v>140</v>
      </c>
      <c r="I17" s="24" t="n">
        <v>8</v>
      </c>
      <c r="J17" s="6" t="n">
        <f aca="false">ROUND(F17*I17,0)</f>
        <v>3112</v>
      </c>
      <c r="K17" s="5" t="s">
        <v>141</v>
      </c>
      <c r="L17" s="5" t="s">
        <v>174</v>
      </c>
      <c r="M17" s="8" t="n">
        <v>0</v>
      </c>
      <c r="N17" s="5" t="n">
        <v>1</v>
      </c>
      <c r="O17" s="9" t="s">
        <v>175</v>
      </c>
      <c r="P17" s="5" t="s">
        <v>144</v>
      </c>
      <c r="Q17" s="9" t="s">
        <v>156</v>
      </c>
    </row>
    <row r="18" customFormat="false" ht="22.35" hidden="false" customHeight="false" outlineLevel="0" collapsed="false">
      <c r="A18" s="9" t="s">
        <v>176</v>
      </c>
      <c r="B18" s="21" t="n">
        <v>321.4</v>
      </c>
      <c r="C18" s="22" t="s">
        <v>139</v>
      </c>
      <c r="D18" s="8" t="n">
        <v>1</v>
      </c>
      <c r="E18" s="21" t="n">
        <f aca="false">ROUND(B18*D18,1)</f>
        <v>321.4</v>
      </c>
      <c r="F18" s="21" t="n">
        <f aca="false">B18-E18</f>
        <v>0</v>
      </c>
      <c r="G18" s="23" t="n">
        <v>12</v>
      </c>
      <c r="H18" s="9" t="s">
        <v>140</v>
      </c>
      <c r="I18" s="24" t="n">
        <v>8</v>
      </c>
      <c r="J18" s="6" t="n">
        <f aca="false">ROUND(F18*I18,0)</f>
        <v>0</v>
      </c>
      <c r="K18" s="5" t="s">
        <v>141</v>
      </c>
      <c r="L18" s="5" t="s">
        <v>142</v>
      </c>
      <c r="M18" s="8" t="n">
        <v>1</v>
      </c>
      <c r="N18" s="5" t="n">
        <v>1</v>
      </c>
      <c r="O18" s="9" t="s">
        <v>151</v>
      </c>
      <c r="P18" s="5" t="s">
        <v>144</v>
      </c>
      <c r="Q18" s="9" t="s">
        <v>177</v>
      </c>
    </row>
    <row r="19" customFormat="false" ht="15" hidden="false" customHeight="false" outlineLevel="0" collapsed="false">
      <c r="A19" s="9" t="s">
        <v>178</v>
      </c>
      <c r="B19" s="21" t="n">
        <v>393.5</v>
      </c>
      <c r="C19" s="25" t="s">
        <v>154</v>
      </c>
      <c r="D19" s="8" t="n">
        <v>0</v>
      </c>
      <c r="E19" s="21" t="n">
        <f aca="false">ROUND(B19*D19,1)</f>
        <v>0</v>
      </c>
      <c r="F19" s="21" t="n">
        <f aca="false">B19-E19</f>
        <v>393.5</v>
      </c>
      <c r="G19" s="23" t="n">
        <v>12</v>
      </c>
      <c r="H19" s="9" t="s">
        <v>140</v>
      </c>
      <c r="I19" s="24" t="n">
        <v>8</v>
      </c>
      <c r="J19" s="6" t="n">
        <f aca="false">ROUND(F19*I19,0)</f>
        <v>3148</v>
      </c>
      <c r="K19" s="5" t="s">
        <v>141</v>
      </c>
      <c r="L19" s="5" t="s">
        <v>150</v>
      </c>
      <c r="M19" s="8" t="n">
        <v>0.5</v>
      </c>
      <c r="N19" s="5" t="n">
        <v>1</v>
      </c>
      <c r="O19" s="9" t="s">
        <v>175</v>
      </c>
      <c r="P19" s="5" t="s">
        <v>144</v>
      </c>
      <c r="Q19" s="9" t="s">
        <v>156</v>
      </c>
    </row>
    <row r="20" customFormat="false" ht="15" hidden="false" customHeight="false" outlineLevel="0" collapsed="false">
      <c r="A20" s="9" t="s">
        <v>179</v>
      </c>
      <c r="B20" s="21" t="n">
        <v>1404.6</v>
      </c>
      <c r="C20" s="26" t="s">
        <v>150</v>
      </c>
      <c r="D20" s="8" t="n">
        <v>0.3</v>
      </c>
      <c r="E20" s="21" t="n">
        <f aca="false">ROUND(B20*D20,1)</f>
        <v>421.4</v>
      </c>
      <c r="F20" s="21" t="n">
        <f aca="false">B20-E20</f>
        <v>983.2</v>
      </c>
      <c r="G20" s="23" t="n">
        <v>12</v>
      </c>
      <c r="H20" s="9" t="s">
        <v>140</v>
      </c>
      <c r="I20" s="24" t="n">
        <v>8</v>
      </c>
      <c r="J20" s="6" t="n">
        <f aca="false">ROUND(F20*I20,0)</f>
        <v>7866</v>
      </c>
      <c r="K20" s="5" t="s">
        <v>141</v>
      </c>
      <c r="L20" s="5" t="s">
        <v>150</v>
      </c>
      <c r="M20" s="8" t="n">
        <v>0.42</v>
      </c>
      <c r="N20" s="5" t="n">
        <v>5</v>
      </c>
      <c r="O20" s="9" t="s">
        <v>180</v>
      </c>
      <c r="P20" s="5" t="s">
        <v>144</v>
      </c>
      <c r="Q20" s="9" t="s">
        <v>156</v>
      </c>
    </row>
    <row r="21" customFormat="false" ht="22.35" hidden="false" customHeight="false" outlineLevel="0" collapsed="false">
      <c r="A21" s="9" t="s">
        <v>181</v>
      </c>
      <c r="B21" s="21" t="n">
        <v>1401.7</v>
      </c>
      <c r="C21" s="26" t="s">
        <v>150</v>
      </c>
      <c r="D21" s="8" t="n">
        <v>0.76</v>
      </c>
      <c r="E21" s="21" t="n">
        <f aca="false">ROUND(B21*D21,1)</f>
        <v>1065.3</v>
      </c>
      <c r="F21" s="21" t="n">
        <f aca="false">B21-E21</f>
        <v>336.4</v>
      </c>
      <c r="G21" s="23" t="n">
        <v>12</v>
      </c>
      <c r="H21" s="9" t="s">
        <v>140</v>
      </c>
      <c r="I21" s="24" t="n">
        <v>8</v>
      </c>
      <c r="J21" s="6" t="n">
        <f aca="false">ROUND(F21*I21,0)</f>
        <v>2691</v>
      </c>
      <c r="K21" s="5" t="s">
        <v>141</v>
      </c>
      <c r="L21" s="5" t="s">
        <v>150</v>
      </c>
      <c r="M21" s="8" t="n">
        <v>0.64</v>
      </c>
      <c r="N21" s="5" t="n">
        <v>5</v>
      </c>
      <c r="O21" s="9" t="s">
        <v>182</v>
      </c>
      <c r="P21" s="5" t="s">
        <v>144</v>
      </c>
      <c r="Q21" s="9" t="s">
        <v>183</v>
      </c>
    </row>
    <row r="22" customFormat="false" ht="15" hidden="false" customHeight="false" outlineLevel="0" collapsed="false">
      <c r="A22" s="9" t="s">
        <v>184</v>
      </c>
      <c r="B22" s="21" t="n">
        <v>388.4</v>
      </c>
      <c r="C22" s="22" t="s">
        <v>139</v>
      </c>
      <c r="D22" s="8" t="n">
        <v>1</v>
      </c>
      <c r="E22" s="21" t="n">
        <f aca="false">ROUND(B22*D22,1)</f>
        <v>388.4</v>
      </c>
      <c r="F22" s="21" t="n">
        <f aca="false">B22-E22</f>
        <v>0</v>
      </c>
      <c r="G22" s="23" t="n">
        <v>12</v>
      </c>
      <c r="H22" s="9" t="s">
        <v>140</v>
      </c>
      <c r="I22" s="24" t="n">
        <v>8</v>
      </c>
      <c r="J22" s="6" t="n">
        <f aca="false">ROUND(F22*I22,0)</f>
        <v>0</v>
      </c>
      <c r="K22" s="5" t="s">
        <v>141</v>
      </c>
      <c r="L22" s="5" t="s">
        <v>142</v>
      </c>
      <c r="M22" s="8" t="n">
        <v>1</v>
      </c>
      <c r="N22" s="5" t="n">
        <v>1</v>
      </c>
      <c r="O22" s="9" t="s">
        <v>151</v>
      </c>
      <c r="P22" s="5" t="s">
        <v>144</v>
      </c>
      <c r="Q22" s="9" t="s">
        <v>156</v>
      </c>
    </row>
    <row r="23" customFormat="false" ht="15" hidden="false" customHeight="false" outlineLevel="0" collapsed="false">
      <c r="A23" s="9" t="s">
        <v>185</v>
      </c>
      <c r="B23" s="21" t="n">
        <v>391.1</v>
      </c>
      <c r="C23" s="25" t="s">
        <v>154</v>
      </c>
      <c r="D23" s="8" t="n">
        <v>0</v>
      </c>
      <c r="E23" s="21" t="n">
        <f aca="false">ROUND(B23*D23,1)</f>
        <v>0</v>
      </c>
      <c r="F23" s="21" t="n">
        <f aca="false">B23-E23</f>
        <v>391.1</v>
      </c>
      <c r="G23" s="23" t="n">
        <v>12</v>
      </c>
      <c r="H23" s="9" t="s">
        <v>140</v>
      </c>
      <c r="I23" s="24" t="n">
        <v>8</v>
      </c>
      <c r="J23" s="6" t="n">
        <f aca="false">ROUND(F23*I23,0)</f>
        <v>3129</v>
      </c>
      <c r="K23" s="5" t="s">
        <v>141</v>
      </c>
      <c r="L23" s="5" t="s">
        <v>174</v>
      </c>
      <c r="M23" s="8" t="n">
        <v>0</v>
      </c>
      <c r="N23" s="5" t="n">
        <v>1</v>
      </c>
      <c r="O23" s="9" t="s">
        <v>175</v>
      </c>
      <c r="P23" s="5" t="s">
        <v>144</v>
      </c>
      <c r="Q23" s="9" t="s">
        <v>156</v>
      </c>
    </row>
    <row r="24" customFormat="false" ht="15" hidden="false" customHeight="false" outlineLevel="0" collapsed="false">
      <c r="A24" s="9" t="s">
        <v>186</v>
      </c>
      <c r="B24" s="21" t="n">
        <v>384.1</v>
      </c>
      <c r="C24" s="25" t="s">
        <v>154</v>
      </c>
      <c r="D24" s="8" t="n">
        <v>0</v>
      </c>
      <c r="E24" s="21" t="n">
        <f aca="false">ROUND(B24*D24,1)</f>
        <v>0</v>
      </c>
      <c r="F24" s="21" t="n">
        <f aca="false">B24-E24</f>
        <v>384.1</v>
      </c>
      <c r="G24" s="23" t="n">
        <v>12</v>
      </c>
      <c r="H24" s="9" t="s">
        <v>140</v>
      </c>
      <c r="I24" s="24" t="n">
        <v>8</v>
      </c>
      <c r="J24" s="6" t="n">
        <f aca="false">ROUND(F24*I24,0)</f>
        <v>3073</v>
      </c>
      <c r="K24" s="5" t="s">
        <v>141</v>
      </c>
      <c r="L24" s="5" t="s">
        <v>150</v>
      </c>
      <c r="M24" s="8" t="n">
        <v>0.5</v>
      </c>
      <c r="N24" s="5" t="n">
        <v>1</v>
      </c>
      <c r="O24" s="9" t="s">
        <v>155</v>
      </c>
      <c r="P24" s="5" t="s">
        <v>144</v>
      </c>
      <c r="Q24" s="9" t="s">
        <v>156</v>
      </c>
    </row>
    <row r="25" customFormat="false" ht="15" hidden="false" customHeight="false" outlineLevel="0" collapsed="false">
      <c r="A25" s="9" t="s">
        <v>187</v>
      </c>
      <c r="B25" s="21" t="n">
        <v>9.2</v>
      </c>
      <c r="C25" s="22" t="s">
        <v>139</v>
      </c>
      <c r="D25" s="8" t="n">
        <v>1</v>
      </c>
      <c r="E25" s="21" t="n">
        <f aca="false">ROUND(B25*D25,1)</f>
        <v>9.2</v>
      </c>
      <c r="F25" s="21" t="n">
        <f aca="false">B25-E25</f>
        <v>0</v>
      </c>
      <c r="G25" s="23" t="n">
        <v>12</v>
      </c>
      <c r="H25" s="9" t="s">
        <v>140</v>
      </c>
      <c r="I25" s="24" t="n">
        <v>8</v>
      </c>
      <c r="J25" s="6" t="n">
        <f aca="false">ROUND(F25*I25,0)</f>
        <v>0</v>
      </c>
      <c r="K25" s="5" t="s">
        <v>141</v>
      </c>
      <c r="L25" s="5" t="s">
        <v>142</v>
      </c>
      <c r="M25" s="8" t="n">
        <v>1</v>
      </c>
      <c r="N25" s="5" t="n">
        <v>1</v>
      </c>
      <c r="O25" s="9" t="s">
        <v>151</v>
      </c>
      <c r="P25" s="5" t="s">
        <v>144</v>
      </c>
      <c r="Q25" s="9" t="s">
        <v>188</v>
      </c>
    </row>
    <row r="26" customFormat="false" ht="15" hidden="false" customHeight="false" outlineLevel="0" collapsed="false">
      <c r="A26" s="12" t="s">
        <v>189</v>
      </c>
      <c r="B26" s="13" t="n">
        <f aca="false">SUM(B6:B25)</f>
        <v>16241.4</v>
      </c>
      <c r="C26" s="12"/>
      <c r="D26" s="14" t="n">
        <f aca="false">IF(B26=0,0,E26/B26)</f>
        <v>0.599166328025909</v>
      </c>
      <c r="E26" s="13" t="n">
        <f aca="false">SUM(E6:E25)</f>
        <v>9731.3</v>
      </c>
      <c r="F26" s="13" t="n">
        <f aca="false">SUM(F6:F25)</f>
        <v>6510.1</v>
      </c>
      <c r="G26" s="12"/>
      <c r="H26" s="12"/>
      <c r="I26" s="12"/>
      <c r="J26" s="13" t="n">
        <f aca="false">SUM(J6:J25)</f>
        <v>52083</v>
      </c>
      <c r="K26" s="12"/>
      <c r="L26" s="12"/>
      <c r="M26" s="12"/>
      <c r="N26" s="12"/>
      <c r="O26" s="12"/>
      <c r="P26" s="12"/>
      <c r="Q26" s="12"/>
    </row>
    <row r="28" customFormat="false" ht="15" hidden="false" customHeight="false" outlineLevel="0" collapsed="false">
      <c r="A28" s="16" t="s">
        <v>190</v>
      </c>
      <c r="D28" s="27" t="n">
        <f aca="false">J26</f>
        <v>52083</v>
      </c>
      <c r="F28" s="20" t="s">
        <v>191</v>
      </c>
    </row>
    <row r="29" customFormat="false" ht="15" hidden="false" customHeight="false" outlineLevel="0" collapsed="false">
      <c r="A29" s="16" t="s">
        <v>192</v>
      </c>
      <c r="D29" s="27" t="n">
        <f aca="false">F26*8</f>
        <v>52080.8</v>
      </c>
      <c r="F29" s="20" t="s">
        <v>193</v>
      </c>
    </row>
    <row r="30" customFormat="false" ht="15" hidden="false" customHeight="false" outlineLevel="0" collapsed="false">
      <c r="A30" s="16" t="s">
        <v>194</v>
      </c>
      <c r="D30" s="28" t="n">
        <v>0</v>
      </c>
      <c r="F30" s="20" t="s">
        <v>195</v>
      </c>
    </row>
    <row r="31" customFormat="false" ht="15" hidden="false" customHeight="false" outlineLevel="0" collapsed="false">
      <c r="A31" s="16" t="s">
        <v>196</v>
      </c>
      <c r="D31" s="29" t="n">
        <v>0.6</v>
      </c>
      <c r="F31" s="20" t="s">
        <v>29</v>
      </c>
    </row>
    <row r="32" customFormat="false" ht="15" hidden="false" customHeight="false" outlineLevel="0" collapsed="false">
      <c r="A32" s="16" t="s">
        <v>197</v>
      </c>
      <c r="D32" s="27" t="n">
        <f aca="false">(B26-D30)*(1-D31)</f>
        <v>6496.56</v>
      </c>
      <c r="F32" s="20" t="s">
        <v>198</v>
      </c>
    </row>
    <row r="33" customFormat="false" ht="15" hidden="false" customHeight="false" outlineLevel="0" collapsed="false">
      <c r="A33" s="16" t="s">
        <v>199</v>
      </c>
      <c r="D33" s="27" t="n">
        <f aca="false">ROUND(D32*4,0)</f>
        <v>25986</v>
      </c>
      <c r="F33" s="20" t="s">
        <v>200</v>
      </c>
    </row>
    <row r="34" customFormat="false" ht="15" hidden="false" customHeight="false" outlineLevel="0" collapsed="false">
      <c r="A34" s="16" t="s">
        <v>201</v>
      </c>
      <c r="D34" s="28" t="n">
        <v>54</v>
      </c>
    </row>
    <row r="35" customFormat="false" ht="15" hidden="false" customHeight="false" outlineLevel="0" collapsed="false">
      <c r="A35" s="16" t="s">
        <v>202</v>
      </c>
      <c r="D35" s="28" t="n">
        <v>4</v>
      </c>
      <c r="F35" s="20" t="s">
        <v>203</v>
      </c>
    </row>
    <row r="36" customFormat="false" ht="15" hidden="false" customHeight="false" outlineLevel="0" collapsed="false">
      <c r="A36" s="16" t="s">
        <v>204</v>
      </c>
      <c r="D36" s="28" t="n">
        <v>9731</v>
      </c>
    </row>
    <row r="37" customFormat="false" ht="15" hidden="false" customHeight="false" outlineLevel="0" collapsed="false">
      <c r="A37" s="16" t="s">
        <v>205</v>
      </c>
      <c r="D37" s="28" t="n">
        <v>0</v>
      </c>
      <c r="F37" s="20" t="s">
        <v>206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3"/>
    <col collapsed="false" customWidth="true" hidden="false" outlineLevel="0" max="3" min="3" style="0" width="15"/>
    <col collapsed="false" customWidth="true" hidden="false" outlineLevel="0" max="4" min="4" style="0" width="12"/>
    <col collapsed="false" customWidth="true" hidden="false" outlineLevel="0" max="6" min="5" style="0" width="13"/>
    <col collapsed="false" customWidth="true" hidden="false" outlineLevel="0" max="7" min="7" style="0" width="11"/>
    <col collapsed="false" customWidth="true" hidden="false" outlineLevel="0" max="8" min="8" style="0" width="20"/>
    <col collapsed="false" customWidth="true" hidden="false" outlineLevel="0" max="10" min="9" style="0" width="13"/>
    <col collapsed="false" customWidth="true" hidden="false" outlineLevel="0" max="11" min="11" style="0" width="10"/>
    <col collapsed="false" customWidth="true" hidden="false" outlineLevel="0" max="12" min="12" style="0" width="13"/>
    <col collapsed="false" customWidth="true" hidden="false" outlineLevel="0" max="14" min="13" style="0" width="9"/>
    <col collapsed="false" customWidth="true" hidden="false" outlineLevel="0" max="15" min="15" style="0" width="46"/>
    <col collapsed="false" customWidth="true" hidden="false" outlineLevel="0" max="16" min="16" style="0" width="17"/>
    <col collapsed="false" customWidth="true" hidden="false" outlineLevel="0" max="17" min="17" style="0" width="52"/>
  </cols>
  <sheetData>
    <row r="1" customFormat="false" ht="16.15" hidden="false" customHeight="false" outlineLevel="0" collapsed="false">
      <c r="A1" s="18" t="s">
        <v>207</v>
      </c>
    </row>
    <row r="2" customFormat="false" ht="15" hidden="false" customHeight="false" outlineLevel="0" collapsed="false">
      <c r="A2" s="19" t="s">
        <v>208</v>
      </c>
    </row>
    <row r="3" customFormat="false" ht="15" hidden="false" customHeight="false" outlineLevel="0" collapsed="false">
      <c r="A3" s="20" t="s">
        <v>209</v>
      </c>
    </row>
    <row r="5" customFormat="false" ht="32.8" hidden="false" customHeight="false" outlineLevel="0" collapsed="false">
      <c r="A5" s="4" t="s">
        <v>122</v>
      </c>
      <c r="B5" s="4" t="s">
        <v>123</v>
      </c>
      <c r="C5" s="4" t="s">
        <v>124</v>
      </c>
      <c r="D5" s="4" t="s">
        <v>125</v>
      </c>
      <c r="E5" s="4" t="s">
        <v>126</v>
      </c>
      <c r="F5" s="4" t="s">
        <v>12</v>
      </c>
      <c r="G5" s="4" t="s">
        <v>127</v>
      </c>
      <c r="H5" s="4" t="s">
        <v>128</v>
      </c>
      <c r="I5" s="4" t="s">
        <v>129</v>
      </c>
      <c r="J5" s="4" t="s">
        <v>130</v>
      </c>
      <c r="K5" s="4" t="s">
        <v>131</v>
      </c>
      <c r="L5" s="4" t="s">
        <v>132</v>
      </c>
      <c r="M5" s="4" t="s">
        <v>133</v>
      </c>
      <c r="N5" s="4" t="s">
        <v>134</v>
      </c>
      <c r="O5" s="4" t="s">
        <v>135</v>
      </c>
      <c r="P5" s="4" t="s">
        <v>136</v>
      </c>
      <c r="Q5" s="4" t="s">
        <v>137</v>
      </c>
    </row>
    <row r="6" customFormat="false" ht="22.35" hidden="false" customHeight="false" outlineLevel="0" collapsed="false">
      <c r="A6" s="9" t="s">
        <v>210</v>
      </c>
      <c r="B6" s="21" t="n">
        <v>942.4</v>
      </c>
      <c r="C6" s="25" t="s">
        <v>154</v>
      </c>
      <c r="D6" s="8" t="n">
        <v>0</v>
      </c>
      <c r="E6" s="21" t="n">
        <f aca="false">ROUND(B6*D6,1)</f>
        <v>0</v>
      </c>
      <c r="F6" s="21" t="n">
        <f aca="false">B6-E6</f>
        <v>942.4</v>
      </c>
      <c r="G6" s="23" t="n">
        <v>12</v>
      </c>
      <c r="H6" s="9" t="s">
        <v>211</v>
      </c>
      <c r="I6" s="24" t="n">
        <v>8</v>
      </c>
      <c r="J6" s="6" t="n">
        <f aca="false">ROUND(F6*I6,0)</f>
        <v>7539</v>
      </c>
      <c r="K6" s="5" t="s">
        <v>141</v>
      </c>
      <c r="L6" s="5" t="s">
        <v>174</v>
      </c>
      <c r="M6" s="8" t="n">
        <v>0</v>
      </c>
      <c r="N6" s="5" t="n">
        <v>3</v>
      </c>
      <c r="O6" s="9" t="s">
        <v>212</v>
      </c>
      <c r="P6" s="5" t="s">
        <v>144</v>
      </c>
      <c r="Q6" s="9" t="s">
        <v>213</v>
      </c>
    </row>
    <row r="7" customFormat="false" ht="22.35" hidden="false" customHeight="false" outlineLevel="0" collapsed="false">
      <c r="A7" s="9" t="s">
        <v>214</v>
      </c>
      <c r="B7" s="21" t="n">
        <v>920</v>
      </c>
      <c r="C7" s="25" t="s">
        <v>154</v>
      </c>
      <c r="D7" s="8" t="n">
        <v>0</v>
      </c>
      <c r="E7" s="21" t="n">
        <f aca="false">ROUND(B7*D7,1)</f>
        <v>0</v>
      </c>
      <c r="F7" s="21" t="n">
        <f aca="false">B7-E7</f>
        <v>920</v>
      </c>
      <c r="G7" s="30" t="n">
        <v>15</v>
      </c>
      <c r="H7" s="9" t="s">
        <v>215</v>
      </c>
      <c r="I7" s="24" t="n">
        <v>11</v>
      </c>
      <c r="J7" s="6" t="n">
        <f aca="false">ROUND(F7*I7,0)</f>
        <v>10120</v>
      </c>
      <c r="K7" s="5" t="s">
        <v>216</v>
      </c>
      <c r="L7" s="5" t="s">
        <v>217</v>
      </c>
      <c r="M7" s="8" t="s">
        <v>218</v>
      </c>
      <c r="N7" s="5" t="n">
        <v>0</v>
      </c>
      <c r="O7" s="9" t="s">
        <v>219</v>
      </c>
      <c r="P7" s="5" t="s">
        <v>220</v>
      </c>
      <c r="Q7" s="9" t="s">
        <v>221</v>
      </c>
    </row>
    <row r="8" customFormat="false" ht="22.35" hidden="false" customHeight="false" outlineLevel="0" collapsed="false">
      <c r="A8" s="9" t="s">
        <v>222</v>
      </c>
      <c r="B8" s="21" t="n">
        <v>920</v>
      </c>
      <c r="C8" s="25" t="s">
        <v>154</v>
      </c>
      <c r="D8" s="8" t="n">
        <v>0</v>
      </c>
      <c r="E8" s="21" t="n">
        <f aca="false">ROUND(B8*D8,1)</f>
        <v>0</v>
      </c>
      <c r="F8" s="21" t="n">
        <f aca="false">B8-E8</f>
        <v>920</v>
      </c>
      <c r="G8" s="30" t="n">
        <v>15</v>
      </c>
      <c r="H8" s="9" t="s">
        <v>215</v>
      </c>
      <c r="I8" s="24" t="n">
        <v>11</v>
      </c>
      <c r="J8" s="6" t="n">
        <f aca="false">ROUND(F8*I8,0)</f>
        <v>10120</v>
      </c>
      <c r="K8" s="5" t="s">
        <v>216</v>
      </c>
      <c r="L8" s="5" t="s">
        <v>217</v>
      </c>
      <c r="M8" s="8" t="s">
        <v>218</v>
      </c>
      <c r="N8" s="5" t="n">
        <v>0</v>
      </c>
      <c r="O8" s="9" t="s">
        <v>219</v>
      </c>
      <c r="P8" s="5" t="s">
        <v>220</v>
      </c>
      <c r="Q8" s="9" t="s">
        <v>223</v>
      </c>
    </row>
    <row r="9" customFormat="false" ht="22.35" hidden="false" customHeight="false" outlineLevel="0" collapsed="false">
      <c r="A9" s="9" t="s">
        <v>224</v>
      </c>
      <c r="B9" s="21" t="n">
        <v>920</v>
      </c>
      <c r="C9" s="25" t="s">
        <v>154</v>
      </c>
      <c r="D9" s="8" t="n">
        <v>0</v>
      </c>
      <c r="E9" s="21" t="n">
        <f aca="false">ROUND(B9*D9,1)</f>
        <v>0</v>
      </c>
      <c r="F9" s="21" t="n">
        <f aca="false">B9-E9</f>
        <v>920</v>
      </c>
      <c r="G9" s="30" t="n">
        <v>15</v>
      </c>
      <c r="H9" s="9" t="s">
        <v>215</v>
      </c>
      <c r="I9" s="24" t="n">
        <v>11</v>
      </c>
      <c r="J9" s="6" t="n">
        <f aca="false">ROUND(F9*I9,0)</f>
        <v>10120</v>
      </c>
      <c r="K9" s="5" t="s">
        <v>216</v>
      </c>
      <c r="L9" s="5" t="s">
        <v>217</v>
      </c>
      <c r="M9" s="8" t="s">
        <v>218</v>
      </c>
      <c r="N9" s="5" t="n">
        <v>0</v>
      </c>
      <c r="O9" s="9" t="s">
        <v>219</v>
      </c>
      <c r="P9" s="5" t="s">
        <v>220</v>
      </c>
      <c r="Q9" s="9" t="s">
        <v>225</v>
      </c>
    </row>
    <row r="10" customFormat="false" ht="22.35" hidden="false" customHeight="false" outlineLevel="0" collapsed="false">
      <c r="A10" s="9" t="s">
        <v>226</v>
      </c>
      <c r="B10" s="21" t="n">
        <v>920</v>
      </c>
      <c r="C10" s="25" t="s">
        <v>154</v>
      </c>
      <c r="D10" s="8" t="n">
        <v>0</v>
      </c>
      <c r="E10" s="21" t="n">
        <f aca="false">ROUND(B10*D10,1)</f>
        <v>0</v>
      </c>
      <c r="F10" s="21" t="n">
        <f aca="false">B10-E10</f>
        <v>920</v>
      </c>
      <c r="G10" s="30" t="n">
        <v>15</v>
      </c>
      <c r="H10" s="9" t="s">
        <v>215</v>
      </c>
      <c r="I10" s="24" t="n">
        <v>11</v>
      </c>
      <c r="J10" s="6" t="n">
        <f aca="false">ROUND(F10*I10,0)</f>
        <v>10120</v>
      </c>
      <c r="K10" s="5" t="s">
        <v>216</v>
      </c>
      <c r="L10" s="5" t="s">
        <v>217</v>
      </c>
      <c r="M10" s="8" t="s">
        <v>218</v>
      </c>
      <c r="N10" s="5" t="n">
        <v>0</v>
      </c>
      <c r="O10" s="9" t="s">
        <v>219</v>
      </c>
      <c r="P10" s="5" t="s">
        <v>220</v>
      </c>
      <c r="Q10" s="9" t="s">
        <v>225</v>
      </c>
    </row>
    <row r="11" customFormat="false" ht="22.35" hidden="false" customHeight="false" outlineLevel="0" collapsed="false">
      <c r="A11" s="9" t="s">
        <v>227</v>
      </c>
      <c r="B11" s="21" t="n">
        <v>920</v>
      </c>
      <c r="C11" s="25" t="s">
        <v>154</v>
      </c>
      <c r="D11" s="8" t="n">
        <v>0</v>
      </c>
      <c r="E11" s="21" t="n">
        <f aca="false">ROUND(B11*D11,1)</f>
        <v>0</v>
      </c>
      <c r="F11" s="21" t="n">
        <f aca="false">B11-E11</f>
        <v>920</v>
      </c>
      <c r="G11" s="30" t="n">
        <v>15</v>
      </c>
      <c r="H11" s="9" t="s">
        <v>215</v>
      </c>
      <c r="I11" s="24" t="n">
        <v>11</v>
      </c>
      <c r="J11" s="6" t="n">
        <f aca="false">ROUND(F11*I11,0)</f>
        <v>10120</v>
      </c>
      <c r="K11" s="5" t="s">
        <v>216</v>
      </c>
      <c r="L11" s="5" t="s">
        <v>217</v>
      </c>
      <c r="M11" s="8" t="s">
        <v>218</v>
      </c>
      <c r="N11" s="5" t="n">
        <v>0</v>
      </c>
      <c r="O11" s="9" t="s">
        <v>219</v>
      </c>
      <c r="P11" s="5" t="s">
        <v>220</v>
      </c>
      <c r="Q11" s="9" t="s">
        <v>225</v>
      </c>
    </row>
    <row r="12" customFormat="false" ht="22.35" hidden="false" customHeight="false" outlineLevel="0" collapsed="false">
      <c r="A12" s="9" t="s">
        <v>228</v>
      </c>
      <c r="B12" s="21" t="n">
        <v>920</v>
      </c>
      <c r="C12" s="25" t="s">
        <v>154</v>
      </c>
      <c r="D12" s="8" t="n">
        <v>0</v>
      </c>
      <c r="E12" s="21" t="n">
        <f aca="false">ROUND(B12*D12,1)</f>
        <v>0</v>
      </c>
      <c r="F12" s="21" t="n">
        <f aca="false">B12-E12</f>
        <v>920</v>
      </c>
      <c r="G12" s="30" t="n">
        <v>12</v>
      </c>
      <c r="H12" s="9" t="s">
        <v>215</v>
      </c>
      <c r="I12" s="24" t="n">
        <v>8</v>
      </c>
      <c r="J12" s="6" t="n">
        <f aca="false">ROUND(F12*I12,0)</f>
        <v>7360</v>
      </c>
      <c r="K12" s="5" t="s">
        <v>216</v>
      </c>
      <c r="L12" s="5" t="s">
        <v>217</v>
      </c>
      <c r="M12" s="8" t="s">
        <v>218</v>
      </c>
      <c r="N12" s="5" t="n">
        <v>0</v>
      </c>
      <c r="O12" s="9" t="s">
        <v>219</v>
      </c>
      <c r="P12" s="5" t="s">
        <v>220</v>
      </c>
      <c r="Q12" s="9" t="s">
        <v>225</v>
      </c>
    </row>
    <row r="13" customFormat="false" ht="22.35" hidden="false" customHeight="false" outlineLevel="0" collapsed="false">
      <c r="A13" s="9" t="s">
        <v>229</v>
      </c>
      <c r="B13" s="21" t="n">
        <v>920</v>
      </c>
      <c r="C13" s="25" t="s">
        <v>154</v>
      </c>
      <c r="D13" s="8" t="n">
        <v>0</v>
      </c>
      <c r="E13" s="21" t="n">
        <f aca="false">ROUND(B13*D13,1)</f>
        <v>0</v>
      </c>
      <c r="F13" s="21" t="n">
        <f aca="false">B13-E13</f>
        <v>920</v>
      </c>
      <c r="G13" s="30" t="n">
        <v>12</v>
      </c>
      <c r="H13" s="9" t="s">
        <v>215</v>
      </c>
      <c r="I13" s="24" t="n">
        <v>8</v>
      </c>
      <c r="J13" s="6" t="n">
        <f aca="false">ROUND(F13*I13,0)</f>
        <v>7360</v>
      </c>
      <c r="K13" s="5" t="s">
        <v>216</v>
      </c>
      <c r="L13" s="5" t="s">
        <v>217</v>
      </c>
      <c r="M13" s="8" t="s">
        <v>218</v>
      </c>
      <c r="N13" s="5" t="n">
        <v>0</v>
      </c>
      <c r="O13" s="9" t="s">
        <v>219</v>
      </c>
      <c r="P13" s="5" t="s">
        <v>220</v>
      </c>
      <c r="Q13" s="9" t="s">
        <v>225</v>
      </c>
    </row>
    <row r="14" customFormat="false" ht="22.35" hidden="false" customHeight="false" outlineLevel="0" collapsed="false">
      <c r="A14" s="9" t="s">
        <v>230</v>
      </c>
      <c r="B14" s="21" t="n">
        <v>920</v>
      </c>
      <c r="C14" s="25" t="s">
        <v>154</v>
      </c>
      <c r="D14" s="8" t="n">
        <v>0</v>
      </c>
      <c r="E14" s="21" t="n">
        <f aca="false">ROUND(B14*D14,1)</f>
        <v>0</v>
      </c>
      <c r="F14" s="21" t="n">
        <f aca="false">B14-E14</f>
        <v>920</v>
      </c>
      <c r="G14" s="30" t="n">
        <v>12</v>
      </c>
      <c r="H14" s="9" t="s">
        <v>215</v>
      </c>
      <c r="I14" s="24" t="n">
        <v>8</v>
      </c>
      <c r="J14" s="6" t="n">
        <f aca="false">ROUND(F14*I14,0)</f>
        <v>7360</v>
      </c>
      <c r="K14" s="5" t="s">
        <v>216</v>
      </c>
      <c r="L14" s="5" t="s">
        <v>217</v>
      </c>
      <c r="M14" s="8" t="s">
        <v>218</v>
      </c>
      <c r="N14" s="5" t="n">
        <v>0</v>
      </c>
      <c r="O14" s="9" t="s">
        <v>219</v>
      </c>
      <c r="P14" s="5" t="s">
        <v>220</v>
      </c>
      <c r="Q14" s="9" t="s">
        <v>225</v>
      </c>
    </row>
    <row r="15" customFormat="false" ht="22.35" hidden="false" customHeight="false" outlineLevel="0" collapsed="false">
      <c r="A15" s="9" t="s">
        <v>231</v>
      </c>
      <c r="B15" s="21" t="n">
        <v>920</v>
      </c>
      <c r="C15" s="25" t="s">
        <v>154</v>
      </c>
      <c r="D15" s="8" t="n">
        <v>0</v>
      </c>
      <c r="E15" s="21" t="n">
        <f aca="false">ROUND(B15*D15,1)</f>
        <v>0</v>
      </c>
      <c r="F15" s="21" t="n">
        <f aca="false">B15-E15</f>
        <v>920</v>
      </c>
      <c r="G15" s="30" t="n">
        <v>12</v>
      </c>
      <c r="H15" s="9" t="s">
        <v>215</v>
      </c>
      <c r="I15" s="24" t="n">
        <v>8</v>
      </c>
      <c r="J15" s="6" t="n">
        <f aca="false">ROUND(F15*I15,0)</f>
        <v>7360</v>
      </c>
      <c r="K15" s="5" t="s">
        <v>216</v>
      </c>
      <c r="L15" s="5" t="s">
        <v>217</v>
      </c>
      <c r="M15" s="8" t="s">
        <v>218</v>
      </c>
      <c r="N15" s="5" t="n">
        <v>0</v>
      </c>
      <c r="O15" s="9" t="s">
        <v>219</v>
      </c>
      <c r="P15" s="5" t="s">
        <v>220</v>
      </c>
      <c r="Q15" s="9" t="s">
        <v>225</v>
      </c>
    </row>
    <row r="16" customFormat="false" ht="22.35" hidden="false" customHeight="false" outlineLevel="0" collapsed="false">
      <c r="A16" s="9" t="s">
        <v>232</v>
      </c>
      <c r="B16" s="21" t="n">
        <v>920</v>
      </c>
      <c r="C16" s="25" t="s">
        <v>154</v>
      </c>
      <c r="D16" s="8" t="n">
        <v>0</v>
      </c>
      <c r="E16" s="21" t="n">
        <f aca="false">ROUND(B16*D16,1)</f>
        <v>0</v>
      </c>
      <c r="F16" s="21" t="n">
        <f aca="false">B16-E16</f>
        <v>920</v>
      </c>
      <c r="G16" s="30" t="n">
        <v>12</v>
      </c>
      <c r="H16" s="9" t="s">
        <v>215</v>
      </c>
      <c r="I16" s="24" t="n">
        <v>8</v>
      </c>
      <c r="J16" s="6" t="n">
        <f aca="false">ROUND(F16*I16,0)</f>
        <v>7360</v>
      </c>
      <c r="K16" s="5" t="s">
        <v>216</v>
      </c>
      <c r="L16" s="5" t="s">
        <v>217</v>
      </c>
      <c r="M16" s="8" t="s">
        <v>218</v>
      </c>
      <c r="N16" s="5" t="n">
        <v>0</v>
      </c>
      <c r="O16" s="9" t="s">
        <v>219</v>
      </c>
      <c r="P16" s="5" t="s">
        <v>220</v>
      </c>
      <c r="Q16" s="9" t="s">
        <v>225</v>
      </c>
    </row>
    <row r="17" customFormat="false" ht="22.35" hidden="false" customHeight="false" outlineLevel="0" collapsed="false">
      <c r="A17" s="9" t="s">
        <v>233</v>
      </c>
      <c r="B17" s="21" t="n">
        <v>920</v>
      </c>
      <c r="C17" s="25" t="s">
        <v>154</v>
      </c>
      <c r="D17" s="8" t="n">
        <v>0</v>
      </c>
      <c r="E17" s="21" t="n">
        <f aca="false">ROUND(B17*D17,1)</f>
        <v>0</v>
      </c>
      <c r="F17" s="21" t="n">
        <f aca="false">B17-E17</f>
        <v>920</v>
      </c>
      <c r="G17" s="30" t="n">
        <v>12</v>
      </c>
      <c r="H17" s="9" t="s">
        <v>215</v>
      </c>
      <c r="I17" s="24" t="n">
        <v>8</v>
      </c>
      <c r="J17" s="6" t="n">
        <f aca="false">ROUND(F17*I17,0)</f>
        <v>7360</v>
      </c>
      <c r="K17" s="5" t="s">
        <v>216</v>
      </c>
      <c r="L17" s="5" t="s">
        <v>217</v>
      </c>
      <c r="M17" s="8" t="s">
        <v>218</v>
      </c>
      <c r="N17" s="5" t="n">
        <v>0</v>
      </c>
      <c r="O17" s="9" t="s">
        <v>219</v>
      </c>
      <c r="P17" s="5" t="s">
        <v>220</v>
      </c>
      <c r="Q17" s="9" t="s">
        <v>225</v>
      </c>
    </row>
    <row r="18" customFormat="false" ht="22.35" hidden="false" customHeight="false" outlineLevel="0" collapsed="false">
      <c r="A18" s="9" t="s">
        <v>234</v>
      </c>
      <c r="B18" s="21" t="n">
        <v>920</v>
      </c>
      <c r="C18" s="25" t="s">
        <v>154</v>
      </c>
      <c r="D18" s="8" t="n">
        <v>0</v>
      </c>
      <c r="E18" s="21" t="n">
        <f aca="false">ROUND(B18*D18,1)</f>
        <v>0</v>
      </c>
      <c r="F18" s="21" t="n">
        <f aca="false">B18-E18</f>
        <v>920</v>
      </c>
      <c r="G18" s="30" t="n">
        <v>12</v>
      </c>
      <c r="H18" s="9" t="s">
        <v>215</v>
      </c>
      <c r="I18" s="24" t="n">
        <v>8</v>
      </c>
      <c r="J18" s="6" t="n">
        <f aca="false">ROUND(F18*I18,0)</f>
        <v>7360</v>
      </c>
      <c r="K18" s="5" t="s">
        <v>216</v>
      </c>
      <c r="L18" s="5" t="s">
        <v>217</v>
      </c>
      <c r="M18" s="8" t="s">
        <v>218</v>
      </c>
      <c r="N18" s="5" t="n">
        <v>0</v>
      </c>
      <c r="O18" s="9" t="s">
        <v>219</v>
      </c>
      <c r="P18" s="5" t="s">
        <v>220</v>
      </c>
      <c r="Q18" s="9" t="s">
        <v>225</v>
      </c>
    </row>
    <row r="19" customFormat="false" ht="22.35" hidden="false" customHeight="false" outlineLevel="0" collapsed="false">
      <c r="A19" s="9" t="s">
        <v>235</v>
      </c>
      <c r="B19" s="21" t="n">
        <v>920</v>
      </c>
      <c r="C19" s="25" t="s">
        <v>154</v>
      </c>
      <c r="D19" s="8" t="n">
        <v>0</v>
      </c>
      <c r="E19" s="21" t="n">
        <f aca="false">ROUND(B19*D19,1)</f>
        <v>0</v>
      </c>
      <c r="F19" s="21" t="n">
        <f aca="false">B19-E19</f>
        <v>920</v>
      </c>
      <c r="G19" s="30" t="n">
        <v>12</v>
      </c>
      <c r="H19" s="9" t="s">
        <v>215</v>
      </c>
      <c r="I19" s="24" t="n">
        <v>8</v>
      </c>
      <c r="J19" s="6" t="n">
        <f aca="false">ROUND(F19*I19,0)</f>
        <v>7360</v>
      </c>
      <c r="K19" s="5" t="s">
        <v>216</v>
      </c>
      <c r="L19" s="5" t="s">
        <v>217</v>
      </c>
      <c r="M19" s="8" t="s">
        <v>218</v>
      </c>
      <c r="N19" s="5" t="n">
        <v>0</v>
      </c>
      <c r="O19" s="9" t="s">
        <v>219</v>
      </c>
      <c r="P19" s="5" t="s">
        <v>220</v>
      </c>
      <c r="Q19" s="9" t="s">
        <v>225</v>
      </c>
    </row>
    <row r="20" customFormat="false" ht="22.35" hidden="false" customHeight="false" outlineLevel="0" collapsed="false">
      <c r="A20" s="9" t="s">
        <v>236</v>
      </c>
      <c r="B20" s="21" t="n">
        <v>920</v>
      </c>
      <c r="C20" s="25" t="s">
        <v>154</v>
      </c>
      <c r="D20" s="8" t="n">
        <v>0</v>
      </c>
      <c r="E20" s="21" t="n">
        <f aca="false">ROUND(B20*D20,1)</f>
        <v>0</v>
      </c>
      <c r="F20" s="21" t="n">
        <f aca="false">B20-E20</f>
        <v>920</v>
      </c>
      <c r="G20" s="30" t="n">
        <v>12</v>
      </c>
      <c r="H20" s="9" t="s">
        <v>215</v>
      </c>
      <c r="I20" s="24" t="n">
        <v>8</v>
      </c>
      <c r="J20" s="6" t="n">
        <f aca="false">ROUND(F20*I20,0)</f>
        <v>7360</v>
      </c>
      <c r="K20" s="5" t="s">
        <v>216</v>
      </c>
      <c r="L20" s="5" t="s">
        <v>217</v>
      </c>
      <c r="M20" s="8" t="s">
        <v>218</v>
      </c>
      <c r="N20" s="5" t="n">
        <v>0</v>
      </c>
      <c r="O20" s="9" t="s">
        <v>219</v>
      </c>
      <c r="P20" s="5" t="s">
        <v>220</v>
      </c>
      <c r="Q20" s="9" t="s">
        <v>225</v>
      </c>
    </row>
    <row r="21" customFormat="false" ht="22.35" hidden="false" customHeight="false" outlineLevel="0" collapsed="false">
      <c r="A21" s="9" t="s">
        <v>237</v>
      </c>
      <c r="B21" s="21" t="n">
        <v>920</v>
      </c>
      <c r="C21" s="25" t="s">
        <v>154</v>
      </c>
      <c r="D21" s="8" t="n">
        <v>0</v>
      </c>
      <c r="E21" s="21" t="n">
        <f aca="false">ROUND(B21*D21,1)</f>
        <v>0</v>
      </c>
      <c r="F21" s="21" t="n">
        <f aca="false">B21-E21</f>
        <v>920</v>
      </c>
      <c r="G21" s="30" t="n">
        <v>12</v>
      </c>
      <c r="H21" s="9" t="s">
        <v>215</v>
      </c>
      <c r="I21" s="24" t="n">
        <v>8</v>
      </c>
      <c r="J21" s="6" t="n">
        <f aca="false">ROUND(F21*I21,0)</f>
        <v>7360</v>
      </c>
      <c r="K21" s="5" t="s">
        <v>216</v>
      </c>
      <c r="L21" s="5" t="s">
        <v>217</v>
      </c>
      <c r="M21" s="8" t="s">
        <v>218</v>
      </c>
      <c r="N21" s="5" t="n">
        <v>0</v>
      </c>
      <c r="O21" s="9" t="s">
        <v>219</v>
      </c>
      <c r="P21" s="5" t="s">
        <v>220</v>
      </c>
      <c r="Q21" s="9" t="s">
        <v>225</v>
      </c>
    </row>
    <row r="22" customFormat="false" ht="22.35" hidden="false" customHeight="false" outlineLevel="0" collapsed="false">
      <c r="A22" s="9" t="s">
        <v>238</v>
      </c>
      <c r="B22" s="21" t="n">
        <v>920</v>
      </c>
      <c r="C22" s="25" t="s">
        <v>154</v>
      </c>
      <c r="D22" s="8" t="n">
        <v>0</v>
      </c>
      <c r="E22" s="21" t="n">
        <f aca="false">ROUND(B22*D22,1)</f>
        <v>0</v>
      </c>
      <c r="F22" s="21" t="n">
        <f aca="false">B22-E22</f>
        <v>920</v>
      </c>
      <c r="G22" s="30" t="n">
        <v>12</v>
      </c>
      <c r="H22" s="9" t="s">
        <v>215</v>
      </c>
      <c r="I22" s="24" t="n">
        <v>8</v>
      </c>
      <c r="J22" s="6" t="n">
        <f aca="false">ROUND(F22*I22,0)</f>
        <v>7360</v>
      </c>
      <c r="K22" s="5" t="s">
        <v>216</v>
      </c>
      <c r="L22" s="5" t="s">
        <v>217</v>
      </c>
      <c r="M22" s="8" t="s">
        <v>218</v>
      </c>
      <c r="N22" s="5" t="n">
        <v>0</v>
      </c>
      <c r="O22" s="9" t="s">
        <v>219</v>
      </c>
      <c r="P22" s="5" t="s">
        <v>220</v>
      </c>
      <c r="Q22" s="9" t="s">
        <v>225</v>
      </c>
    </row>
    <row r="23" customFormat="false" ht="22.35" hidden="false" customHeight="false" outlineLevel="0" collapsed="false">
      <c r="A23" s="9" t="s">
        <v>239</v>
      </c>
      <c r="B23" s="21" t="n">
        <v>920</v>
      </c>
      <c r="C23" s="25" t="s">
        <v>154</v>
      </c>
      <c r="D23" s="8" t="n">
        <v>0</v>
      </c>
      <c r="E23" s="21" t="n">
        <f aca="false">ROUND(B23*D23,1)</f>
        <v>0</v>
      </c>
      <c r="F23" s="21" t="n">
        <f aca="false">B23-E23</f>
        <v>920</v>
      </c>
      <c r="G23" s="30" t="n">
        <v>12</v>
      </c>
      <c r="H23" s="9" t="s">
        <v>215</v>
      </c>
      <c r="I23" s="24" t="n">
        <v>8</v>
      </c>
      <c r="J23" s="6" t="n">
        <f aca="false">ROUND(F23*I23,0)</f>
        <v>7360</v>
      </c>
      <c r="K23" s="5" t="s">
        <v>216</v>
      </c>
      <c r="L23" s="5" t="s">
        <v>217</v>
      </c>
      <c r="M23" s="8" t="s">
        <v>218</v>
      </c>
      <c r="N23" s="5" t="n">
        <v>0</v>
      </c>
      <c r="O23" s="9" t="s">
        <v>219</v>
      </c>
      <c r="P23" s="5" t="s">
        <v>220</v>
      </c>
      <c r="Q23" s="9" t="s">
        <v>225</v>
      </c>
    </row>
    <row r="24" customFormat="false" ht="22.35" hidden="false" customHeight="false" outlineLevel="0" collapsed="false">
      <c r="A24" s="9" t="s">
        <v>240</v>
      </c>
      <c r="B24" s="21" t="n">
        <v>920</v>
      </c>
      <c r="C24" s="25" t="s">
        <v>154</v>
      </c>
      <c r="D24" s="8" t="n">
        <v>0</v>
      </c>
      <c r="E24" s="21" t="n">
        <f aca="false">ROUND(B24*D24,1)</f>
        <v>0</v>
      </c>
      <c r="F24" s="21" t="n">
        <f aca="false">B24-E24</f>
        <v>920</v>
      </c>
      <c r="G24" s="30" t="n">
        <v>12</v>
      </c>
      <c r="H24" s="9" t="s">
        <v>215</v>
      </c>
      <c r="I24" s="24" t="n">
        <v>8</v>
      </c>
      <c r="J24" s="6" t="n">
        <f aca="false">ROUND(F24*I24,0)</f>
        <v>7360</v>
      </c>
      <c r="K24" s="5" t="s">
        <v>216</v>
      </c>
      <c r="L24" s="5" t="s">
        <v>217</v>
      </c>
      <c r="M24" s="8" t="s">
        <v>218</v>
      </c>
      <c r="N24" s="5" t="n">
        <v>0</v>
      </c>
      <c r="O24" s="9" t="s">
        <v>219</v>
      </c>
      <c r="P24" s="5" t="s">
        <v>220</v>
      </c>
      <c r="Q24" s="9" t="s">
        <v>225</v>
      </c>
    </row>
    <row r="25" customFormat="false" ht="22.35" hidden="false" customHeight="false" outlineLevel="0" collapsed="false">
      <c r="A25" s="9" t="s">
        <v>241</v>
      </c>
      <c r="B25" s="21" t="n">
        <v>920</v>
      </c>
      <c r="C25" s="25" t="s">
        <v>154</v>
      </c>
      <c r="D25" s="8" t="n">
        <v>0</v>
      </c>
      <c r="E25" s="21" t="n">
        <f aca="false">ROUND(B25*D25,1)</f>
        <v>0</v>
      </c>
      <c r="F25" s="21" t="n">
        <f aca="false">B25-E25</f>
        <v>920</v>
      </c>
      <c r="G25" s="30" t="n">
        <v>12</v>
      </c>
      <c r="H25" s="9" t="s">
        <v>215</v>
      </c>
      <c r="I25" s="24" t="n">
        <v>8</v>
      </c>
      <c r="J25" s="6" t="n">
        <f aca="false">ROUND(F25*I25,0)</f>
        <v>7360</v>
      </c>
      <c r="K25" s="5" t="s">
        <v>216</v>
      </c>
      <c r="L25" s="5" t="s">
        <v>217</v>
      </c>
      <c r="M25" s="8" t="s">
        <v>218</v>
      </c>
      <c r="N25" s="5" t="n">
        <v>0</v>
      </c>
      <c r="O25" s="9" t="s">
        <v>219</v>
      </c>
      <c r="P25" s="5" t="s">
        <v>220</v>
      </c>
      <c r="Q25" s="9" t="s">
        <v>225</v>
      </c>
    </row>
    <row r="26" customFormat="false" ht="22.35" hidden="false" customHeight="false" outlineLevel="0" collapsed="false">
      <c r="A26" s="9" t="s">
        <v>242</v>
      </c>
      <c r="B26" s="21" t="n">
        <v>920</v>
      </c>
      <c r="C26" s="25" t="s">
        <v>154</v>
      </c>
      <c r="D26" s="8" t="n">
        <v>0</v>
      </c>
      <c r="E26" s="21" t="n">
        <f aca="false">ROUND(B26*D26,1)</f>
        <v>0</v>
      </c>
      <c r="F26" s="21" t="n">
        <f aca="false">B26-E26</f>
        <v>920</v>
      </c>
      <c r="G26" s="30" t="n">
        <v>12</v>
      </c>
      <c r="H26" s="9" t="s">
        <v>215</v>
      </c>
      <c r="I26" s="24" t="n">
        <v>8</v>
      </c>
      <c r="J26" s="6" t="n">
        <f aca="false">ROUND(F26*I26,0)</f>
        <v>7360</v>
      </c>
      <c r="K26" s="5" t="s">
        <v>216</v>
      </c>
      <c r="L26" s="5" t="s">
        <v>217</v>
      </c>
      <c r="M26" s="8" t="s">
        <v>218</v>
      </c>
      <c r="N26" s="5" t="n">
        <v>0</v>
      </c>
      <c r="O26" s="9" t="s">
        <v>219</v>
      </c>
      <c r="P26" s="5" t="s">
        <v>220</v>
      </c>
      <c r="Q26" s="9" t="s">
        <v>225</v>
      </c>
    </row>
    <row r="27" customFormat="false" ht="22.35" hidden="false" customHeight="false" outlineLevel="0" collapsed="false">
      <c r="A27" s="9" t="s">
        <v>243</v>
      </c>
      <c r="B27" s="21" t="n">
        <v>920</v>
      </c>
      <c r="C27" s="25" t="s">
        <v>154</v>
      </c>
      <c r="D27" s="8" t="n">
        <v>0</v>
      </c>
      <c r="E27" s="21" t="n">
        <f aca="false">ROUND(B27*D27,1)</f>
        <v>0</v>
      </c>
      <c r="F27" s="21" t="n">
        <f aca="false">B27-E27</f>
        <v>920</v>
      </c>
      <c r="G27" s="30" t="n">
        <v>12</v>
      </c>
      <c r="H27" s="9" t="s">
        <v>215</v>
      </c>
      <c r="I27" s="24" t="n">
        <v>8</v>
      </c>
      <c r="J27" s="6" t="n">
        <f aca="false">ROUND(F27*I27,0)</f>
        <v>7360</v>
      </c>
      <c r="K27" s="5" t="s">
        <v>216</v>
      </c>
      <c r="L27" s="5" t="s">
        <v>217</v>
      </c>
      <c r="M27" s="8" t="s">
        <v>218</v>
      </c>
      <c r="N27" s="5" t="n">
        <v>0</v>
      </c>
      <c r="O27" s="9" t="s">
        <v>219</v>
      </c>
      <c r="P27" s="5" t="s">
        <v>220</v>
      </c>
      <c r="Q27" s="9" t="s">
        <v>225</v>
      </c>
    </row>
    <row r="28" customFormat="false" ht="22.35" hidden="false" customHeight="false" outlineLevel="0" collapsed="false">
      <c r="A28" s="9" t="s">
        <v>244</v>
      </c>
      <c r="B28" s="21" t="n">
        <v>920</v>
      </c>
      <c r="C28" s="25" t="s">
        <v>154</v>
      </c>
      <c r="D28" s="8" t="n">
        <v>0</v>
      </c>
      <c r="E28" s="21" t="n">
        <f aca="false">ROUND(B28*D28,1)</f>
        <v>0</v>
      </c>
      <c r="F28" s="21" t="n">
        <f aca="false">B28-E28</f>
        <v>920</v>
      </c>
      <c r="G28" s="30" t="n">
        <v>12</v>
      </c>
      <c r="H28" s="9" t="s">
        <v>215</v>
      </c>
      <c r="I28" s="24" t="n">
        <v>8</v>
      </c>
      <c r="J28" s="6" t="n">
        <f aca="false">ROUND(F28*I28,0)</f>
        <v>7360</v>
      </c>
      <c r="K28" s="5" t="s">
        <v>216</v>
      </c>
      <c r="L28" s="5" t="s">
        <v>217</v>
      </c>
      <c r="M28" s="8" t="s">
        <v>218</v>
      </c>
      <c r="N28" s="5" t="n">
        <v>0</v>
      </c>
      <c r="O28" s="9" t="s">
        <v>219</v>
      </c>
      <c r="P28" s="5" t="s">
        <v>220</v>
      </c>
      <c r="Q28" s="9" t="s">
        <v>225</v>
      </c>
    </row>
    <row r="29" customFormat="false" ht="22.35" hidden="false" customHeight="false" outlineLevel="0" collapsed="false">
      <c r="A29" s="9" t="s">
        <v>245</v>
      </c>
      <c r="B29" s="21" t="n">
        <v>920</v>
      </c>
      <c r="C29" s="25" t="s">
        <v>154</v>
      </c>
      <c r="D29" s="8" t="n">
        <v>0</v>
      </c>
      <c r="E29" s="21" t="n">
        <f aca="false">ROUND(B29*D29,1)</f>
        <v>0</v>
      </c>
      <c r="F29" s="21" t="n">
        <f aca="false">B29-E29</f>
        <v>920</v>
      </c>
      <c r="G29" s="30" t="n">
        <v>12</v>
      </c>
      <c r="H29" s="9" t="s">
        <v>215</v>
      </c>
      <c r="I29" s="24" t="n">
        <v>8</v>
      </c>
      <c r="J29" s="6" t="n">
        <f aca="false">ROUND(F29*I29,0)</f>
        <v>7360</v>
      </c>
      <c r="K29" s="5" t="s">
        <v>216</v>
      </c>
      <c r="L29" s="5" t="s">
        <v>217</v>
      </c>
      <c r="M29" s="8" t="s">
        <v>218</v>
      </c>
      <c r="N29" s="5" t="n">
        <v>0</v>
      </c>
      <c r="O29" s="9" t="s">
        <v>219</v>
      </c>
      <c r="P29" s="5" t="s">
        <v>220</v>
      </c>
      <c r="Q29" s="9" t="s">
        <v>225</v>
      </c>
    </row>
    <row r="30" customFormat="false" ht="22.35" hidden="false" customHeight="false" outlineLevel="0" collapsed="false">
      <c r="A30" s="9" t="s">
        <v>246</v>
      </c>
      <c r="B30" s="21" t="n">
        <v>920</v>
      </c>
      <c r="C30" s="25" t="s">
        <v>154</v>
      </c>
      <c r="D30" s="8" t="n">
        <v>0</v>
      </c>
      <c r="E30" s="21" t="n">
        <f aca="false">ROUND(B30*D30,1)</f>
        <v>0</v>
      </c>
      <c r="F30" s="21" t="n">
        <f aca="false">B30-E30</f>
        <v>920</v>
      </c>
      <c r="G30" s="30" t="n">
        <v>12</v>
      </c>
      <c r="H30" s="9" t="s">
        <v>215</v>
      </c>
      <c r="I30" s="24" t="n">
        <v>8</v>
      </c>
      <c r="J30" s="6" t="n">
        <f aca="false">ROUND(F30*I30,0)</f>
        <v>7360</v>
      </c>
      <c r="K30" s="5" t="s">
        <v>216</v>
      </c>
      <c r="L30" s="5" t="s">
        <v>217</v>
      </c>
      <c r="M30" s="8" t="s">
        <v>218</v>
      </c>
      <c r="N30" s="5" t="n">
        <v>0</v>
      </c>
      <c r="O30" s="9" t="s">
        <v>219</v>
      </c>
      <c r="P30" s="5" t="s">
        <v>220</v>
      </c>
      <c r="Q30" s="9" t="s">
        <v>225</v>
      </c>
    </row>
    <row r="31" customFormat="false" ht="22.35" hidden="false" customHeight="false" outlineLevel="0" collapsed="false">
      <c r="A31" s="9" t="s">
        <v>247</v>
      </c>
      <c r="B31" s="21" t="n">
        <v>920</v>
      </c>
      <c r="C31" s="25" t="s">
        <v>154</v>
      </c>
      <c r="D31" s="8" t="n">
        <v>0</v>
      </c>
      <c r="E31" s="21" t="n">
        <f aca="false">ROUND(B31*D31,1)</f>
        <v>0</v>
      </c>
      <c r="F31" s="21" t="n">
        <f aca="false">B31-E31</f>
        <v>920</v>
      </c>
      <c r="G31" s="30" t="n">
        <v>12</v>
      </c>
      <c r="H31" s="9" t="s">
        <v>215</v>
      </c>
      <c r="I31" s="24" t="n">
        <v>8</v>
      </c>
      <c r="J31" s="6" t="n">
        <f aca="false">ROUND(F31*I31,0)</f>
        <v>7360</v>
      </c>
      <c r="K31" s="5" t="s">
        <v>216</v>
      </c>
      <c r="L31" s="5" t="s">
        <v>217</v>
      </c>
      <c r="M31" s="8" t="s">
        <v>218</v>
      </c>
      <c r="N31" s="5" t="n">
        <v>0</v>
      </c>
      <c r="O31" s="9" t="s">
        <v>219</v>
      </c>
      <c r="P31" s="5" t="s">
        <v>220</v>
      </c>
      <c r="Q31" s="9" t="s">
        <v>225</v>
      </c>
    </row>
    <row r="32" customFormat="false" ht="22.35" hidden="false" customHeight="false" outlineLevel="0" collapsed="false">
      <c r="A32" s="9" t="s">
        <v>248</v>
      </c>
      <c r="B32" s="21" t="n">
        <v>920</v>
      </c>
      <c r="C32" s="25" t="s">
        <v>154</v>
      </c>
      <c r="D32" s="8" t="n">
        <v>0</v>
      </c>
      <c r="E32" s="21" t="n">
        <f aca="false">ROUND(B32*D32,1)</f>
        <v>0</v>
      </c>
      <c r="F32" s="21" t="n">
        <f aca="false">B32-E32</f>
        <v>920</v>
      </c>
      <c r="G32" s="30" t="n">
        <v>12</v>
      </c>
      <c r="H32" s="9" t="s">
        <v>215</v>
      </c>
      <c r="I32" s="24" t="n">
        <v>8</v>
      </c>
      <c r="J32" s="6" t="n">
        <f aca="false">ROUND(F32*I32,0)</f>
        <v>7360</v>
      </c>
      <c r="K32" s="5" t="s">
        <v>216</v>
      </c>
      <c r="L32" s="5" t="s">
        <v>217</v>
      </c>
      <c r="M32" s="8" t="s">
        <v>218</v>
      </c>
      <c r="N32" s="5" t="n">
        <v>0</v>
      </c>
      <c r="O32" s="9" t="s">
        <v>219</v>
      </c>
      <c r="P32" s="5" t="s">
        <v>220</v>
      </c>
      <c r="Q32" s="9" t="s">
        <v>249</v>
      </c>
    </row>
    <row r="33" customFormat="false" ht="22.35" hidden="false" customHeight="false" outlineLevel="0" collapsed="false">
      <c r="A33" s="9" t="s">
        <v>250</v>
      </c>
      <c r="B33" s="21" t="n">
        <v>1870</v>
      </c>
      <c r="C33" s="25" t="s">
        <v>154</v>
      </c>
      <c r="D33" s="8" t="n">
        <v>0</v>
      </c>
      <c r="E33" s="21" t="n">
        <f aca="false">ROUND(B33*D33,1)</f>
        <v>0</v>
      </c>
      <c r="F33" s="21" t="n">
        <f aca="false">B33-E33</f>
        <v>1870</v>
      </c>
      <c r="G33" s="30" t="n">
        <v>15</v>
      </c>
      <c r="H33" s="9" t="s">
        <v>215</v>
      </c>
      <c r="I33" s="24" t="n">
        <v>11</v>
      </c>
      <c r="J33" s="6" t="n">
        <f aca="false">ROUND(F33*I33,0)</f>
        <v>20570</v>
      </c>
      <c r="K33" s="5" t="s">
        <v>216</v>
      </c>
      <c r="L33" s="5" t="s">
        <v>217</v>
      </c>
      <c r="M33" s="8" t="s">
        <v>218</v>
      </c>
      <c r="N33" s="5" t="n">
        <v>0</v>
      </c>
      <c r="O33" s="9" t="s">
        <v>219</v>
      </c>
      <c r="P33" s="5" t="s">
        <v>220</v>
      </c>
      <c r="Q33" s="9" t="s">
        <v>251</v>
      </c>
    </row>
    <row r="34" customFormat="false" ht="22.35" hidden="false" customHeight="false" outlineLevel="0" collapsed="false">
      <c r="A34" s="9" t="s">
        <v>252</v>
      </c>
      <c r="B34" s="21" t="n">
        <v>1870</v>
      </c>
      <c r="C34" s="25" t="s">
        <v>154</v>
      </c>
      <c r="D34" s="8" t="n">
        <v>0</v>
      </c>
      <c r="E34" s="21" t="n">
        <f aca="false">ROUND(B34*D34,1)</f>
        <v>0</v>
      </c>
      <c r="F34" s="21" t="n">
        <f aca="false">B34-E34</f>
        <v>1870</v>
      </c>
      <c r="G34" s="30" t="n">
        <v>15</v>
      </c>
      <c r="H34" s="9" t="s">
        <v>215</v>
      </c>
      <c r="I34" s="24" t="n">
        <v>11</v>
      </c>
      <c r="J34" s="6" t="n">
        <f aca="false">ROUND(F34*I34,0)</f>
        <v>20570</v>
      </c>
      <c r="K34" s="5" t="s">
        <v>216</v>
      </c>
      <c r="L34" s="5" t="s">
        <v>217</v>
      </c>
      <c r="M34" s="8" t="s">
        <v>218</v>
      </c>
      <c r="N34" s="5" t="n">
        <v>0</v>
      </c>
      <c r="O34" s="9" t="s">
        <v>219</v>
      </c>
      <c r="P34" s="5" t="s">
        <v>220</v>
      </c>
      <c r="Q34" s="9" t="s">
        <v>253</v>
      </c>
    </row>
    <row r="35" customFormat="false" ht="22.35" hidden="false" customHeight="false" outlineLevel="0" collapsed="false">
      <c r="A35" s="9" t="s">
        <v>254</v>
      </c>
      <c r="B35" s="21" t="n">
        <v>1870</v>
      </c>
      <c r="C35" s="25" t="s">
        <v>154</v>
      </c>
      <c r="D35" s="8" t="n">
        <v>0</v>
      </c>
      <c r="E35" s="21" t="n">
        <f aca="false">ROUND(B35*D35,1)</f>
        <v>0</v>
      </c>
      <c r="F35" s="21" t="n">
        <f aca="false">B35-E35</f>
        <v>1870</v>
      </c>
      <c r="G35" s="30" t="n">
        <v>15</v>
      </c>
      <c r="H35" s="9" t="s">
        <v>215</v>
      </c>
      <c r="I35" s="24" t="n">
        <v>11</v>
      </c>
      <c r="J35" s="6" t="n">
        <f aca="false">ROUND(F35*I35,0)</f>
        <v>20570</v>
      </c>
      <c r="K35" s="5" t="s">
        <v>216</v>
      </c>
      <c r="L35" s="5" t="s">
        <v>217</v>
      </c>
      <c r="M35" s="8" t="s">
        <v>218</v>
      </c>
      <c r="N35" s="5" t="n">
        <v>0</v>
      </c>
      <c r="O35" s="9" t="s">
        <v>219</v>
      </c>
      <c r="P35" s="5" t="s">
        <v>220</v>
      </c>
      <c r="Q35" s="9" t="s">
        <v>255</v>
      </c>
    </row>
    <row r="36" customFormat="false" ht="22.35" hidden="false" customHeight="false" outlineLevel="0" collapsed="false">
      <c r="A36" s="9" t="s">
        <v>256</v>
      </c>
      <c r="B36" s="21" t="n">
        <v>1870</v>
      </c>
      <c r="C36" s="25" t="s">
        <v>154</v>
      </c>
      <c r="D36" s="8" t="n">
        <v>0</v>
      </c>
      <c r="E36" s="21" t="n">
        <f aca="false">ROUND(B36*D36,1)</f>
        <v>0</v>
      </c>
      <c r="F36" s="21" t="n">
        <f aca="false">B36-E36</f>
        <v>1870</v>
      </c>
      <c r="G36" s="30" t="n">
        <v>15</v>
      </c>
      <c r="H36" s="9" t="s">
        <v>215</v>
      </c>
      <c r="I36" s="24" t="n">
        <v>11</v>
      </c>
      <c r="J36" s="6" t="n">
        <f aca="false">ROUND(F36*I36,0)</f>
        <v>20570</v>
      </c>
      <c r="K36" s="5" t="s">
        <v>216</v>
      </c>
      <c r="L36" s="5" t="s">
        <v>217</v>
      </c>
      <c r="M36" s="8" t="s">
        <v>218</v>
      </c>
      <c r="N36" s="5" t="n">
        <v>0</v>
      </c>
      <c r="O36" s="9" t="s">
        <v>219</v>
      </c>
      <c r="P36" s="5" t="s">
        <v>220</v>
      </c>
      <c r="Q36" s="9" t="s">
        <v>257</v>
      </c>
    </row>
    <row r="37" customFormat="false" ht="22.35" hidden="false" customHeight="false" outlineLevel="0" collapsed="false">
      <c r="A37" s="9" t="s">
        <v>258</v>
      </c>
      <c r="B37" s="21" t="n">
        <v>1870</v>
      </c>
      <c r="C37" s="31" t="s">
        <v>259</v>
      </c>
      <c r="D37" s="8" t="n">
        <v>0</v>
      </c>
      <c r="E37" s="21" t="n">
        <f aca="false">ROUND(B37*D37,1)</f>
        <v>0</v>
      </c>
      <c r="F37" s="21" t="n">
        <f aca="false">B37-E37</f>
        <v>1870</v>
      </c>
      <c r="G37" s="30" t="n">
        <v>15</v>
      </c>
      <c r="H37" s="9" t="s">
        <v>215</v>
      </c>
      <c r="I37" s="24" t="n">
        <v>11</v>
      </c>
      <c r="J37" s="6" t="n">
        <f aca="false">ROUND(F37*I37,0)</f>
        <v>20570</v>
      </c>
      <c r="K37" s="5" t="s">
        <v>216</v>
      </c>
      <c r="L37" s="5" t="s">
        <v>218</v>
      </c>
      <c r="M37" s="8" t="s">
        <v>218</v>
      </c>
      <c r="N37" s="5" t="n">
        <v>0</v>
      </c>
      <c r="O37" s="9" t="s">
        <v>260</v>
      </c>
      <c r="P37" s="5" t="s">
        <v>220</v>
      </c>
      <c r="Q37" s="9" t="s">
        <v>261</v>
      </c>
    </row>
    <row r="38" customFormat="false" ht="22.35" hidden="false" customHeight="false" outlineLevel="0" collapsed="false">
      <c r="A38" s="9" t="s">
        <v>262</v>
      </c>
      <c r="B38" s="21" t="n">
        <v>180</v>
      </c>
      <c r="C38" s="25" t="s">
        <v>154</v>
      </c>
      <c r="D38" s="8" t="n">
        <v>0</v>
      </c>
      <c r="E38" s="21" t="n">
        <f aca="false">ROUND(B38*D38,1)</f>
        <v>0</v>
      </c>
      <c r="F38" s="21" t="n">
        <f aca="false">B38-E38</f>
        <v>180</v>
      </c>
      <c r="G38" s="30" t="n">
        <v>15</v>
      </c>
      <c r="H38" s="9" t="s">
        <v>215</v>
      </c>
      <c r="I38" s="24" t="n">
        <v>11</v>
      </c>
      <c r="J38" s="6" t="n">
        <f aca="false">ROUND(F38*I38,0)</f>
        <v>1980</v>
      </c>
      <c r="K38" s="5" t="s">
        <v>216</v>
      </c>
      <c r="L38" s="5" t="s">
        <v>217</v>
      </c>
      <c r="M38" s="8" t="s">
        <v>218</v>
      </c>
      <c r="N38" s="5" t="n">
        <v>0</v>
      </c>
      <c r="O38" s="9" t="s">
        <v>219</v>
      </c>
      <c r="P38" s="5" t="s">
        <v>220</v>
      </c>
      <c r="Q38" s="9" t="s">
        <v>263</v>
      </c>
    </row>
    <row r="39" customFormat="false" ht="22.35" hidden="false" customHeight="false" outlineLevel="0" collapsed="false">
      <c r="A39" s="9" t="s">
        <v>264</v>
      </c>
      <c r="B39" s="21" t="n">
        <v>180</v>
      </c>
      <c r="C39" s="25" t="s">
        <v>154</v>
      </c>
      <c r="D39" s="8" t="n">
        <v>0</v>
      </c>
      <c r="E39" s="21" t="n">
        <f aca="false">ROUND(B39*D39,1)</f>
        <v>0</v>
      </c>
      <c r="F39" s="21" t="n">
        <f aca="false">B39-E39</f>
        <v>180</v>
      </c>
      <c r="G39" s="30" t="n">
        <v>15</v>
      </c>
      <c r="H39" s="9" t="s">
        <v>215</v>
      </c>
      <c r="I39" s="24" t="n">
        <v>11</v>
      </c>
      <c r="J39" s="6" t="n">
        <f aca="false">ROUND(F39*I39,0)</f>
        <v>1980</v>
      </c>
      <c r="K39" s="5" t="s">
        <v>216</v>
      </c>
      <c r="L39" s="5" t="s">
        <v>217</v>
      </c>
      <c r="M39" s="8" t="s">
        <v>218</v>
      </c>
      <c r="N39" s="5" t="n">
        <v>0</v>
      </c>
      <c r="O39" s="9" t="s">
        <v>219</v>
      </c>
      <c r="P39" s="5" t="s">
        <v>220</v>
      </c>
      <c r="Q39" s="9" t="s">
        <v>263</v>
      </c>
    </row>
    <row r="40" customFormat="false" ht="22.35" hidden="false" customHeight="false" outlineLevel="0" collapsed="false">
      <c r="A40" s="9" t="s">
        <v>265</v>
      </c>
      <c r="B40" s="21" t="n">
        <v>180</v>
      </c>
      <c r="C40" s="25" t="s">
        <v>154</v>
      </c>
      <c r="D40" s="8" t="n">
        <v>0</v>
      </c>
      <c r="E40" s="21" t="n">
        <f aca="false">ROUND(B40*D40,1)</f>
        <v>0</v>
      </c>
      <c r="F40" s="21" t="n">
        <f aca="false">B40-E40</f>
        <v>180</v>
      </c>
      <c r="G40" s="30" t="n">
        <v>15</v>
      </c>
      <c r="H40" s="9" t="s">
        <v>215</v>
      </c>
      <c r="I40" s="24" t="n">
        <v>11</v>
      </c>
      <c r="J40" s="6" t="n">
        <f aca="false">ROUND(F40*I40,0)</f>
        <v>1980</v>
      </c>
      <c r="K40" s="5" t="s">
        <v>216</v>
      </c>
      <c r="L40" s="5" t="s">
        <v>217</v>
      </c>
      <c r="M40" s="8" t="s">
        <v>218</v>
      </c>
      <c r="N40" s="5" t="n">
        <v>0</v>
      </c>
      <c r="O40" s="9" t="s">
        <v>219</v>
      </c>
      <c r="P40" s="5" t="s">
        <v>220</v>
      </c>
      <c r="Q40" s="9" t="s">
        <v>263</v>
      </c>
    </row>
    <row r="41" customFormat="false" ht="22.35" hidden="false" customHeight="false" outlineLevel="0" collapsed="false">
      <c r="A41" s="9" t="s">
        <v>266</v>
      </c>
      <c r="B41" s="21" t="n">
        <v>180</v>
      </c>
      <c r="C41" s="25" t="s">
        <v>154</v>
      </c>
      <c r="D41" s="8" t="n">
        <v>0</v>
      </c>
      <c r="E41" s="21" t="n">
        <f aca="false">ROUND(B41*D41,1)</f>
        <v>0</v>
      </c>
      <c r="F41" s="21" t="n">
        <f aca="false">B41-E41</f>
        <v>180</v>
      </c>
      <c r="G41" s="30" t="n">
        <v>15</v>
      </c>
      <c r="H41" s="9" t="s">
        <v>215</v>
      </c>
      <c r="I41" s="24" t="n">
        <v>11</v>
      </c>
      <c r="J41" s="6" t="n">
        <f aca="false">ROUND(F41*I41,0)</f>
        <v>1980</v>
      </c>
      <c r="K41" s="5" t="s">
        <v>216</v>
      </c>
      <c r="L41" s="5" t="s">
        <v>217</v>
      </c>
      <c r="M41" s="8" t="s">
        <v>218</v>
      </c>
      <c r="N41" s="5" t="n">
        <v>0</v>
      </c>
      <c r="O41" s="9" t="s">
        <v>219</v>
      </c>
      <c r="P41" s="5" t="s">
        <v>220</v>
      </c>
      <c r="Q41" s="9" t="s">
        <v>263</v>
      </c>
    </row>
    <row r="42" customFormat="false" ht="22.35" hidden="false" customHeight="false" outlineLevel="0" collapsed="false">
      <c r="A42" s="9" t="s">
        <v>267</v>
      </c>
      <c r="B42" s="21" t="n">
        <v>180</v>
      </c>
      <c r="C42" s="25" t="s">
        <v>154</v>
      </c>
      <c r="D42" s="8" t="n">
        <v>0</v>
      </c>
      <c r="E42" s="21" t="n">
        <f aca="false">ROUND(B42*D42,1)</f>
        <v>0</v>
      </c>
      <c r="F42" s="21" t="n">
        <f aca="false">B42-E42</f>
        <v>180</v>
      </c>
      <c r="G42" s="30" t="n">
        <v>15</v>
      </c>
      <c r="H42" s="9" t="s">
        <v>215</v>
      </c>
      <c r="I42" s="24" t="n">
        <v>11</v>
      </c>
      <c r="J42" s="6" t="n">
        <f aca="false">ROUND(F42*I42,0)</f>
        <v>1980</v>
      </c>
      <c r="K42" s="5" t="s">
        <v>216</v>
      </c>
      <c r="L42" s="5" t="s">
        <v>217</v>
      </c>
      <c r="M42" s="8" t="s">
        <v>218</v>
      </c>
      <c r="N42" s="5" t="n">
        <v>0</v>
      </c>
      <c r="O42" s="9" t="s">
        <v>219</v>
      </c>
      <c r="P42" s="5" t="s">
        <v>220</v>
      </c>
      <c r="Q42" s="9" t="s">
        <v>263</v>
      </c>
    </row>
    <row r="43" customFormat="false" ht="22.35" hidden="false" customHeight="false" outlineLevel="0" collapsed="false">
      <c r="A43" s="9" t="s">
        <v>268</v>
      </c>
      <c r="B43" s="21" t="n">
        <v>180</v>
      </c>
      <c r="C43" s="25" t="s">
        <v>154</v>
      </c>
      <c r="D43" s="8" t="n">
        <v>0</v>
      </c>
      <c r="E43" s="21" t="n">
        <f aca="false">ROUND(B43*D43,1)</f>
        <v>0</v>
      </c>
      <c r="F43" s="21" t="n">
        <f aca="false">B43-E43</f>
        <v>180</v>
      </c>
      <c r="G43" s="30" t="n">
        <v>12</v>
      </c>
      <c r="H43" s="9" t="s">
        <v>215</v>
      </c>
      <c r="I43" s="24" t="n">
        <v>8</v>
      </c>
      <c r="J43" s="6" t="n">
        <f aca="false">ROUND(F43*I43,0)</f>
        <v>1440</v>
      </c>
      <c r="K43" s="5" t="s">
        <v>216</v>
      </c>
      <c r="L43" s="5" t="s">
        <v>217</v>
      </c>
      <c r="M43" s="8" t="s">
        <v>218</v>
      </c>
      <c r="N43" s="5" t="n">
        <v>0</v>
      </c>
      <c r="O43" s="9" t="s">
        <v>219</v>
      </c>
      <c r="P43" s="5" t="s">
        <v>220</v>
      </c>
      <c r="Q43" s="9" t="s">
        <v>263</v>
      </c>
    </row>
    <row r="44" customFormat="false" ht="22.35" hidden="false" customHeight="false" outlineLevel="0" collapsed="false">
      <c r="A44" s="9" t="s">
        <v>269</v>
      </c>
      <c r="B44" s="21" t="n">
        <v>180</v>
      </c>
      <c r="C44" s="25" t="s">
        <v>154</v>
      </c>
      <c r="D44" s="8" t="n">
        <v>0</v>
      </c>
      <c r="E44" s="21" t="n">
        <f aca="false">ROUND(B44*D44,1)</f>
        <v>0</v>
      </c>
      <c r="F44" s="21" t="n">
        <f aca="false">B44-E44</f>
        <v>180</v>
      </c>
      <c r="G44" s="30" t="n">
        <v>12</v>
      </c>
      <c r="H44" s="9" t="s">
        <v>215</v>
      </c>
      <c r="I44" s="24" t="n">
        <v>8</v>
      </c>
      <c r="J44" s="6" t="n">
        <f aca="false">ROUND(F44*I44,0)</f>
        <v>1440</v>
      </c>
      <c r="K44" s="5" t="s">
        <v>216</v>
      </c>
      <c r="L44" s="5" t="s">
        <v>217</v>
      </c>
      <c r="M44" s="8" t="s">
        <v>218</v>
      </c>
      <c r="N44" s="5" t="n">
        <v>0</v>
      </c>
      <c r="O44" s="9" t="s">
        <v>219</v>
      </c>
      <c r="P44" s="5" t="s">
        <v>220</v>
      </c>
      <c r="Q44" s="9" t="s">
        <v>263</v>
      </c>
    </row>
    <row r="45" customFormat="false" ht="22.35" hidden="false" customHeight="false" outlineLevel="0" collapsed="false">
      <c r="A45" s="9" t="s">
        <v>270</v>
      </c>
      <c r="B45" s="21" t="n">
        <v>920</v>
      </c>
      <c r="C45" s="25" t="s">
        <v>154</v>
      </c>
      <c r="D45" s="8" t="n">
        <v>0</v>
      </c>
      <c r="E45" s="21" t="n">
        <f aca="false">ROUND(B45*D45,1)</f>
        <v>0</v>
      </c>
      <c r="F45" s="21" t="n">
        <f aca="false">B45-E45</f>
        <v>920</v>
      </c>
      <c r="G45" s="23" t="n">
        <v>12</v>
      </c>
      <c r="H45" s="9" t="s">
        <v>211</v>
      </c>
      <c r="I45" s="24" t="n">
        <v>8</v>
      </c>
      <c r="J45" s="6" t="n">
        <f aca="false">ROUND(F45*I45,0)</f>
        <v>7360</v>
      </c>
      <c r="K45" s="5" t="s">
        <v>216</v>
      </c>
      <c r="L45" s="5" t="s">
        <v>217</v>
      </c>
      <c r="M45" s="8" t="s">
        <v>218</v>
      </c>
      <c r="N45" s="5" t="n">
        <v>0</v>
      </c>
      <c r="O45" s="9" t="s">
        <v>219</v>
      </c>
      <c r="P45" s="5" t="s">
        <v>220</v>
      </c>
      <c r="Q45" s="9" t="s">
        <v>271</v>
      </c>
    </row>
    <row r="46" customFormat="false" ht="15" hidden="false" customHeight="false" outlineLevel="0" collapsed="false">
      <c r="A46" s="12" t="s">
        <v>189</v>
      </c>
      <c r="B46" s="13" t="n">
        <f aca="false">SUM(B6:B45)</f>
        <v>36392.4</v>
      </c>
      <c r="C46" s="12"/>
      <c r="D46" s="14" t="n">
        <f aca="false">IF(B46=0,0,E46/B46)</f>
        <v>0</v>
      </c>
      <c r="E46" s="13" t="n">
        <f aca="false">SUM(E6:E45)</f>
        <v>0</v>
      </c>
      <c r="F46" s="13" t="n">
        <f aca="false">SUM(F6:F45)</f>
        <v>36392.4</v>
      </c>
      <c r="G46" s="12"/>
      <c r="H46" s="12"/>
      <c r="I46" s="12"/>
      <c r="J46" s="13" t="n">
        <f aca="false">SUM(J6:J45)</f>
        <v>335689</v>
      </c>
      <c r="K46" s="12"/>
      <c r="L46" s="12"/>
      <c r="M46" s="12"/>
      <c r="N46" s="12"/>
      <c r="O46" s="12"/>
      <c r="P46" s="12"/>
      <c r="Q46" s="12"/>
    </row>
    <row r="48" customFormat="false" ht="15" hidden="false" customHeight="false" outlineLevel="0" collapsed="false">
      <c r="A48" s="16" t="s">
        <v>190</v>
      </c>
      <c r="D48" s="27" t="n">
        <f aca="false">J46</f>
        <v>335689</v>
      </c>
      <c r="F48" s="20" t="s">
        <v>191</v>
      </c>
    </row>
    <row r="49" customFormat="false" ht="15" hidden="false" customHeight="false" outlineLevel="0" collapsed="false">
      <c r="A49" s="16" t="s">
        <v>192</v>
      </c>
      <c r="D49" s="27" t="n">
        <f aca="false">F46*8</f>
        <v>291139.2</v>
      </c>
      <c r="F49" s="20" t="s">
        <v>193</v>
      </c>
    </row>
    <row r="50" customFormat="false" ht="15" hidden="false" customHeight="false" outlineLevel="0" collapsed="false">
      <c r="A50" s="16" t="s">
        <v>194</v>
      </c>
      <c r="D50" s="28" t="n">
        <v>1870</v>
      </c>
      <c r="F50" s="20" t="s">
        <v>195</v>
      </c>
    </row>
    <row r="51" customFormat="false" ht="15" hidden="false" customHeight="false" outlineLevel="0" collapsed="false">
      <c r="A51" s="16" t="s">
        <v>196</v>
      </c>
      <c r="D51" s="29" t="n">
        <v>0.05</v>
      </c>
      <c r="F51" s="20" t="s">
        <v>33</v>
      </c>
    </row>
    <row r="52" customFormat="false" ht="15" hidden="false" customHeight="false" outlineLevel="0" collapsed="false">
      <c r="A52" s="16" t="s">
        <v>197</v>
      </c>
      <c r="D52" s="27" t="n">
        <f aca="false">(B46-D50)*(1-D51)</f>
        <v>32796.28</v>
      </c>
      <c r="F52" s="20" t="s">
        <v>198</v>
      </c>
    </row>
    <row r="53" customFormat="false" ht="15" hidden="false" customHeight="false" outlineLevel="0" collapsed="false">
      <c r="A53" s="16" t="s">
        <v>199</v>
      </c>
      <c r="D53" s="27" t="n">
        <f aca="false">ROUND(D52*4,0)</f>
        <v>131185</v>
      </c>
      <c r="F53" s="20" t="s">
        <v>200</v>
      </c>
    </row>
    <row r="54" customFormat="false" ht="15" hidden="false" customHeight="false" outlineLevel="0" collapsed="false">
      <c r="A54" s="16" t="s">
        <v>201</v>
      </c>
      <c r="D54" s="28" t="n">
        <v>3</v>
      </c>
    </row>
    <row r="55" customFormat="false" ht="15" hidden="false" customHeight="false" outlineLevel="0" collapsed="false">
      <c r="A55" s="16" t="s">
        <v>202</v>
      </c>
      <c r="D55" s="28" t="n">
        <v>24</v>
      </c>
      <c r="F55" s="20" t="s">
        <v>203</v>
      </c>
    </row>
    <row r="56" customFormat="false" ht="15" hidden="false" customHeight="false" outlineLevel="0" collapsed="false">
      <c r="A56" s="16" t="s">
        <v>204</v>
      </c>
      <c r="D56" s="28" t="n">
        <v>0</v>
      </c>
    </row>
    <row r="57" customFormat="false" ht="15" hidden="false" customHeight="false" outlineLevel="0" collapsed="false">
      <c r="A57" s="16" t="s">
        <v>205</v>
      </c>
      <c r="D57" s="28" t="n">
        <v>0</v>
      </c>
      <c r="F57" s="20" t="s">
        <v>206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3"/>
    <col collapsed="false" customWidth="true" hidden="false" outlineLevel="0" max="3" min="3" style="0" width="15"/>
    <col collapsed="false" customWidth="true" hidden="false" outlineLevel="0" max="4" min="4" style="0" width="12"/>
    <col collapsed="false" customWidth="true" hidden="false" outlineLevel="0" max="6" min="5" style="0" width="13"/>
    <col collapsed="false" customWidth="true" hidden="false" outlineLevel="0" max="7" min="7" style="0" width="11"/>
    <col collapsed="false" customWidth="true" hidden="false" outlineLevel="0" max="8" min="8" style="0" width="20"/>
    <col collapsed="false" customWidth="true" hidden="false" outlineLevel="0" max="10" min="9" style="0" width="13"/>
    <col collapsed="false" customWidth="true" hidden="false" outlineLevel="0" max="11" min="11" style="0" width="10"/>
    <col collapsed="false" customWidth="true" hidden="false" outlineLevel="0" max="12" min="12" style="0" width="13"/>
    <col collapsed="false" customWidth="true" hidden="false" outlineLevel="0" max="14" min="13" style="0" width="9"/>
    <col collapsed="false" customWidth="true" hidden="false" outlineLevel="0" max="15" min="15" style="0" width="46"/>
    <col collapsed="false" customWidth="true" hidden="false" outlineLevel="0" max="16" min="16" style="0" width="17"/>
    <col collapsed="false" customWidth="true" hidden="false" outlineLevel="0" max="17" min="17" style="0" width="52"/>
  </cols>
  <sheetData>
    <row r="1" customFormat="false" ht="16.15" hidden="false" customHeight="false" outlineLevel="0" collapsed="false">
      <c r="A1" s="18" t="s">
        <v>272</v>
      </c>
    </row>
    <row r="2" customFormat="false" ht="15" hidden="false" customHeight="false" outlineLevel="0" collapsed="false">
      <c r="A2" s="19" t="s">
        <v>273</v>
      </c>
    </row>
    <row r="3" customFormat="false" ht="15" hidden="false" customHeight="false" outlineLevel="0" collapsed="false">
      <c r="A3" s="20" t="s">
        <v>274</v>
      </c>
    </row>
    <row r="5" customFormat="false" ht="32.8" hidden="false" customHeight="false" outlineLevel="0" collapsed="false">
      <c r="A5" s="4" t="s">
        <v>122</v>
      </c>
      <c r="B5" s="4" t="s">
        <v>123</v>
      </c>
      <c r="C5" s="4" t="s">
        <v>124</v>
      </c>
      <c r="D5" s="4" t="s">
        <v>125</v>
      </c>
      <c r="E5" s="4" t="s">
        <v>126</v>
      </c>
      <c r="F5" s="4" t="s">
        <v>12</v>
      </c>
      <c r="G5" s="4" t="s">
        <v>127</v>
      </c>
      <c r="H5" s="4" t="s">
        <v>128</v>
      </c>
      <c r="I5" s="4" t="s">
        <v>129</v>
      </c>
      <c r="J5" s="4" t="s">
        <v>130</v>
      </c>
      <c r="K5" s="4" t="s">
        <v>131</v>
      </c>
      <c r="L5" s="4" t="s">
        <v>132</v>
      </c>
      <c r="M5" s="4" t="s">
        <v>133</v>
      </c>
      <c r="N5" s="4" t="s">
        <v>134</v>
      </c>
      <c r="O5" s="4" t="s">
        <v>135</v>
      </c>
      <c r="P5" s="4" t="s">
        <v>136</v>
      </c>
      <c r="Q5" s="4" t="s">
        <v>137</v>
      </c>
    </row>
    <row r="6" customFormat="false" ht="15" hidden="false" customHeight="false" outlineLevel="0" collapsed="false">
      <c r="A6" s="9" t="s">
        <v>275</v>
      </c>
      <c r="B6" s="21" t="n">
        <v>1101.1</v>
      </c>
      <c r="C6" s="25" t="s">
        <v>154</v>
      </c>
      <c r="D6" s="8" t="n">
        <v>0</v>
      </c>
      <c r="E6" s="21" t="n">
        <f aca="false">ROUND(B6*D6,1)</f>
        <v>0</v>
      </c>
      <c r="F6" s="21" t="n">
        <f aca="false">B6-E6</f>
        <v>1101.1</v>
      </c>
      <c r="G6" s="30" t="n">
        <v>15</v>
      </c>
      <c r="H6" s="9" t="s">
        <v>215</v>
      </c>
      <c r="I6" s="24" t="n">
        <v>11</v>
      </c>
      <c r="J6" s="6" t="n">
        <f aca="false">ROUND(F6*I6,0)</f>
        <v>12112</v>
      </c>
      <c r="K6" s="5" t="s">
        <v>141</v>
      </c>
      <c r="L6" s="5" t="s">
        <v>150</v>
      </c>
      <c r="M6" s="8" t="n">
        <v>0.33</v>
      </c>
      <c r="N6" s="5" t="n">
        <v>3</v>
      </c>
      <c r="O6" s="9" t="s">
        <v>276</v>
      </c>
      <c r="P6" s="5" t="s">
        <v>144</v>
      </c>
      <c r="Q6" s="9" t="s">
        <v>277</v>
      </c>
    </row>
    <row r="7" customFormat="false" ht="43.25" hidden="false" customHeight="false" outlineLevel="0" collapsed="false">
      <c r="A7" s="9" t="s">
        <v>278</v>
      </c>
      <c r="B7" s="21" t="n">
        <v>1377.1</v>
      </c>
      <c r="C7" s="26" t="s">
        <v>150</v>
      </c>
      <c r="D7" s="8" t="n">
        <v>0.42</v>
      </c>
      <c r="E7" s="21" t="n">
        <f aca="false">ROUND(B7*D7,1)</f>
        <v>578.4</v>
      </c>
      <c r="F7" s="21" t="n">
        <f aca="false">B7-E7</f>
        <v>798.7</v>
      </c>
      <c r="G7" s="23" t="n">
        <v>12</v>
      </c>
      <c r="H7" s="9" t="s">
        <v>211</v>
      </c>
      <c r="I7" s="24" t="n">
        <v>8</v>
      </c>
      <c r="J7" s="6" t="n">
        <f aca="false">ROUND(F7*I7,0)</f>
        <v>6390</v>
      </c>
      <c r="K7" s="5" t="s">
        <v>141</v>
      </c>
      <c r="L7" s="5" t="s">
        <v>150</v>
      </c>
      <c r="M7" s="8" t="n">
        <v>0.32</v>
      </c>
      <c r="N7" s="5" t="n">
        <v>4</v>
      </c>
      <c r="O7" s="9" t="s">
        <v>279</v>
      </c>
      <c r="P7" s="5" t="s">
        <v>144</v>
      </c>
      <c r="Q7" s="9" t="s">
        <v>280</v>
      </c>
    </row>
    <row r="8" customFormat="false" ht="32.8" hidden="false" customHeight="false" outlineLevel="0" collapsed="false">
      <c r="A8" s="9" t="s">
        <v>281</v>
      </c>
      <c r="B8" s="21" t="n">
        <v>536.1</v>
      </c>
      <c r="C8" s="26" t="s">
        <v>150</v>
      </c>
      <c r="D8" s="8" t="n">
        <v>0.52</v>
      </c>
      <c r="E8" s="21" t="n">
        <f aca="false">ROUND(B8*D8,1)</f>
        <v>278.8</v>
      </c>
      <c r="F8" s="21" t="n">
        <f aca="false">B8-E8</f>
        <v>257.3</v>
      </c>
      <c r="G8" s="23" t="n">
        <v>12</v>
      </c>
      <c r="H8" s="9" t="s">
        <v>211</v>
      </c>
      <c r="I8" s="24" t="n">
        <v>8</v>
      </c>
      <c r="J8" s="6" t="n">
        <f aca="false">ROUND(F8*I8,0)</f>
        <v>2058</v>
      </c>
      <c r="K8" s="5" t="s">
        <v>216</v>
      </c>
      <c r="L8" s="5" t="s">
        <v>217</v>
      </c>
      <c r="M8" s="8" t="s">
        <v>218</v>
      </c>
      <c r="N8" s="5" t="n">
        <v>0</v>
      </c>
      <c r="O8" s="9" t="s">
        <v>282</v>
      </c>
      <c r="P8" s="5" t="s">
        <v>144</v>
      </c>
      <c r="Q8" s="9" t="s">
        <v>283</v>
      </c>
    </row>
    <row r="9" customFormat="false" ht="15" hidden="false" customHeight="false" outlineLevel="0" collapsed="false">
      <c r="A9" s="9" t="s">
        <v>284</v>
      </c>
      <c r="B9" s="21" t="n">
        <v>624.3</v>
      </c>
      <c r="C9" s="25" t="s">
        <v>154</v>
      </c>
      <c r="D9" s="8" t="n">
        <v>0</v>
      </c>
      <c r="E9" s="21" t="n">
        <f aca="false">ROUND(B9*D9,1)</f>
        <v>0</v>
      </c>
      <c r="F9" s="21" t="n">
        <f aca="false">B9-E9</f>
        <v>624.3</v>
      </c>
      <c r="G9" s="23" t="n">
        <v>12</v>
      </c>
      <c r="H9" s="9" t="s">
        <v>211</v>
      </c>
      <c r="I9" s="24" t="n">
        <v>8</v>
      </c>
      <c r="J9" s="6" t="n">
        <f aca="false">ROUND(F9*I9,0)</f>
        <v>4994</v>
      </c>
      <c r="K9" s="5" t="s">
        <v>141</v>
      </c>
      <c r="L9" s="5" t="s">
        <v>150</v>
      </c>
      <c r="M9" s="8" t="n">
        <v>0.25</v>
      </c>
      <c r="N9" s="5" t="n">
        <v>2</v>
      </c>
      <c r="O9" s="9" t="s">
        <v>285</v>
      </c>
      <c r="P9" s="5" t="s">
        <v>144</v>
      </c>
      <c r="Q9" s="9" t="s">
        <v>277</v>
      </c>
    </row>
    <row r="10" customFormat="false" ht="15" hidden="false" customHeight="false" outlineLevel="0" collapsed="false">
      <c r="A10" s="9" t="s">
        <v>286</v>
      </c>
      <c r="B10" s="21" t="n">
        <v>598.3</v>
      </c>
      <c r="C10" s="25" t="s">
        <v>154</v>
      </c>
      <c r="D10" s="8" t="n">
        <v>0</v>
      </c>
      <c r="E10" s="21" t="n">
        <f aca="false">ROUND(B10*D10,1)</f>
        <v>0</v>
      </c>
      <c r="F10" s="21" t="n">
        <f aca="false">B10-E10</f>
        <v>598.3</v>
      </c>
      <c r="G10" s="23" t="n">
        <v>12</v>
      </c>
      <c r="H10" s="9" t="s">
        <v>211</v>
      </c>
      <c r="I10" s="24" t="n">
        <v>8</v>
      </c>
      <c r="J10" s="6" t="n">
        <f aca="false">ROUND(F10*I10,0)</f>
        <v>4786</v>
      </c>
      <c r="K10" s="5" t="s">
        <v>141</v>
      </c>
      <c r="L10" s="5" t="s">
        <v>174</v>
      </c>
      <c r="M10" s="8" t="n">
        <v>0</v>
      </c>
      <c r="N10" s="5" t="n">
        <v>2</v>
      </c>
      <c r="O10" s="9" t="s">
        <v>285</v>
      </c>
      <c r="P10" s="5" t="s">
        <v>144</v>
      </c>
      <c r="Q10" s="9" t="s">
        <v>277</v>
      </c>
    </row>
    <row r="11" customFormat="false" ht="15" hidden="false" customHeight="false" outlineLevel="0" collapsed="false">
      <c r="A11" s="9" t="s">
        <v>168</v>
      </c>
      <c r="B11" s="21" t="n">
        <v>346.1</v>
      </c>
      <c r="C11" s="25" t="s">
        <v>154</v>
      </c>
      <c r="D11" s="8" t="n">
        <v>0</v>
      </c>
      <c r="E11" s="21" t="n">
        <f aca="false">ROUND(B11*D11,1)</f>
        <v>0</v>
      </c>
      <c r="F11" s="21" t="n">
        <f aca="false">B11-E11</f>
        <v>346.1</v>
      </c>
      <c r="G11" s="23" t="n">
        <v>12</v>
      </c>
      <c r="H11" s="9" t="s">
        <v>211</v>
      </c>
      <c r="I11" s="24" t="n">
        <v>8</v>
      </c>
      <c r="J11" s="6" t="n">
        <f aca="false">ROUND(F11*I11,0)</f>
        <v>2769</v>
      </c>
      <c r="K11" s="5" t="s">
        <v>141</v>
      </c>
      <c r="L11" s="5" t="s">
        <v>150</v>
      </c>
      <c r="M11" s="8" t="n">
        <v>0.5</v>
      </c>
      <c r="N11" s="5" t="n">
        <v>1</v>
      </c>
      <c r="O11" s="9" t="s">
        <v>155</v>
      </c>
      <c r="P11" s="5" t="s">
        <v>144</v>
      </c>
      <c r="Q11" s="9" t="s">
        <v>287</v>
      </c>
    </row>
    <row r="12" customFormat="false" ht="15" hidden="false" customHeight="false" outlineLevel="0" collapsed="false">
      <c r="A12" s="9" t="s">
        <v>149</v>
      </c>
      <c r="B12" s="21" t="n">
        <v>21.6</v>
      </c>
      <c r="C12" s="22" t="s">
        <v>139</v>
      </c>
      <c r="D12" s="8" t="n">
        <v>1</v>
      </c>
      <c r="E12" s="21" t="n">
        <f aca="false">ROUND(B12*D12,1)</f>
        <v>21.6</v>
      </c>
      <c r="F12" s="21" t="n">
        <f aca="false">B12-E12</f>
        <v>0</v>
      </c>
      <c r="G12" s="23" t="n">
        <v>12</v>
      </c>
      <c r="H12" s="9" t="s">
        <v>211</v>
      </c>
      <c r="I12" s="24" t="n">
        <v>8</v>
      </c>
      <c r="J12" s="6" t="n">
        <f aca="false">ROUND(F12*I12,0)</f>
        <v>0</v>
      </c>
      <c r="K12" s="5" t="s">
        <v>141</v>
      </c>
      <c r="L12" s="5" t="s">
        <v>142</v>
      </c>
      <c r="M12" s="8" t="n">
        <v>1</v>
      </c>
      <c r="N12" s="5" t="n">
        <v>1</v>
      </c>
      <c r="O12" s="9" t="s">
        <v>288</v>
      </c>
      <c r="P12" s="5" t="s">
        <v>144</v>
      </c>
      <c r="Q12" s="9" t="s">
        <v>289</v>
      </c>
    </row>
    <row r="13" customFormat="false" ht="15" hidden="false" customHeight="false" outlineLevel="0" collapsed="false">
      <c r="A13" s="9" t="s">
        <v>290</v>
      </c>
      <c r="B13" s="21" t="n">
        <v>596</v>
      </c>
      <c r="C13" s="25" t="s">
        <v>154</v>
      </c>
      <c r="D13" s="8" t="n">
        <v>0</v>
      </c>
      <c r="E13" s="21" t="n">
        <f aca="false">ROUND(B13*D13,1)</f>
        <v>0</v>
      </c>
      <c r="F13" s="21" t="n">
        <f aca="false">B13-E13</f>
        <v>596</v>
      </c>
      <c r="G13" s="23" t="n">
        <v>12</v>
      </c>
      <c r="H13" s="9" t="s">
        <v>211</v>
      </c>
      <c r="I13" s="24" t="n">
        <v>8</v>
      </c>
      <c r="J13" s="6" t="n">
        <f aca="false">ROUND(F13*I13,0)</f>
        <v>4768</v>
      </c>
      <c r="K13" s="5" t="s">
        <v>141</v>
      </c>
      <c r="L13" s="5" t="s">
        <v>150</v>
      </c>
      <c r="M13" s="8" t="n">
        <v>0.25</v>
      </c>
      <c r="N13" s="5" t="n">
        <v>2</v>
      </c>
      <c r="O13" s="9" t="s">
        <v>291</v>
      </c>
      <c r="P13" s="5" t="s">
        <v>144</v>
      </c>
      <c r="Q13" s="9" t="s">
        <v>277</v>
      </c>
    </row>
    <row r="14" customFormat="false" ht="15" hidden="false" customHeight="false" outlineLevel="0" collapsed="false">
      <c r="A14" s="9" t="s">
        <v>292</v>
      </c>
      <c r="B14" s="21" t="n">
        <v>592.3</v>
      </c>
      <c r="C14" s="25" t="s">
        <v>154</v>
      </c>
      <c r="D14" s="8" t="n">
        <v>0</v>
      </c>
      <c r="E14" s="21" t="n">
        <f aca="false">ROUND(B14*D14,1)</f>
        <v>0</v>
      </c>
      <c r="F14" s="21" t="n">
        <f aca="false">B14-E14</f>
        <v>592.3</v>
      </c>
      <c r="G14" s="23" t="n">
        <v>12</v>
      </c>
      <c r="H14" s="9" t="s">
        <v>211</v>
      </c>
      <c r="I14" s="24" t="n">
        <v>8</v>
      </c>
      <c r="J14" s="6" t="n">
        <f aca="false">ROUND(F14*I14,0)</f>
        <v>4738</v>
      </c>
      <c r="K14" s="5" t="s">
        <v>141</v>
      </c>
      <c r="L14" s="5" t="s">
        <v>150</v>
      </c>
      <c r="M14" s="8" t="n">
        <v>0.31</v>
      </c>
      <c r="N14" s="5" t="n">
        <v>2</v>
      </c>
      <c r="O14" s="9" t="s">
        <v>291</v>
      </c>
      <c r="P14" s="5" t="s">
        <v>144</v>
      </c>
      <c r="Q14" s="9" t="s">
        <v>277</v>
      </c>
    </row>
    <row r="15" customFormat="false" ht="15" hidden="false" customHeight="false" outlineLevel="0" collapsed="false">
      <c r="A15" s="9" t="s">
        <v>293</v>
      </c>
      <c r="B15" s="21" t="n">
        <v>361.4</v>
      </c>
      <c r="C15" s="25" t="s">
        <v>154</v>
      </c>
      <c r="D15" s="8" t="n">
        <v>0</v>
      </c>
      <c r="E15" s="21" t="n">
        <f aca="false">ROUND(B15*D15,1)</f>
        <v>0</v>
      </c>
      <c r="F15" s="21" t="n">
        <f aca="false">B15-E15</f>
        <v>361.4</v>
      </c>
      <c r="G15" s="23" t="n">
        <v>12</v>
      </c>
      <c r="H15" s="9" t="s">
        <v>211</v>
      </c>
      <c r="I15" s="24" t="n">
        <v>8</v>
      </c>
      <c r="J15" s="6" t="n">
        <f aca="false">ROUND(F15*I15,0)</f>
        <v>2891</v>
      </c>
      <c r="K15" s="5" t="s">
        <v>141</v>
      </c>
      <c r="L15" s="5" t="s">
        <v>142</v>
      </c>
      <c r="M15" s="8" t="n">
        <v>1</v>
      </c>
      <c r="N15" s="5" t="n">
        <v>1</v>
      </c>
      <c r="O15" s="9" t="s">
        <v>155</v>
      </c>
      <c r="P15" s="5" t="s">
        <v>144</v>
      </c>
      <c r="Q15" s="9" t="s">
        <v>277</v>
      </c>
    </row>
    <row r="16" customFormat="false" ht="15" hidden="false" customHeight="false" outlineLevel="0" collapsed="false">
      <c r="A16" s="9" t="s">
        <v>294</v>
      </c>
      <c r="B16" s="21" t="n">
        <v>558.1</v>
      </c>
      <c r="C16" s="25" t="s">
        <v>154</v>
      </c>
      <c r="D16" s="8" t="n">
        <v>0</v>
      </c>
      <c r="E16" s="21" t="n">
        <f aca="false">ROUND(B16*D16,1)</f>
        <v>0</v>
      </c>
      <c r="F16" s="21" t="n">
        <f aca="false">B16-E16</f>
        <v>558.1</v>
      </c>
      <c r="G16" s="23" t="n">
        <v>12</v>
      </c>
      <c r="H16" s="9" t="s">
        <v>211</v>
      </c>
      <c r="I16" s="24" t="n">
        <v>8</v>
      </c>
      <c r="J16" s="6" t="n">
        <f aca="false">ROUND(F16*I16,0)</f>
        <v>4465</v>
      </c>
      <c r="K16" s="5" t="s">
        <v>141</v>
      </c>
      <c r="L16" s="5" t="s">
        <v>150</v>
      </c>
      <c r="M16" s="8" t="n">
        <v>0.5</v>
      </c>
      <c r="N16" s="5" t="n">
        <v>2</v>
      </c>
      <c r="O16" s="9" t="s">
        <v>291</v>
      </c>
      <c r="P16" s="5" t="s">
        <v>144</v>
      </c>
      <c r="Q16" s="9" t="s">
        <v>277</v>
      </c>
    </row>
    <row r="17" customFormat="false" ht="15" hidden="false" customHeight="false" outlineLevel="0" collapsed="false">
      <c r="A17" s="9" t="s">
        <v>295</v>
      </c>
      <c r="B17" s="21" t="n">
        <v>595.8</v>
      </c>
      <c r="C17" s="26" t="s">
        <v>150</v>
      </c>
      <c r="D17" s="8" t="n">
        <v>0.5</v>
      </c>
      <c r="E17" s="21" t="n">
        <f aca="false">ROUND(B17*D17,1)</f>
        <v>297.9</v>
      </c>
      <c r="F17" s="21" t="n">
        <f aca="false">B17-E17</f>
        <v>297.9</v>
      </c>
      <c r="G17" s="23" t="n">
        <v>12</v>
      </c>
      <c r="H17" s="9" t="s">
        <v>211</v>
      </c>
      <c r="I17" s="24" t="n">
        <v>8</v>
      </c>
      <c r="J17" s="6" t="n">
        <f aca="false">ROUND(F17*I17,0)</f>
        <v>2383</v>
      </c>
      <c r="K17" s="5" t="s">
        <v>141</v>
      </c>
      <c r="L17" s="5" t="s">
        <v>142</v>
      </c>
      <c r="M17" s="8" t="n">
        <v>0.75</v>
      </c>
      <c r="N17" s="5" t="n">
        <v>2</v>
      </c>
      <c r="O17" s="9" t="s">
        <v>296</v>
      </c>
      <c r="P17" s="5" t="s">
        <v>144</v>
      </c>
      <c r="Q17" s="9" t="s">
        <v>277</v>
      </c>
    </row>
    <row r="18" customFormat="false" ht="22.35" hidden="false" customHeight="false" outlineLevel="0" collapsed="false">
      <c r="A18" s="9" t="s">
        <v>297</v>
      </c>
      <c r="B18" s="21" t="n">
        <v>102</v>
      </c>
      <c r="C18" s="22" t="s">
        <v>139</v>
      </c>
      <c r="D18" s="8" t="n">
        <v>1</v>
      </c>
      <c r="E18" s="21" t="n">
        <f aca="false">ROUND(B18*D18,1)</f>
        <v>102</v>
      </c>
      <c r="F18" s="21" t="n">
        <f aca="false">B18-E18</f>
        <v>0</v>
      </c>
      <c r="G18" s="23" t="n">
        <v>12</v>
      </c>
      <c r="H18" s="9" t="s">
        <v>211</v>
      </c>
      <c r="I18" s="24" t="n">
        <v>8</v>
      </c>
      <c r="J18" s="6" t="n">
        <f aca="false">ROUND(F18*I18,0)</f>
        <v>0</v>
      </c>
      <c r="K18" s="5" t="s">
        <v>141</v>
      </c>
      <c r="L18" s="5" t="s">
        <v>150</v>
      </c>
      <c r="M18" s="8" t="n">
        <v>0.5</v>
      </c>
      <c r="N18" s="5" t="n">
        <v>1</v>
      </c>
      <c r="O18" s="9" t="s">
        <v>151</v>
      </c>
      <c r="P18" s="5" t="s">
        <v>144</v>
      </c>
      <c r="Q18" s="9" t="s">
        <v>298</v>
      </c>
    </row>
    <row r="19" customFormat="false" ht="15" hidden="false" customHeight="false" outlineLevel="0" collapsed="false">
      <c r="A19" s="9" t="s">
        <v>299</v>
      </c>
      <c r="B19" s="21" t="n">
        <v>351.2</v>
      </c>
      <c r="C19" s="25" t="s">
        <v>154</v>
      </c>
      <c r="D19" s="8" t="n">
        <v>0</v>
      </c>
      <c r="E19" s="21" t="n">
        <f aca="false">ROUND(B19*D19,1)</f>
        <v>0</v>
      </c>
      <c r="F19" s="21" t="n">
        <f aca="false">B19-E19</f>
        <v>351.2</v>
      </c>
      <c r="G19" s="23" t="n">
        <v>12</v>
      </c>
      <c r="H19" s="9" t="s">
        <v>211</v>
      </c>
      <c r="I19" s="24" t="n">
        <v>8</v>
      </c>
      <c r="J19" s="6" t="n">
        <f aca="false">ROUND(F19*I19,0)</f>
        <v>2810</v>
      </c>
      <c r="K19" s="5" t="s">
        <v>141</v>
      </c>
      <c r="L19" s="5" t="s">
        <v>150</v>
      </c>
      <c r="M19" s="8" t="n">
        <v>0.5</v>
      </c>
      <c r="N19" s="5" t="n">
        <v>1</v>
      </c>
      <c r="O19" s="9" t="s">
        <v>155</v>
      </c>
      <c r="P19" s="5" t="s">
        <v>144</v>
      </c>
      <c r="Q19" s="9" t="s">
        <v>277</v>
      </c>
    </row>
    <row r="20" customFormat="false" ht="15" hidden="false" customHeight="false" outlineLevel="0" collapsed="false">
      <c r="A20" s="9" t="s">
        <v>300</v>
      </c>
      <c r="B20" s="21" t="n">
        <v>347.5</v>
      </c>
      <c r="C20" s="25" t="s">
        <v>154</v>
      </c>
      <c r="D20" s="8" t="n">
        <v>0</v>
      </c>
      <c r="E20" s="21" t="n">
        <f aca="false">ROUND(B20*D20,1)</f>
        <v>0</v>
      </c>
      <c r="F20" s="21" t="n">
        <f aca="false">B20-E20</f>
        <v>347.5</v>
      </c>
      <c r="G20" s="23" t="n">
        <v>12</v>
      </c>
      <c r="H20" s="9" t="s">
        <v>211</v>
      </c>
      <c r="I20" s="24" t="n">
        <v>8</v>
      </c>
      <c r="J20" s="6" t="n">
        <f aca="false">ROUND(F20*I20,0)</f>
        <v>2780</v>
      </c>
      <c r="K20" s="5" t="s">
        <v>141</v>
      </c>
      <c r="L20" s="5" t="s">
        <v>150</v>
      </c>
      <c r="M20" s="8" t="n">
        <v>0.5</v>
      </c>
      <c r="N20" s="5" t="n">
        <v>1</v>
      </c>
      <c r="O20" s="9" t="s">
        <v>155</v>
      </c>
      <c r="P20" s="5" t="s">
        <v>144</v>
      </c>
      <c r="Q20" s="9" t="s">
        <v>277</v>
      </c>
    </row>
    <row r="21" customFormat="false" ht="15" hidden="false" customHeight="false" outlineLevel="0" collapsed="false">
      <c r="A21" s="9" t="s">
        <v>301</v>
      </c>
      <c r="B21" s="21" t="n">
        <v>357.5</v>
      </c>
      <c r="C21" s="25" t="s">
        <v>154</v>
      </c>
      <c r="D21" s="8" t="n">
        <v>0</v>
      </c>
      <c r="E21" s="21" t="n">
        <f aca="false">ROUND(B21*D21,1)</f>
        <v>0</v>
      </c>
      <c r="F21" s="21" t="n">
        <f aca="false">B21-E21</f>
        <v>357.5</v>
      </c>
      <c r="G21" s="23" t="n">
        <v>12</v>
      </c>
      <c r="H21" s="9" t="s">
        <v>211</v>
      </c>
      <c r="I21" s="24" t="n">
        <v>8</v>
      </c>
      <c r="J21" s="6" t="n">
        <f aca="false">ROUND(F21*I21,0)</f>
        <v>2860</v>
      </c>
      <c r="K21" s="5" t="s">
        <v>141</v>
      </c>
      <c r="L21" s="5" t="s">
        <v>150</v>
      </c>
      <c r="M21" s="8" t="n">
        <v>0.5</v>
      </c>
      <c r="N21" s="5" t="n">
        <v>1</v>
      </c>
      <c r="O21" s="9" t="s">
        <v>155</v>
      </c>
      <c r="P21" s="5" t="s">
        <v>144</v>
      </c>
      <c r="Q21" s="9" t="s">
        <v>277</v>
      </c>
    </row>
    <row r="22" customFormat="false" ht="15" hidden="false" customHeight="false" outlineLevel="0" collapsed="false">
      <c r="A22" s="9" t="s">
        <v>146</v>
      </c>
      <c r="B22" s="21" t="n">
        <v>119.8</v>
      </c>
      <c r="C22" s="22" t="s">
        <v>139</v>
      </c>
      <c r="D22" s="8" t="n">
        <v>1</v>
      </c>
      <c r="E22" s="21" t="n">
        <f aca="false">ROUND(B22*D22,1)</f>
        <v>119.8</v>
      </c>
      <c r="F22" s="21" t="n">
        <f aca="false">B22-E22</f>
        <v>0</v>
      </c>
      <c r="G22" s="23" t="n">
        <v>12</v>
      </c>
      <c r="H22" s="9" t="s">
        <v>211</v>
      </c>
      <c r="I22" s="24" t="n">
        <v>8</v>
      </c>
      <c r="J22" s="6" t="n">
        <f aca="false">ROUND(F22*I22,0)</f>
        <v>0</v>
      </c>
      <c r="K22" s="5" t="s">
        <v>141</v>
      </c>
      <c r="L22" s="5" t="s">
        <v>142</v>
      </c>
      <c r="M22" s="8" t="n">
        <v>1</v>
      </c>
      <c r="N22" s="5" t="n">
        <v>1</v>
      </c>
      <c r="O22" s="9" t="s">
        <v>288</v>
      </c>
      <c r="P22" s="5" t="s">
        <v>144</v>
      </c>
      <c r="Q22" s="9" t="s">
        <v>302</v>
      </c>
    </row>
    <row r="23" customFormat="false" ht="15" hidden="false" customHeight="false" outlineLevel="0" collapsed="false">
      <c r="A23" s="9" t="s">
        <v>303</v>
      </c>
      <c r="B23" s="21" t="n">
        <v>598.2</v>
      </c>
      <c r="C23" s="26" t="s">
        <v>150</v>
      </c>
      <c r="D23" s="8" t="n">
        <v>0.5</v>
      </c>
      <c r="E23" s="21" t="n">
        <f aca="false">ROUND(B23*D23,1)</f>
        <v>299.1</v>
      </c>
      <c r="F23" s="21" t="n">
        <f aca="false">B23-E23</f>
        <v>299.1</v>
      </c>
      <c r="G23" s="23" t="n">
        <v>12</v>
      </c>
      <c r="H23" s="9" t="s">
        <v>211</v>
      </c>
      <c r="I23" s="24" t="n">
        <v>8</v>
      </c>
      <c r="J23" s="6" t="n">
        <f aca="false">ROUND(F23*I23,0)</f>
        <v>2393</v>
      </c>
      <c r="K23" s="5" t="s">
        <v>141</v>
      </c>
      <c r="L23" s="5" t="s">
        <v>142</v>
      </c>
      <c r="M23" s="8" t="n">
        <v>0.75</v>
      </c>
      <c r="N23" s="5" t="n">
        <v>2</v>
      </c>
      <c r="O23" s="9" t="s">
        <v>304</v>
      </c>
      <c r="P23" s="5" t="s">
        <v>144</v>
      </c>
      <c r="Q23" s="9" t="s">
        <v>277</v>
      </c>
    </row>
    <row r="24" customFormat="false" ht="22.35" hidden="false" customHeight="false" outlineLevel="0" collapsed="false">
      <c r="A24" s="9" t="s">
        <v>305</v>
      </c>
      <c r="B24" s="21" t="n">
        <v>801.8</v>
      </c>
      <c r="C24" s="22" t="s">
        <v>139</v>
      </c>
      <c r="D24" s="8" t="n">
        <v>1</v>
      </c>
      <c r="E24" s="21" t="n">
        <f aca="false">ROUND(B24*D24,1)</f>
        <v>801.8</v>
      </c>
      <c r="F24" s="21" t="n">
        <f aca="false">B24-E24</f>
        <v>0</v>
      </c>
      <c r="G24" s="23" t="n">
        <v>12</v>
      </c>
      <c r="H24" s="9" t="s">
        <v>211</v>
      </c>
      <c r="I24" s="24" t="n">
        <v>8</v>
      </c>
      <c r="J24" s="6" t="n">
        <f aca="false">ROUND(F24*I24,0)</f>
        <v>0</v>
      </c>
      <c r="K24" s="5" t="s">
        <v>141</v>
      </c>
      <c r="L24" s="5" t="s">
        <v>150</v>
      </c>
      <c r="M24" s="8" t="n">
        <v>0.5</v>
      </c>
      <c r="N24" s="5" t="n">
        <v>2</v>
      </c>
      <c r="O24" s="9" t="s">
        <v>306</v>
      </c>
      <c r="P24" s="5" t="s">
        <v>144</v>
      </c>
      <c r="Q24" s="9" t="s">
        <v>307</v>
      </c>
    </row>
    <row r="25" customFormat="false" ht="22.35" hidden="false" customHeight="false" outlineLevel="0" collapsed="false">
      <c r="A25" s="9" t="s">
        <v>138</v>
      </c>
      <c r="B25" s="21" t="n">
        <v>1055.1</v>
      </c>
      <c r="C25" s="22" t="s">
        <v>139</v>
      </c>
      <c r="D25" s="8" t="n">
        <v>1</v>
      </c>
      <c r="E25" s="21" t="n">
        <f aca="false">ROUND(B25*D25,1)</f>
        <v>1055.1</v>
      </c>
      <c r="F25" s="21" t="n">
        <f aca="false">B25-E25</f>
        <v>0</v>
      </c>
      <c r="G25" s="23" t="n">
        <v>12</v>
      </c>
      <c r="H25" s="9" t="s">
        <v>211</v>
      </c>
      <c r="I25" s="24" t="n">
        <v>8</v>
      </c>
      <c r="J25" s="6" t="n">
        <f aca="false">ROUND(F25*I25,0)</f>
        <v>0</v>
      </c>
      <c r="K25" s="5" t="s">
        <v>141</v>
      </c>
      <c r="L25" s="5" t="s">
        <v>142</v>
      </c>
      <c r="M25" s="8" t="n">
        <v>1</v>
      </c>
      <c r="N25" s="5" t="n">
        <v>3</v>
      </c>
      <c r="O25" s="9" t="s">
        <v>308</v>
      </c>
      <c r="P25" s="5" t="s">
        <v>144</v>
      </c>
      <c r="Q25" s="9" t="s">
        <v>309</v>
      </c>
    </row>
    <row r="26" customFormat="false" ht="15" hidden="false" customHeight="false" outlineLevel="0" collapsed="false">
      <c r="A26" s="9" t="s">
        <v>176</v>
      </c>
      <c r="B26" s="21" t="n">
        <v>989.8</v>
      </c>
      <c r="C26" s="25" t="s">
        <v>154</v>
      </c>
      <c r="D26" s="8" t="n">
        <v>0</v>
      </c>
      <c r="E26" s="21" t="n">
        <f aca="false">ROUND(B26*D26,1)</f>
        <v>0</v>
      </c>
      <c r="F26" s="21" t="n">
        <f aca="false">B26-E26</f>
        <v>989.8</v>
      </c>
      <c r="G26" s="30" t="n">
        <v>15</v>
      </c>
      <c r="H26" s="9" t="s">
        <v>215</v>
      </c>
      <c r="I26" s="24" t="n">
        <v>11</v>
      </c>
      <c r="J26" s="6" t="n">
        <f aca="false">ROUND(F26*I26,0)</f>
        <v>10888</v>
      </c>
      <c r="K26" s="5" t="s">
        <v>141</v>
      </c>
      <c r="L26" s="5" t="s">
        <v>150</v>
      </c>
      <c r="M26" s="8" t="n">
        <v>0.5</v>
      </c>
      <c r="N26" s="5" t="n">
        <v>2</v>
      </c>
      <c r="O26" s="9" t="s">
        <v>291</v>
      </c>
      <c r="P26" s="5" t="s">
        <v>144</v>
      </c>
      <c r="Q26" s="9" t="s">
        <v>277</v>
      </c>
    </row>
    <row r="27" customFormat="false" ht="22.35" hidden="false" customHeight="false" outlineLevel="0" collapsed="false">
      <c r="A27" s="9" t="s">
        <v>187</v>
      </c>
      <c r="B27" s="21" t="n">
        <v>1099</v>
      </c>
      <c r="C27" s="22" t="s">
        <v>139</v>
      </c>
      <c r="D27" s="8" t="n">
        <v>1</v>
      </c>
      <c r="E27" s="21" t="n">
        <f aca="false">ROUND(B27*D27,1)</f>
        <v>1099</v>
      </c>
      <c r="F27" s="21" t="n">
        <f aca="false">B27-E27</f>
        <v>0</v>
      </c>
      <c r="G27" s="23" t="n">
        <v>12</v>
      </c>
      <c r="H27" s="9" t="s">
        <v>211</v>
      </c>
      <c r="I27" s="24" t="n">
        <v>8</v>
      </c>
      <c r="J27" s="6" t="n">
        <f aca="false">ROUND(F27*I27,0)</f>
        <v>0</v>
      </c>
      <c r="K27" s="5" t="s">
        <v>141</v>
      </c>
      <c r="L27" s="5" t="s">
        <v>142</v>
      </c>
      <c r="M27" s="8" t="n">
        <v>1</v>
      </c>
      <c r="N27" s="5" t="n">
        <v>3</v>
      </c>
      <c r="O27" s="9" t="s">
        <v>310</v>
      </c>
      <c r="P27" s="5" t="s">
        <v>144</v>
      </c>
      <c r="Q27" s="9" t="s">
        <v>311</v>
      </c>
    </row>
    <row r="28" customFormat="false" ht="15" hidden="false" customHeight="false" outlineLevel="0" collapsed="false">
      <c r="A28" s="9" t="s">
        <v>312</v>
      </c>
      <c r="B28" s="21" t="n">
        <v>598</v>
      </c>
      <c r="C28" s="25" t="s">
        <v>154</v>
      </c>
      <c r="D28" s="8" t="n">
        <v>0</v>
      </c>
      <c r="E28" s="21" t="n">
        <f aca="false">ROUND(B28*D28,1)</f>
        <v>0</v>
      </c>
      <c r="F28" s="21" t="n">
        <f aca="false">B28-E28</f>
        <v>598</v>
      </c>
      <c r="G28" s="23" t="n">
        <v>12</v>
      </c>
      <c r="H28" s="9" t="s">
        <v>211</v>
      </c>
      <c r="I28" s="24" t="n">
        <v>8</v>
      </c>
      <c r="J28" s="6" t="n">
        <f aca="false">ROUND(F28*I28,0)</f>
        <v>4784</v>
      </c>
      <c r="K28" s="5" t="s">
        <v>141</v>
      </c>
      <c r="L28" s="5" t="s">
        <v>150</v>
      </c>
      <c r="M28" s="8" t="n">
        <v>0.5</v>
      </c>
      <c r="N28" s="5" t="n">
        <v>2</v>
      </c>
      <c r="O28" s="9" t="s">
        <v>291</v>
      </c>
      <c r="P28" s="5" t="s">
        <v>144</v>
      </c>
      <c r="Q28" s="9" t="s">
        <v>277</v>
      </c>
    </row>
    <row r="29" customFormat="false" ht="15" hidden="false" customHeight="false" outlineLevel="0" collapsed="false">
      <c r="A29" s="9" t="s">
        <v>163</v>
      </c>
      <c r="B29" s="21" t="n">
        <v>536.7</v>
      </c>
      <c r="C29" s="22" t="s">
        <v>139</v>
      </c>
      <c r="D29" s="8" t="n">
        <v>1</v>
      </c>
      <c r="E29" s="21" t="n">
        <f aca="false">ROUND(B29*D29,1)</f>
        <v>536.7</v>
      </c>
      <c r="F29" s="21" t="n">
        <f aca="false">B29-E29</f>
        <v>0</v>
      </c>
      <c r="G29" s="23" t="n">
        <v>12</v>
      </c>
      <c r="H29" s="9" t="s">
        <v>211</v>
      </c>
      <c r="I29" s="24" t="n">
        <v>8</v>
      </c>
      <c r="J29" s="6" t="n">
        <f aca="false">ROUND(F29*I29,0)</f>
        <v>0</v>
      </c>
      <c r="K29" s="5" t="s">
        <v>141</v>
      </c>
      <c r="L29" s="5" t="s">
        <v>150</v>
      </c>
      <c r="M29" s="8" t="n">
        <v>0.5</v>
      </c>
      <c r="N29" s="5" t="n">
        <v>2</v>
      </c>
      <c r="O29" s="9" t="s">
        <v>161</v>
      </c>
      <c r="P29" s="5" t="s">
        <v>144</v>
      </c>
      <c r="Q29" s="9" t="s">
        <v>277</v>
      </c>
    </row>
    <row r="30" customFormat="false" ht="15" hidden="false" customHeight="false" outlineLevel="0" collapsed="false">
      <c r="A30" s="9" t="s">
        <v>313</v>
      </c>
      <c r="B30" s="21" t="n">
        <v>597</v>
      </c>
      <c r="C30" s="25" t="s">
        <v>154</v>
      </c>
      <c r="D30" s="8" t="n">
        <v>0</v>
      </c>
      <c r="E30" s="21" t="n">
        <f aca="false">ROUND(B30*D30,1)</f>
        <v>0</v>
      </c>
      <c r="F30" s="21" t="n">
        <f aca="false">B30-E30</f>
        <v>597</v>
      </c>
      <c r="G30" s="23" t="n">
        <v>12</v>
      </c>
      <c r="H30" s="9" t="s">
        <v>211</v>
      </c>
      <c r="I30" s="24" t="n">
        <v>8</v>
      </c>
      <c r="J30" s="6" t="n">
        <f aca="false">ROUND(F30*I30,0)</f>
        <v>4776</v>
      </c>
      <c r="K30" s="5" t="s">
        <v>314</v>
      </c>
      <c r="L30" s="5" t="s">
        <v>150</v>
      </c>
      <c r="M30" s="8" t="n">
        <v>0.5</v>
      </c>
      <c r="N30" s="5" t="n">
        <v>1</v>
      </c>
      <c r="O30" s="9" t="s">
        <v>155</v>
      </c>
      <c r="P30" s="5" t="s">
        <v>144</v>
      </c>
      <c r="Q30" s="9" t="s">
        <v>277</v>
      </c>
    </row>
    <row r="31" customFormat="false" ht="15" hidden="false" customHeight="false" outlineLevel="0" collapsed="false">
      <c r="A31" s="9" t="s">
        <v>157</v>
      </c>
      <c r="B31" s="21" t="n">
        <v>543</v>
      </c>
      <c r="C31" s="25" t="s">
        <v>154</v>
      </c>
      <c r="D31" s="8" t="n">
        <v>0</v>
      </c>
      <c r="E31" s="21" t="n">
        <f aca="false">ROUND(B31*D31,1)</f>
        <v>0</v>
      </c>
      <c r="F31" s="21" t="n">
        <f aca="false">B31-E31</f>
        <v>543</v>
      </c>
      <c r="G31" s="23" t="n">
        <v>12</v>
      </c>
      <c r="H31" s="9" t="s">
        <v>211</v>
      </c>
      <c r="I31" s="24" t="n">
        <v>8</v>
      </c>
      <c r="J31" s="6" t="n">
        <f aca="false">ROUND(F31*I31,0)</f>
        <v>4344</v>
      </c>
      <c r="K31" s="5" t="s">
        <v>141</v>
      </c>
      <c r="L31" s="5" t="s">
        <v>150</v>
      </c>
      <c r="M31" s="8" t="n">
        <v>0.5</v>
      </c>
      <c r="N31" s="5" t="n">
        <v>2</v>
      </c>
      <c r="O31" s="9" t="s">
        <v>291</v>
      </c>
      <c r="P31" s="5" t="s">
        <v>144</v>
      </c>
      <c r="Q31" s="9" t="s">
        <v>277</v>
      </c>
    </row>
    <row r="32" customFormat="false" ht="15" hidden="false" customHeight="false" outlineLevel="0" collapsed="false">
      <c r="A32" s="9" t="s">
        <v>165</v>
      </c>
      <c r="B32" s="21" t="n">
        <v>540.8</v>
      </c>
      <c r="C32" s="25" t="s">
        <v>154</v>
      </c>
      <c r="D32" s="8" t="n">
        <v>0</v>
      </c>
      <c r="E32" s="21" t="n">
        <f aca="false">ROUND(B32*D32,1)</f>
        <v>0</v>
      </c>
      <c r="F32" s="21" t="n">
        <f aca="false">B32-E32</f>
        <v>540.8</v>
      </c>
      <c r="G32" s="23" t="n">
        <v>12</v>
      </c>
      <c r="H32" s="9" t="s">
        <v>211</v>
      </c>
      <c r="I32" s="24" t="n">
        <v>8</v>
      </c>
      <c r="J32" s="6" t="n">
        <f aca="false">ROUND(F32*I32,0)</f>
        <v>4326</v>
      </c>
      <c r="K32" s="5" t="s">
        <v>141</v>
      </c>
      <c r="L32" s="5" t="s">
        <v>150</v>
      </c>
      <c r="M32" s="8" t="n">
        <v>0.5</v>
      </c>
      <c r="N32" s="5" t="n">
        <v>2</v>
      </c>
      <c r="O32" s="9" t="s">
        <v>291</v>
      </c>
      <c r="P32" s="5" t="s">
        <v>144</v>
      </c>
      <c r="Q32" s="9" t="s">
        <v>277</v>
      </c>
    </row>
    <row r="33" customFormat="false" ht="15" hidden="false" customHeight="false" outlineLevel="0" collapsed="false">
      <c r="A33" s="9" t="s">
        <v>181</v>
      </c>
      <c r="B33" s="21" t="n">
        <v>538.8</v>
      </c>
      <c r="C33" s="25" t="s">
        <v>154</v>
      </c>
      <c r="D33" s="8" t="n">
        <v>0</v>
      </c>
      <c r="E33" s="21" t="n">
        <f aca="false">ROUND(B33*D33,1)</f>
        <v>0</v>
      </c>
      <c r="F33" s="21" t="n">
        <f aca="false">B33-E33</f>
        <v>538.8</v>
      </c>
      <c r="G33" s="23" t="n">
        <v>12</v>
      </c>
      <c r="H33" s="9" t="s">
        <v>211</v>
      </c>
      <c r="I33" s="24" t="n">
        <v>8</v>
      </c>
      <c r="J33" s="6" t="n">
        <f aca="false">ROUND(F33*I33,0)</f>
        <v>4310</v>
      </c>
      <c r="K33" s="5" t="s">
        <v>141</v>
      </c>
      <c r="L33" s="5" t="s">
        <v>142</v>
      </c>
      <c r="M33" s="8" t="n">
        <v>0.75</v>
      </c>
      <c r="N33" s="5" t="n">
        <v>2</v>
      </c>
      <c r="O33" s="9" t="s">
        <v>291</v>
      </c>
      <c r="P33" s="5" t="s">
        <v>144</v>
      </c>
      <c r="Q33" s="9" t="s">
        <v>315</v>
      </c>
    </row>
    <row r="34" customFormat="false" ht="15" hidden="false" customHeight="false" outlineLevel="0" collapsed="false">
      <c r="A34" s="9" t="s">
        <v>179</v>
      </c>
      <c r="B34" s="21" t="n">
        <v>532.4</v>
      </c>
      <c r="C34" s="25" t="s">
        <v>154</v>
      </c>
      <c r="D34" s="8" t="n">
        <v>0</v>
      </c>
      <c r="E34" s="21" t="n">
        <f aca="false">ROUND(B34*D34,1)</f>
        <v>0</v>
      </c>
      <c r="F34" s="21" t="n">
        <f aca="false">B34-E34</f>
        <v>532.4</v>
      </c>
      <c r="G34" s="23" t="n">
        <v>12</v>
      </c>
      <c r="H34" s="9" t="s">
        <v>211</v>
      </c>
      <c r="I34" s="24" t="n">
        <v>8</v>
      </c>
      <c r="J34" s="6" t="n">
        <f aca="false">ROUND(F34*I34,0)</f>
        <v>4259</v>
      </c>
      <c r="K34" s="5" t="s">
        <v>314</v>
      </c>
      <c r="L34" s="5" t="s">
        <v>150</v>
      </c>
      <c r="M34" s="8" t="n">
        <v>0.5</v>
      </c>
      <c r="N34" s="5" t="n">
        <v>1</v>
      </c>
      <c r="O34" s="9" t="s">
        <v>155</v>
      </c>
      <c r="P34" s="5" t="s">
        <v>144</v>
      </c>
      <c r="Q34" s="9" t="s">
        <v>277</v>
      </c>
    </row>
    <row r="35" customFormat="false" ht="15" hidden="false" customHeight="false" outlineLevel="0" collapsed="false">
      <c r="A35" s="9" t="s">
        <v>316</v>
      </c>
      <c r="B35" s="21" t="n">
        <v>495.1</v>
      </c>
      <c r="C35" s="22" t="s">
        <v>139</v>
      </c>
      <c r="D35" s="8" t="n">
        <v>1</v>
      </c>
      <c r="E35" s="21" t="n">
        <f aca="false">ROUND(B35*D35,1)</f>
        <v>495.1</v>
      </c>
      <c r="F35" s="21" t="n">
        <f aca="false">B35-E35</f>
        <v>0</v>
      </c>
      <c r="G35" s="30" t="n">
        <v>12</v>
      </c>
      <c r="H35" s="9" t="s">
        <v>215</v>
      </c>
      <c r="I35" s="24" t="n">
        <v>8</v>
      </c>
      <c r="J35" s="6" t="n">
        <f aca="false">ROUND(F35*I35,0)</f>
        <v>0</v>
      </c>
      <c r="K35" s="5" t="s">
        <v>314</v>
      </c>
      <c r="L35" s="5" t="s">
        <v>142</v>
      </c>
      <c r="M35" s="8" t="n">
        <v>1</v>
      </c>
      <c r="N35" s="5" t="n">
        <v>1</v>
      </c>
      <c r="O35" s="9" t="s">
        <v>151</v>
      </c>
      <c r="P35" s="5" t="s">
        <v>144</v>
      </c>
      <c r="Q35" s="9" t="s">
        <v>277</v>
      </c>
    </row>
    <row r="36" customFormat="false" ht="15" hidden="false" customHeight="false" outlineLevel="0" collapsed="false">
      <c r="A36" s="9" t="s">
        <v>317</v>
      </c>
      <c r="B36" s="21" t="n">
        <v>312.9</v>
      </c>
      <c r="C36" s="25" t="s">
        <v>154</v>
      </c>
      <c r="D36" s="8" t="n">
        <v>0</v>
      </c>
      <c r="E36" s="21" t="n">
        <f aca="false">ROUND(B36*D36,1)</f>
        <v>0</v>
      </c>
      <c r="F36" s="21" t="n">
        <f aca="false">B36-E36</f>
        <v>312.9</v>
      </c>
      <c r="G36" s="23" t="n">
        <v>12</v>
      </c>
      <c r="H36" s="9" t="s">
        <v>211</v>
      </c>
      <c r="I36" s="24" t="n">
        <v>8</v>
      </c>
      <c r="J36" s="6" t="n">
        <f aca="false">ROUND(F36*I36,0)</f>
        <v>2503</v>
      </c>
      <c r="K36" s="5" t="s">
        <v>141</v>
      </c>
      <c r="L36" s="5" t="s">
        <v>150</v>
      </c>
      <c r="M36" s="8" t="n">
        <v>0.5</v>
      </c>
      <c r="N36" s="5" t="n">
        <v>1</v>
      </c>
      <c r="O36" s="9" t="s">
        <v>155</v>
      </c>
      <c r="P36" s="5" t="s">
        <v>144</v>
      </c>
      <c r="Q36" s="9" t="s">
        <v>277</v>
      </c>
    </row>
    <row r="37" customFormat="false" ht="15" hidden="false" customHeight="false" outlineLevel="0" collapsed="false">
      <c r="A37" s="9" t="s">
        <v>318</v>
      </c>
      <c r="B37" s="21" t="n">
        <v>171.6</v>
      </c>
      <c r="C37" s="25" t="s">
        <v>154</v>
      </c>
      <c r="D37" s="8" t="n">
        <v>0</v>
      </c>
      <c r="E37" s="21" t="n">
        <f aca="false">ROUND(B37*D37,1)</f>
        <v>0</v>
      </c>
      <c r="F37" s="21" t="n">
        <f aca="false">B37-E37</f>
        <v>171.6</v>
      </c>
      <c r="G37" s="23" t="n">
        <v>12</v>
      </c>
      <c r="H37" s="9" t="s">
        <v>211</v>
      </c>
      <c r="I37" s="24" t="n">
        <v>8</v>
      </c>
      <c r="J37" s="6" t="n">
        <f aca="false">ROUND(F37*I37,0)</f>
        <v>1373</v>
      </c>
      <c r="K37" s="5" t="s">
        <v>141</v>
      </c>
      <c r="L37" s="5" t="s">
        <v>174</v>
      </c>
      <c r="M37" s="8" t="n">
        <v>0</v>
      </c>
      <c r="N37" s="5" t="n">
        <v>1</v>
      </c>
      <c r="O37" s="9" t="s">
        <v>155</v>
      </c>
      <c r="P37" s="5" t="s">
        <v>144</v>
      </c>
      <c r="Q37" s="9" t="s">
        <v>277</v>
      </c>
    </row>
    <row r="38" customFormat="false" ht="15" hidden="false" customHeight="false" outlineLevel="0" collapsed="false">
      <c r="A38" s="12" t="s">
        <v>189</v>
      </c>
      <c r="B38" s="13" t="n">
        <f aca="false">SUM(B6:B37)</f>
        <v>17996.4</v>
      </c>
      <c r="C38" s="12"/>
      <c r="D38" s="14" t="n">
        <f aca="false">IF(B38=0,0,E38/B38)</f>
        <v>0.315913182636527</v>
      </c>
      <c r="E38" s="13" t="n">
        <f aca="false">SUM(E6:E37)</f>
        <v>5685.3</v>
      </c>
      <c r="F38" s="13" t="n">
        <f aca="false">SUM(F6:F37)</f>
        <v>12311.1</v>
      </c>
      <c r="G38" s="12"/>
      <c r="H38" s="12"/>
      <c r="I38" s="12"/>
      <c r="J38" s="13" t="n">
        <f aca="false">SUM(J6:J37)</f>
        <v>104760</v>
      </c>
      <c r="K38" s="12"/>
      <c r="L38" s="12"/>
      <c r="M38" s="12"/>
      <c r="N38" s="12"/>
      <c r="O38" s="12"/>
      <c r="P38" s="12"/>
      <c r="Q38" s="12"/>
    </row>
    <row r="40" customFormat="false" ht="15" hidden="false" customHeight="false" outlineLevel="0" collapsed="false">
      <c r="A40" s="16" t="s">
        <v>190</v>
      </c>
      <c r="D40" s="27" t="n">
        <f aca="false">J38</f>
        <v>104760</v>
      </c>
      <c r="F40" s="20" t="s">
        <v>191</v>
      </c>
    </row>
    <row r="41" customFormat="false" ht="15" hidden="false" customHeight="false" outlineLevel="0" collapsed="false">
      <c r="A41" s="16" t="s">
        <v>192</v>
      </c>
      <c r="D41" s="27" t="n">
        <f aca="false">F38*8</f>
        <v>98488.8</v>
      </c>
      <c r="F41" s="20" t="s">
        <v>193</v>
      </c>
    </row>
    <row r="42" customFormat="false" ht="15" hidden="false" customHeight="false" outlineLevel="0" collapsed="false">
      <c r="A42" s="16" t="s">
        <v>194</v>
      </c>
      <c r="D42" s="28" t="n">
        <v>0</v>
      </c>
      <c r="F42" s="20" t="s">
        <v>195</v>
      </c>
    </row>
    <row r="43" customFormat="false" ht="15" hidden="false" customHeight="false" outlineLevel="0" collapsed="false">
      <c r="A43" s="16" t="s">
        <v>196</v>
      </c>
      <c r="D43" s="29" t="n">
        <v>0.53</v>
      </c>
      <c r="F43" s="20" t="s">
        <v>37</v>
      </c>
    </row>
    <row r="44" customFormat="false" ht="15" hidden="false" customHeight="false" outlineLevel="0" collapsed="false">
      <c r="A44" s="16" t="s">
        <v>197</v>
      </c>
      <c r="D44" s="27" t="n">
        <f aca="false">(B38-D42)*(1-D43)</f>
        <v>8458.308</v>
      </c>
      <c r="F44" s="20" t="s">
        <v>198</v>
      </c>
    </row>
    <row r="45" customFormat="false" ht="15" hidden="false" customHeight="false" outlineLevel="0" collapsed="false">
      <c r="A45" s="16" t="s">
        <v>199</v>
      </c>
      <c r="D45" s="27" t="n">
        <f aca="false">ROUND(D44*4,0)</f>
        <v>33833</v>
      </c>
      <c r="F45" s="20" t="s">
        <v>200</v>
      </c>
    </row>
    <row r="46" customFormat="false" ht="15" hidden="false" customHeight="false" outlineLevel="0" collapsed="false">
      <c r="A46" s="16" t="s">
        <v>201</v>
      </c>
      <c r="D46" s="28" t="n">
        <v>54</v>
      </c>
    </row>
    <row r="47" customFormat="false" ht="15" hidden="false" customHeight="false" outlineLevel="0" collapsed="false">
      <c r="A47" s="16" t="s">
        <v>202</v>
      </c>
      <c r="D47" s="28" t="n">
        <v>0</v>
      </c>
      <c r="F47" s="20" t="s">
        <v>203</v>
      </c>
    </row>
    <row r="48" customFormat="false" ht="15" hidden="false" customHeight="false" outlineLevel="0" collapsed="false">
      <c r="A48" s="16" t="s">
        <v>204</v>
      </c>
      <c r="D48" s="28" t="n">
        <v>5685</v>
      </c>
    </row>
    <row r="49" customFormat="false" ht="15" hidden="false" customHeight="false" outlineLevel="0" collapsed="false">
      <c r="A49" s="16" t="s">
        <v>205</v>
      </c>
      <c r="D49" s="28" t="n">
        <v>0</v>
      </c>
      <c r="F49" s="20" t="s">
        <v>206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3"/>
    <col collapsed="false" customWidth="true" hidden="false" outlineLevel="0" max="3" min="3" style="0" width="15"/>
    <col collapsed="false" customWidth="true" hidden="false" outlineLevel="0" max="4" min="4" style="0" width="12"/>
    <col collapsed="false" customWidth="true" hidden="false" outlineLevel="0" max="6" min="5" style="0" width="13"/>
    <col collapsed="false" customWidth="true" hidden="false" outlineLevel="0" max="7" min="7" style="0" width="11"/>
    <col collapsed="false" customWidth="true" hidden="false" outlineLevel="0" max="8" min="8" style="0" width="20"/>
    <col collapsed="false" customWidth="true" hidden="false" outlineLevel="0" max="10" min="9" style="0" width="13"/>
    <col collapsed="false" customWidth="true" hidden="false" outlineLevel="0" max="11" min="11" style="0" width="10"/>
    <col collapsed="false" customWidth="true" hidden="false" outlineLevel="0" max="12" min="12" style="0" width="13"/>
    <col collapsed="false" customWidth="true" hidden="false" outlineLevel="0" max="14" min="13" style="0" width="9"/>
    <col collapsed="false" customWidth="true" hidden="false" outlineLevel="0" max="15" min="15" style="0" width="46"/>
    <col collapsed="false" customWidth="true" hidden="false" outlineLevel="0" max="16" min="16" style="0" width="17"/>
    <col collapsed="false" customWidth="true" hidden="false" outlineLevel="0" max="17" min="17" style="0" width="52"/>
  </cols>
  <sheetData>
    <row r="1" customFormat="false" ht="16.15" hidden="false" customHeight="false" outlineLevel="0" collapsed="false">
      <c r="A1" s="18" t="s">
        <v>319</v>
      </c>
    </row>
    <row r="2" customFormat="false" ht="15" hidden="false" customHeight="false" outlineLevel="0" collapsed="false">
      <c r="A2" s="19" t="s">
        <v>320</v>
      </c>
    </row>
    <row r="3" customFormat="false" ht="15" hidden="false" customHeight="false" outlineLevel="0" collapsed="false">
      <c r="A3" s="20" t="s">
        <v>321</v>
      </c>
    </row>
    <row r="5" customFormat="false" ht="32.8" hidden="false" customHeight="false" outlineLevel="0" collapsed="false">
      <c r="A5" s="4" t="s">
        <v>122</v>
      </c>
      <c r="B5" s="4" t="s">
        <v>123</v>
      </c>
      <c r="C5" s="4" t="s">
        <v>124</v>
      </c>
      <c r="D5" s="4" t="s">
        <v>125</v>
      </c>
      <c r="E5" s="4" t="s">
        <v>126</v>
      </c>
      <c r="F5" s="4" t="s">
        <v>12</v>
      </c>
      <c r="G5" s="4" t="s">
        <v>127</v>
      </c>
      <c r="H5" s="4" t="s">
        <v>128</v>
      </c>
      <c r="I5" s="4" t="s">
        <v>129</v>
      </c>
      <c r="J5" s="4" t="s">
        <v>130</v>
      </c>
      <c r="K5" s="4" t="s">
        <v>131</v>
      </c>
      <c r="L5" s="4" t="s">
        <v>132</v>
      </c>
      <c r="M5" s="4" t="s">
        <v>133</v>
      </c>
      <c r="N5" s="4" t="s">
        <v>134</v>
      </c>
      <c r="O5" s="4" t="s">
        <v>135</v>
      </c>
      <c r="P5" s="4" t="s">
        <v>136</v>
      </c>
      <c r="Q5" s="4" t="s">
        <v>137</v>
      </c>
    </row>
    <row r="6" customFormat="false" ht="15" hidden="false" customHeight="false" outlineLevel="0" collapsed="false">
      <c r="A6" s="9" t="s">
        <v>322</v>
      </c>
      <c r="B6" s="21" t="n">
        <v>143.9</v>
      </c>
      <c r="C6" s="22" t="s">
        <v>139</v>
      </c>
      <c r="D6" s="8" t="n">
        <v>1</v>
      </c>
      <c r="E6" s="21" t="n">
        <f aca="false">ROUND(B6*D6,1)</f>
        <v>143.9</v>
      </c>
      <c r="F6" s="21" t="n">
        <f aca="false">B6-E6</f>
        <v>0</v>
      </c>
      <c r="G6" s="23" t="n">
        <v>12</v>
      </c>
      <c r="H6" s="9" t="s">
        <v>140</v>
      </c>
      <c r="I6" s="24" t="n">
        <v>8</v>
      </c>
      <c r="J6" s="6" t="n">
        <f aca="false">ROUND(F6*I6,0)</f>
        <v>0</v>
      </c>
      <c r="K6" s="5" t="s">
        <v>141</v>
      </c>
      <c r="L6" s="5" t="s">
        <v>174</v>
      </c>
      <c r="M6" s="8" t="n">
        <v>0</v>
      </c>
      <c r="N6" s="5" t="n">
        <v>1</v>
      </c>
      <c r="O6" s="9" t="s">
        <v>151</v>
      </c>
      <c r="P6" s="5" t="s">
        <v>144</v>
      </c>
      <c r="Q6" s="9" t="s">
        <v>323</v>
      </c>
    </row>
    <row r="7" customFormat="false" ht="15" hidden="false" customHeight="false" outlineLevel="0" collapsed="false">
      <c r="A7" s="9" t="s">
        <v>324</v>
      </c>
      <c r="B7" s="21" t="n">
        <v>467.7</v>
      </c>
      <c r="C7" s="25" t="s">
        <v>154</v>
      </c>
      <c r="D7" s="8" t="n">
        <v>0</v>
      </c>
      <c r="E7" s="21" t="n">
        <f aca="false">ROUND(B7*D7,1)</f>
        <v>0</v>
      </c>
      <c r="F7" s="21" t="n">
        <f aca="false">B7-E7</f>
        <v>467.7</v>
      </c>
      <c r="G7" s="23" t="n">
        <v>12</v>
      </c>
      <c r="H7" s="9" t="s">
        <v>140</v>
      </c>
      <c r="I7" s="24" t="n">
        <v>8</v>
      </c>
      <c r="J7" s="6" t="n">
        <f aca="false">ROUND(F7*I7,0)</f>
        <v>3742</v>
      </c>
      <c r="K7" s="5" t="s">
        <v>314</v>
      </c>
      <c r="L7" s="5" t="s">
        <v>174</v>
      </c>
      <c r="M7" s="8" t="n">
        <v>0</v>
      </c>
      <c r="N7" s="5" t="n">
        <v>1</v>
      </c>
      <c r="O7" s="9" t="s">
        <v>155</v>
      </c>
      <c r="P7" s="5" t="s">
        <v>144</v>
      </c>
      <c r="Q7" s="9" t="s">
        <v>323</v>
      </c>
    </row>
    <row r="8" customFormat="false" ht="15" hidden="false" customHeight="false" outlineLevel="0" collapsed="false">
      <c r="A8" s="9" t="s">
        <v>325</v>
      </c>
      <c r="B8" s="21" t="n">
        <v>189.3</v>
      </c>
      <c r="C8" s="25" t="s">
        <v>154</v>
      </c>
      <c r="D8" s="8" t="n">
        <v>0</v>
      </c>
      <c r="E8" s="21" t="n">
        <f aca="false">ROUND(B8*D8,1)</f>
        <v>0</v>
      </c>
      <c r="F8" s="21" t="n">
        <f aca="false">B8-E8</f>
        <v>189.3</v>
      </c>
      <c r="G8" s="23" t="n">
        <v>12</v>
      </c>
      <c r="H8" s="9" t="s">
        <v>140</v>
      </c>
      <c r="I8" s="24" t="n">
        <v>8</v>
      </c>
      <c r="J8" s="6" t="n">
        <f aca="false">ROUND(F8*I8,0)</f>
        <v>1514</v>
      </c>
      <c r="K8" s="5" t="s">
        <v>141</v>
      </c>
      <c r="L8" s="5" t="s">
        <v>150</v>
      </c>
      <c r="M8" s="8" t="n">
        <v>0.5</v>
      </c>
      <c r="N8" s="5" t="n">
        <v>1</v>
      </c>
      <c r="O8" s="9" t="s">
        <v>155</v>
      </c>
      <c r="P8" s="5" t="s">
        <v>144</v>
      </c>
      <c r="Q8" s="9" t="s">
        <v>323</v>
      </c>
    </row>
    <row r="9" customFormat="false" ht="15" hidden="false" customHeight="false" outlineLevel="0" collapsed="false">
      <c r="A9" s="9" t="s">
        <v>326</v>
      </c>
      <c r="B9" s="21" t="n">
        <v>522.3</v>
      </c>
      <c r="C9" s="25" t="s">
        <v>154</v>
      </c>
      <c r="D9" s="8" t="n">
        <v>0</v>
      </c>
      <c r="E9" s="21" t="n">
        <f aca="false">ROUND(B9*D9,1)</f>
        <v>0</v>
      </c>
      <c r="F9" s="21" t="n">
        <f aca="false">B9-E9</f>
        <v>522.3</v>
      </c>
      <c r="G9" s="23" t="n">
        <v>12</v>
      </c>
      <c r="H9" s="9" t="s">
        <v>140</v>
      </c>
      <c r="I9" s="24" t="n">
        <v>8</v>
      </c>
      <c r="J9" s="6" t="n">
        <f aca="false">ROUND(F9*I9,0)</f>
        <v>4178</v>
      </c>
      <c r="K9" s="5" t="s">
        <v>141</v>
      </c>
      <c r="L9" s="5" t="s">
        <v>150</v>
      </c>
      <c r="M9" s="8" t="n">
        <v>0.25</v>
      </c>
      <c r="N9" s="5" t="n">
        <v>2</v>
      </c>
      <c r="O9" s="9" t="s">
        <v>291</v>
      </c>
      <c r="P9" s="5" t="s">
        <v>144</v>
      </c>
      <c r="Q9" s="9" t="s">
        <v>323</v>
      </c>
    </row>
    <row r="10" customFormat="false" ht="15" hidden="false" customHeight="false" outlineLevel="0" collapsed="false">
      <c r="A10" s="9" t="s">
        <v>327</v>
      </c>
      <c r="B10" s="21" t="n">
        <v>187.3</v>
      </c>
      <c r="C10" s="25" t="s">
        <v>154</v>
      </c>
      <c r="D10" s="8" t="n">
        <v>0</v>
      </c>
      <c r="E10" s="21" t="n">
        <f aca="false">ROUND(B10*D10,1)</f>
        <v>0</v>
      </c>
      <c r="F10" s="21" t="n">
        <f aca="false">B10-E10</f>
        <v>187.3</v>
      </c>
      <c r="G10" s="23" t="n">
        <v>12</v>
      </c>
      <c r="H10" s="9" t="s">
        <v>140</v>
      </c>
      <c r="I10" s="24" t="n">
        <v>8</v>
      </c>
      <c r="J10" s="6" t="n">
        <f aca="false">ROUND(F10*I10,0)</f>
        <v>1498</v>
      </c>
      <c r="K10" s="5" t="s">
        <v>141</v>
      </c>
      <c r="L10" s="5" t="s">
        <v>150</v>
      </c>
      <c r="M10" s="8" t="n">
        <v>0.5</v>
      </c>
      <c r="N10" s="5" t="n">
        <v>1</v>
      </c>
      <c r="O10" s="9" t="s">
        <v>155</v>
      </c>
      <c r="P10" s="5" t="s">
        <v>144</v>
      </c>
      <c r="Q10" s="9" t="s">
        <v>323</v>
      </c>
    </row>
    <row r="11" customFormat="false" ht="22.35" hidden="false" customHeight="false" outlineLevel="0" collapsed="false">
      <c r="A11" s="9" t="s">
        <v>328</v>
      </c>
      <c r="B11" s="21" t="n">
        <v>75.3</v>
      </c>
      <c r="C11" s="22" t="s">
        <v>139</v>
      </c>
      <c r="D11" s="8" t="n">
        <v>1</v>
      </c>
      <c r="E11" s="21" t="n">
        <f aca="false">ROUND(B11*D11,1)</f>
        <v>75.3</v>
      </c>
      <c r="F11" s="21" t="n">
        <f aca="false">B11-E11</f>
        <v>0</v>
      </c>
      <c r="G11" s="23" t="n">
        <v>12</v>
      </c>
      <c r="H11" s="9" t="s">
        <v>140</v>
      </c>
      <c r="I11" s="24" t="n">
        <v>8</v>
      </c>
      <c r="J11" s="6" t="n">
        <f aca="false">ROUND(F11*I11,0)</f>
        <v>0</v>
      </c>
      <c r="K11" s="5" t="s">
        <v>141</v>
      </c>
      <c r="L11" s="5" t="s">
        <v>150</v>
      </c>
      <c r="M11" s="8" t="n">
        <v>0.5</v>
      </c>
      <c r="N11" s="5" t="n">
        <v>1</v>
      </c>
      <c r="O11" s="9" t="s">
        <v>151</v>
      </c>
      <c r="P11" s="5" t="s">
        <v>144</v>
      </c>
      <c r="Q11" s="9" t="s">
        <v>329</v>
      </c>
    </row>
    <row r="12" customFormat="false" ht="15" hidden="false" customHeight="false" outlineLevel="0" collapsed="false">
      <c r="A12" s="9" t="s">
        <v>330</v>
      </c>
      <c r="B12" s="21" t="n">
        <v>98.5</v>
      </c>
      <c r="C12" s="25" t="s">
        <v>154</v>
      </c>
      <c r="D12" s="8" t="n">
        <v>0</v>
      </c>
      <c r="E12" s="21" t="n">
        <f aca="false">ROUND(B12*D12,1)</f>
        <v>0</v>
      </c>
      <c r="F12" s="21" t="n">
        <f aca="false">B12-E12</f>
        <v>98.5</v>
      </c>
      <c r="G12" s="23" t="n">
        <v>12</v>
      </c>
      <c r="H12" s="9" t="s">
        <v>140</v>
      </c>
      <c r="I12" s="24" t="n">
        <v>8</v>
      </c>
      <c r="J12" s="6" t="n">
        <f aca="false">ROUND(F12*I12,0)</f>
        <v>788</v>
      </c>
      <c r="K12" s="5" t="s">
        <v>141</v>
      </c>
      <c r="L12" s="5" t="s">
        <v>174</v>
      </c>
      <c r="M12" s="8" t="n">
        <v>0</v>
      </c>
      <c r="N12" s="5" t="n">
        <v>1</v>
      </c>
      <c r="O12" s="9" t="s">
        <v>155</v>
      </c>
      <c r="P12" s="5" t="s">
        <v>144</v>
      </c>
      <c r="Q12" s="9" t="s">
        <v>323</v>
      </c>
    </row>
    <row r="13" customFormat="false" ht="15" hidden="false" customHeight="false" outlineLevel="0" collapsed="false">
      <c r="A13" s="9" t="s">
        <v>331</v>
      </c>
      <c r="B13" s="21" t="n">
        <v>405.9</v>
      </c>
      <c r="C13" s="25" t="s">
        <v>154</v>
      </c>
      <c r="D13" s="8" t="n">
        <v>0</v>
      </c>
      <c r="E13" s="21" t="n">
        <f aca="false">ROUND(B13*D13,1)</f>
        <v>0</v>
      </c>
      <c r="F13" s="21" t="n">
        <f aca="false">B13-E13</f>
        <v>405.9</v>
      </c>
      <c r="G13" s="23" t="n">
        <v>12</v>
      </c>
      <c r="H13" s="9" t="s">
        <v>140</v>
      </c>
      <c r="I13" s="24" t="n">
        <v>8</v>
      </c>
      <c r="J13" s="6" t="n">
        <f aca="false">ROUND(F13*I13,0)</f>
        <v>3247</v>
      </c>
      <c r="K13" s="5" t="s">
        <v>141</v>
      </c>
      <c r="L13" s="5" t="s">
        <v>150</v>
      </c>
      <c r="M13" s="8" t="n">
        <v>0.5</v>
      </c>
      <c r="N13" s="5" t="n">
        <v>1</v>
      </c>
      <c r="O13" s="9" t="s">
        <v>155</v>
      </c>
      <c r="P13" s="5" t="s">
        <v>144</v>
      </c>
      <c r="Q13" s="9" t="s">
        <v>323</v>
      </c>
    </row>
    <row r="14" customFormat="false" ht="15" hidden="false" customHeight="false" outlineLevel="0" collapsed="false">
      <c r="A14" s="9" t="s">
        <v>332</v>
      </c>
      <c r="B14" s="21" t="n">
        <v>121.8</v>
      </c>
      <c r="C14" s="25" t="s">
        <v>154</v>
      </c>
      <c r="D14" s="8" t="n">
        <v>0</v>
      </c>
      <c r="E14" s="21" t="n">
        <f aca="false">ROUND(B14*D14,1)</f>
        <v>0</v>
      </c>
      <c r="F14" s="21" t="n">
        <f aca="false">B14-E14</f>
        <v>121.8</v>
      </c>
      <c r="G14" s="23" t="n">
        <v>12</v>
      </c>
      <c r="H14" s="9" t="s">
        <v>140</v>
      </c>
      <c r="I14" s="24" t="n">
        <v>8</v>
      </c>
      <c r="J14" s="6" t="n">
        <f aca="false">ROUND(F14*I14,0)</f>
        <v>974</v>
      </c>
      <c r="K14" s="5" t="s">
        <v>141</v>
      </c>
      <c r="L14" s="5" t="s">
        <v>174</v>
      </c>
      <c r="M14" s="8" t="n">
        <v>0</v>
      </c>
      <c r="N14" s="5" t="n">
        <v>1</v>
      </c>
      <c r="O14" s="9" t="s">
        <v>155</v>
      </c>
      <c r="P14" s="5" t="s">
        <v>144</v>
      </c>
      <c r="Q14" s="9" t="s">
        <v>323</v>
      </c>
    </row>
    <row r="15" customFormat="false" ht="15" hidden="false" customHeight="false" outlineLevel="0" collapsed="false">
      <c r="A15" s="9" t="s">
        <v>168</v>
      </c>
      <c r="B15" s="21" t="n">
        <v>639.2</v>
      </c>
      <c r="C15" s="26" t="s">
        <v>150</v>
      </c>
      <c r="D15" s="8" t="n">
        <v>0.62</v>
      </c>
      <c r="E15" s="21" t="n">
        <f aca="false">ROUND(B15*D15,1)</f>
        <v>396.3</v>
      </c>
      <c r="F15" s="21" t="n">
        <f aca="false">B15-E15</f>
        <v>242.9</v>
      </c>
      <c r="G15" s="23" t="n">
        <v>12</v>
      </c>
      <c r="H15" s="9" t="s">
        <v>140</v>
      </c>
      <c r="I15" s="24" t="n">
        <v>8</v>
      </c>
      <c r="J15" s="6" t="n">
        <f aca="false">ROUND(F15*I15,0)</f>
        <v>1943</v>
      </c>
      <c r="K15" s="5" t="s">
        <v>141</v>
      </c>
      <c r="L15" s="5" t="s">
        <v>174</v>
      </c>
      <c r="M15" s="8" t="n">
        <v>0.18</v>
      </c>
      <c r="N15" s="5" t="n">
        <v>7</v>
      </c>
      <c r="O15" s="9" t="s">
        <v>333</v>
      </c>
      <c r="P15" s="5" t="s">
        <v>144</v>
      </c>
      <c r="Q15" s="9" t="s">
        <v>334</v>
      </c>
    </row>
    <row r="16" customFormat="false" ht="15" hidden="false" customHeight="false" outlineLevel="0" collapsed="false">
      <c r="A16" s="9" t="s">
        <v>335</v>
      </c>
      <c r="B16" s="21" t="n">
        <v>392</v>
      </c>
      <c r="C16" s="25" t="s">
        <v>154</v>
      </c>
      <c r="D16" s="8" t="n">
        <v>0</v>
      </c>
      <c r="E16" s="21" t="n">
        <f aca="false">ROUND(B16*D16,1)</f>
        <v>0</v>
      </c>
      <c r="F16" s="21" t="n">
        <f aca="false">B16-E16</f>
        <v>392</v>
      </c>
      <c r="G16" s="23" t="n">
        <v>12</v>
      </c>
      <c r="H16" s="9" t="s">
        <v>140</v>
      </c>
      <c r="I16" s="24" t="n">
        <v>8</v>
      </c>
      <c r="J16" s="6" t="n">
        <f aca="false">ROUND(F16*I16,0)</f>
        <v>3136</v>
      </c>
      <c r="K16" s="5" t="s">
        <v>141</v>
      </c>
      <c r="L16" s="5" t="s">
        <v>174</v>
      </c>
      <c r="M16" s="8" t="n">
        <v>0</v>
      </c>
      <c r="N16" s="5" t="n">
        <v>1</v>
      </c>
      <c r="O16" s="9" t="s">
        <v>155</v>
      </c>
      <c r="P16" s="5" t="s">
        <v>144</v>
      </c>
      <c r="Q16" s="9" t="s">
        <v>323</v>
      </c>
    </row>
    <row r="17" customFormat="false" ht="15" hidden="false" customHeight="false" outlineLevel="0" collapsed="false">
      <c r="A17" s="9" t="s">
        <v>336</v>
      </c>
      <c r="B17" s="21" t="n">
        <v>183.9</v>
      </c>
      <c r="C17" s="25" t="s">
        <v>154</v>
      </c>
      <c r="D17" s="8" t="n">
        <v>0</v>
      </c>
      <c r="E17" s="21" t="n">
        <f aca="false">ROUND(B17*D17,1)</f>
        <v>0</v>
      </c>
      <c r="F17" s="21" t="n">
        <f aca="false">B17-E17</f>
        <v>183.9</v>
      </c>
      <c r="G17" s="23" t="n">
        <v>12</v>
      </c>
      <c r="H17" s="9" t="s">
        <v>140</v>
      </c>
      <c r="I17" s="24" t="n">
        <v>8</v>
      </c>
      <c r="J17" s="6" t="n">
        <f aca="false">ROUND(F17*I17,0)</f>
        <v>1471</v>
      </c>
      <c r="K17" s="5" t="s">
        <v>141</v>
      </c>
      <c r="L17" s="5" t="s">
        <v>150</v>
      </c>
      <c r="M17" s="8" t="n">
        <v>0.5</v>
      </c>
      <c r="N17" s="5" t="n">
        <v>1</v>
      </c>
      <c r="O17" s="9" t="s">
        <v>155</v>
      </c>
      <c r="P17" s="5" t="s">
        <v>144</v>
      </c>
      <c r="Q17" s="9" t="s">
        <v>323</v>
      </c>
    </row>
    <row r="18" customFormat="false" ht="15" hidden="false" customHeight="false" outlineLevel="0" collapsed="false">
      <c r="A18" s="9" t="s">
        <v>337</v>
      </c>
      <c r="B18" s="21" t="n">
        <v>380</v>
      </c>
      <c r="C18" s="25" t="s">
        <v>154</v>
      </c>
      <c r="D18" s="8" t="n">
        <v>0</v>
      </c>
      <c r="E18" s="21" t="n">
        <f aca="false">ROUND(B18*D18,1)</f>
        <v>0</v>
      </c>
      <c r="F18" s="21" t="n">
        <f aca="false">B18-E18</f>
        <v>380</v>
      </c>
      <c r="G18" s="23" t="n">
        <v>12</v>
      </c>
      <c r="H18" s="9" t="s">
        <v>140</v>
      </c>
      <c r="I18" s="24" t="n">
        <v>8</v>
      </c>
      <c r="J18" s="6" t="n">
        <f aca="false">ROUND(F18*I18,0)</f>
        <v>3040</v>
      </c>
      <c r="K18" s="5" t="s">
        <v>141</v>
      </c>
      <c r="L18" s="5" t="s">
        <v>150</v>
      </c>
      <c r="M18" s="8" t="n">
        <v>0.5</v>
      </c>
      <c r="N18" s="5" t="n">
        <v>1</v>
      </c>
      <c r="O18" s="9" t="s">
        <v>155</v>
      </c>
      <c r="P18" s="5" t="s">
        <v>144</v>
      </c>
      <c r="Q18" s="9" t="s">
        <v>323</v>
      </c>
    </row>
    <row r="19" customFormat="false" ht="15" hidden="false" customHeight="false" outlineLevel="0" collapsed="false">
      <c r="A19" s="9" t="s">
        <v>338</v>
      </c>
      <c r="B19" s="21" t="n">
        <v>222.3</v>
      </c>
      <c r="C19" s="25" t="s">
        <v>154</v>
      </c>
      <c r="D19" s="8" t="n">
        <v>0</v>
      </c>
      <c r="E19" s="21" t="n">
        <f aca="false">ROUND(B19*D19,1)</f>
        <v>0</v>
      </c>
      <c r="F19" s="21" t="n">
        <f aca="false">B19-E19</f>
        <v>222.3</v>
      </c>
      <c r="G19" s="23" t="n">
        <v>12</v>
      </c>
      <c r="H19" s="9" t="s">
        <v>140</v>
      </c>
      <c r="I19" s="24" t="n">
        <v>8</v>
      </c>
      <c r="J19" s="6" t="n">
        <f aca="false">ROUND(F19*I19,0)</f>
        <v>1778</v>
      </c>
      <c r="K19" s="5" t="s">
        <v>141</v>
      </c>
      <c r="L19" s="5" t="s">
        <v>174</v>
      </c>
      <c r="M19" s="8" t="n">
        <v>0</v>
      </c>
      <c r="N19" s="5" t="n">
        <v>1</v>
      </c>
      <c r="O19" s="9" t="s">
        <v>155</v>
      </c>
      <c r="P19" s="5" t="s">
        <v>144</v>
      </c>
      <c r="Q19" s="9" t="s">
        <v>323</v>
      </c>
    </row>
    <row r="20" customFormat="false" ht="15" hidden="false" customHeight="false" outlineLevel="0" collapsed="false">
      <c r="A20" s="9" t="s">
        <v>275</v>
      </c>
      <c r="B20" s="21" t="n">
        <v>234.9</v>
      </c>
      <c r="C20" s="25" t="s">
        <v>154</v>
      </c>
      <c r="D20" s="8" t="n">
        <v>0</v>
      </c>
      <c r="E20" s="21" t="n">
        <f aca="false">ROUND(B20*D20,1)</f>
        <v>0</v>
      </c>
      <c r="F20" s="21" t="n">
        <f aca="false">B20-E20</f>
        <v>234.9</v>
      </c>
      <c r="G20" s="23" t="n">
        <v>12</v>
      </c>
      <c r="H20" s="9" t="s">
        <v>140</v>
      </c>
      <c r="I20" s="24" t="n">
        <v>8</v>
      </c>
      <c r="J20" s="6" t="n">
        <f aca="false">ROUND(F20*I20,0)</f>
        <v>1879</v>
      </c>
      <c r="K20" s="5" t="s">
        <v>141</v>
      </c>
      <c r="L20" s="5" t="s">
        <v>174</v>
      </c>
      <c r="M20" s="8" t="n">
        <v>0</v>
      </c>
      <c r="N20" s="5" t="n">
        <v>1</v>
      </c>
      <c r="O20" s="9" t="s">
        <v>175</v>
      </c>
      <c r="P20" s="5" t="s">
        <v>144</v>
      </c>
      <c r="Q20" s="9" t="s">
        <v>323</v>
      </c>
    </row>
    <row r="21" customFormat="false" ht="15" hidden="false" customHeight="false" outlineLevel="0" collapsed="false">
      <c r="A21" s="9" t="s">
        <v>339</v>
      </c>
      <c r="B21" s="21" t="n">
        <v>526.6</v>
      </c>
      <c r="C21" s="25" t="s">
        <v>154</v>
      </c>
      <c r="D21" s="8" t="n">
        <v>0</v>
      </c>
      <c r="E21" s="21" t="n">
        <f aca="false">ROUND(B21*D21,1)</f>
        <v>0</v>
      </c>
      <c r="F21" s="21" t="n">
        <f aca="false">B21-E21</f>
        <v>526.6</v>
      </c>
      <c r="G21" s="23" t="n">
        <v>12</v>
      </c>
      <c r="H21" s="9" t="s">
        <v>140</v>
      </c>
      <c r="I21" s="24" t="n">
        <v>8</v>
      </c>
      <c r="J21" s="6" t="n">
        <f aca="false">ROUND(F21*I21,0)</f>
        <v>4213</v>
      </c>
      <c r="K21" s="5" t="s">
        <v>141</v>
      </c>
      <c r="L21" s="5" t="s">
        <v>174</v>
      </c>
      <c r="M21" s="8" t="n">
        <v>0</v>
      </c>
      <c r="N21" s="5" t="n">
        <v>3</v>
      </c>
      <c r="O21" s="9" t="s">
        <v>212</v>
      </c>
      <c r="P21" s="5" t="s">
        <v>144</v>
      </c>
      <c r="Q21" s="9" t="s">
        <v>323</v>
      </c>
    </row>
    <row r="22" customFormat="false" ht="15" hidden="false" customHeight="false" outlineLevel="0" collapsed="false">
      <c r="A22" s="9" t="s">
        <v>340</v>
      </c>
      <c r="B22" s="21" t="n">
        <v>449.5</v>
      </c>
      <c r="C22" s="25" t="s">
        <v>154</v>
      </c>
      <c r="D22" s="8" t="n">
        <v>0</v>
      </c>
      <c r="E22" s="21" t="n">
        <f aca="false">ROUND(B22*D22,1)</f>
        <v>0</v>
      </c>
      <c r="F22" s="21" t="n">
        <f aca="false">B22-E22</f>
        <v>449.5</v>
      </c>
      <c r="G22" s="23" t="n">
        <v>12</v>
      </c>
      <c r="H22" s="9" t="s">
        <v>140</v>
      </c>
      <c r="I22" s="24" t="n">
        <v>8</v>
      </c>
      <c r="J22" s="6" t="n">
        <f aca="false">ROUND(F22*I22,0)</f>
        <v>3596</v>
      </c>
      <c r="K22" s="5" t="s">
        <v>141</v>
      </c>
      <c r="L22" s="5" t="s">
        <v>174</v>
      </c>
      <c r="M22" s="8" t="n">
        <v>0</v>
      </c>
      <c r="N22" s="5" t="n">
        <v>2</v>
      </c>
      <c r="O22" s="9" t="s">
        <v>341</v>
      </c>
      <c r="P22" s="5" t="s">
        <v>144</v>
      </c>
      <c r="Q22" s="9" t="s">
        <v>323</v>
      </c>
    </row>
    <row r="23" customFormat="false" ht="15" hidden="false" customHeight="false" outlineLevel="0" collapsed="false">
      <c r="A23" s="9" t="s">
        <v>342</v>
      </c>
      <c r="B23" s="21" t="n">
        <v>180.6</v>
      </c>
      <c r="C23" s="25" t="s">
        <v>154</v>
      </c>
      <c r="D23" s="8" t="n">
        <v>0</v>
      </c>
      <c r="E23" s="21" t="n">
        <f aca="false">ROUND(B23*D23,1)</f>
        <v>0</v>
      </c>
      <c r="F23" s="21" t="n">
        <f aca="false">B23-E23</f>
        <v>180.6</v>
      </c>
      <c r="G23" s="23" t="n">
        <v>12</v>
      </c>
      <c r="H23" s="9" t="s">
        <v>140</v>
      </c>
      <c r="I23" s="24" t="n">
        <v>8</v>
      </c>
      <c r="J23" s="6" t="n">
        <f aca="false">ROUND(F23*I23,0)</f>
        <v>1445</v>
      </c>
      <c r="K23" s="5" t="s">
        <v>141</v>
      </c>
      <c r="L23" s="5" t="s">
        <v>174</v>
      </c>
      <c r="M23" s="8" t="n">
        <v>0</v>
      </c>
      <c r="N23" s="5" t="n">
        <v>1</v>
      </c>
      <c r="O23" s="9" t="s">
        <v>155</v>
      </c>
      <c r="P23" s="5" t="s">
        <v>144</v>
      </c>
      <c r="Q23" s="9" t="s">
        <v>323</v>
      </c>
    </row>
    <row r="24" customFormat="false" ht="15" hidden="false" customHeight="false" outlineLevel="0" collapsed="false">
      <c r="A24" s="9" t="s">
        <v>299</v>
      </c>
      <c r="B24" s="21" t="n">
        <v>456.9</v>
      </c>
      <c r="C24" s="25" t="s">
        <v>154</v>
      </c>
      <c r="D24" s="8" t="n">
        <v>0</v>
      </c>
      <c r="E24" s="21" t="n">
        <f aca="false">ROUND(B24*D24,1)</f>
        <v>0</v>
      </c>
      <c r="F24" s="21" t="n">
        <f aca="false">B24-E24</f>
        <v>456.9</v>
      </c>
      <c r="G24" s="23" t="n">
        <v>12</v>
      </c>
      <c r="H24" s="9" t="s">
        <v>140</v>
      </c>
      <c r="I24" s="24" t="n">
        <v>8</v>
      </c>
      <c r="J24" s="6" t="n">
        <f aca="false">ROUND(F24*I24,0)</f>
        <v>3655</v>
      </c>
      <c r="K24" s="5" t="s">
        <v>141</v>
      </c>
      <c r="L24" s="5" t="s">
        <v>174</v>
      </c>
      <c r="M24" s="8" t="n">
        <v>0.21</v>
      </c>
      <c r="N24" s="5" t="n">
        <v>2</v>
      </c>
      <c r="O24" s="9" t="s">
        <v>291</v>
      </c>
      <c r="P24" s="5" t="s">
        <v>144</v>
      </c>
      <c r="Q24" s="9" t="s">
        <v>323</v>
      </c>
    </row>
    <row r="25" customFormat="false" ht="15" hidden="false" customHeight="false" outlineLevel="0" collapsed="false">
      <c r="A25" s="9" t="s">
        <v>343</v>
      </c>
      <c r="B25" s="21" t="n">
        <v>141</v>
      </c>
      <c r="C25" s="25" t="s">
        <v>154</v>
      </c>
      <c r="D25" s="8" t="n">
        <v>0</v>
      </c>
      <c r="E25" s="21" t="n">
        <f aca="false">ROUND(B25*D25,1)</f>
        <v>0</v>
      </c>
      <c r="F25" s="21" t="n">
        <f aca="false">B25-E25</f>
        <v>141</v>
      </c>
      <c r="G25" s="23" t="n">
        <v>12</v>
      </c>
      <c r="H25" s="9" t="s">
        <v>140</v>
      </c>
      <c r="I25" s="24" t="n">
        <v>8</v>
      </c>
      <c r="J25" s="6" t="n">
        <f aca="false">ROUND(F25*I25,0)</f>
        <v>1128</v>
      </c>
      <c r="K25" s="5" t="s">
        <v>141</v>
      </c>
      <c r="L25" s="5" t="s">
        <v>150</v>
      </c>
      <c r="M25" s="8" t="n">
        <v>0.5</v>
      </c>
      <c r="N25" s="5" t="n">
        <v>1</v>
      </c>
      <c r="O25" s="9" t="s">
        <v>155</v>
      </c>
      <c r="P25" s="5" t="s">
        <v>144</v>
      </c>
      <c r="Q25" s="9" t="s">
        <v>323</v>
      </c>
    </row>
    <row r="26" customFormat="false" ht="15" hidden="false" customHeight="false" outlineLevel="0" collapsed="false">
      <c r="A26" s="9" t="s">
        <v>344</v>
      </c>
      <c r="B26" s="21" t="n">
        <v>423</v>
      </c>
      <c r="C26" s="25" t="s">
        <v>154</v>
      </c>
      <c r="D26" s="8" t="n">
        <v>0</v>
      </c>
      <c r="E26" s="21" t="n">
        <f aca="false">ROUND(B26*D26,1)</f>
        <v>0</v>
      </c>
      <c r="F26" s="21" t="n">
        <f aca="false">B26-E26</f>
        <v>423</v>
      </c>
      <c r="G26" s="23" t="n">
        <v>12</v>
      </c>
      <c r="H26" s="9" t="s">
        <v>140</v>
      </c>
      <c r="I26" s="24" t="n">
        <v>8</v>
      </c>
      <c r="J26" s="6" t="n">
        <f aca="false">ROUND(F26*I26,0)</f>
        <v>3384</v>
      </c>
      <c r="K26" s="5" t="s">
        <v>141</v>
      </c>
      <c r="L26" s="5" t="s">
        <v>174</v>
      </c>
      <c r="M26" s="8" t="n">
        <v>0.13</v>
      </c>
      <c r="N26" s="5" t="n">
        <v>3</v>
      </c>
      <c r="O26" s="9" t="s">
        <v>212</v>
      </c>
      <c r="P26" s="5" t="s">
        <v>144</v>
      </c>
      <c r="Q26" s="9" t="s">
        <v>323</v>
      </c>
    </row>
    <row r="27" customFormat="false" ht="15" hidden="false" customHeight="false" outlineLevel="0" collapsed="false">
      <c r="A27" s="9" t="s">
        <v>345</v>
      </c>
      <c r="B27" s="21" t="n">
        <v>177.5</v>
      </c>
      <c r="C27" s="25" t="s">
        <v>154</v>
      </c>
      <c r="D27" s="8" t="n">
        <v>0</v>
      </c>
      <c r="E27" s="21" t="n">
        <f aca="false">ROUND(B27*D27,1)</f>
        <v>0</v>
      </c>
      <c r="F27" s="21" t="n">
        <f aca="false">B27-E27</f>
        <v>177.5</v>
      </c>
      <c r="G27" s="23" t="n">
        <v>12</v>
      </c>
      <c r="H27" s="9" t="s">
        <v>140</v>
      </c>
      <c r="I27" s="24" t="n">
        <v>8</v>
      </c>
      <c r="J27" s="6" t="n">
        <f aca="false">ROUND(F27*I27,0)</f>
        <v>1420</v>
      </c>
      <c r="K27" s="5" t="s">
        <v>141</v>
      </c>
      <c r="L27" s="5" t="s">
        <v>174</v>
      </c>
      <c r="M27" s="8" t="n">
        <v>0</v>
      </c>
      <c r="N27" s="5" t="n">
        <v>1</v>
      </c>
      <c r="O27" s="9" t="s">
        <v>155</v>
      </c>
      <c r="P27" s="5" t="s">
        <v>144</v>
      </c>
      <c r="Q27" s="9" t="s">
        <v>323</v>
      </c>
    </row>
    <row r="28" customFormat="false" ht="15" hidden="false" customHeight="false" outlineLevel="0" collapsed="false">
      <c r="A28" s="9" t="s">
        <v>346</v>
      </c>
      <c r="B28" s="21" t="n">
        <v>181.7</v>
      </c>
      <c r="C28" s="25" t="s">
        <v>154</v>
      </c>
      <c r="D28" s="8" t="n">
        <v>0</v>
      </c>
      <c r="E28" s="21" t="n">
        <f aca="false">ROUND(B28*D28,1)</f>
        <v>0</v>
      </c>
      <c r="F28" s="21" t="n">
        <f aca="false">B28-E28</f>
        <v>181.7</v>
      </c>
      <c r="G28" s="23" t="n">
        <v>12</v>
      </c>
      <c r="H28" s="9" t="s">
        <v>140</v>
      </c>
      <c r="I28" s="24" t="n">
        <v>8</v>
      </c>
      <c r="J28" s="6" t="n">
        <f aca="false">ROUND(F28*I28,0)</f>
        <v>1454</v>
      </c>
      <c r="K28" s="5" t="s">
        <v>141</v>
      </c>
      <c r="L28" s="5" t="s">
        <v>174</v>
      </c>
      <c r="M28" s="8" t="n">
        <v>0</v>
      </c>
      <c r="N28" s="5" t="n">
        <v>1</v>
      </c>
      <c r="O28" s="9" t="s">
        <v>155</v>
      </c>
      <c r="P28" s="5" t="s">
        <v>144</v>
      </c>
      <c r="Q28" s="9" t="s">
        <v>323</v>
      </c>
    </row>
    <row r="29" customFormat="false" ht="15" hidden="false" customHeight="false" outlineLevel="0" collapsed="false">
      <c r="A29" s="9" t="s">
        <v>318</v>
      </c>
      <c r="B29" s="21" t="n">
        <v>200.7</v>
      </c>
      <c r="C29" s="25" t="s">
        <v>154</v>
      </c>
      <c r="D29" s="8" t="n">
        <v>0</v>
      </c>
      <c r="E29" s="21" t="n">
        <f aca="false">ROUND(B29*D29,1)</f>
        <v>0</v>
      </c>
      <c r="F29" s="21" t="n">
        <f aca="false">B29-E29</f>
        <v>200.7</v>
      </c>
      <c r="G29" s="23" t="n">
        <v>12</v>
      </c>
      <c r="H29" s="9" t="s">
        <v>140</v>
      </c>
      <c r="I29" s="24" t="n">
        <v>8</v>
      </c>
      <c r="J29" s="6" t="n">
        <f aca="false">ROUND(F29*I29,0)</f>
        <v>1606</v>
      </c>
      <c r="K29" s="5" t="s">
        <v>141</v>
      </c>
      <c r="L29" s="5" t="s">
        <v>150</v>
      </c>
      <c r="M29" s="8" t="n">
        <v>0.5</v>
      </c>
      <c r="N29" s="5" t="n">
        <v>1</v>
      </c>
      <c r="O29" s="9" t="s">
        <v>155</v>
      </c>
      <c r="P29" s="5" t="s">
        <v>144</v>
      </c>
      <c r="Q29" s="9" t="s">
        <v>323</v>
      </c>
    </row>
    <row r="30" customFormat="false" ht="15" hidden="false" customHeight="false" outlineLevel="0" collapsed="false">
      <c r="A30" s="9" t="s">
        <v>347</v>
      </c>
      <c r="B30" s="21" t="n">
        <v>221.6</v>
      </c>
      <c r="C30" s="25" t="s">
        <v>154</v>
      </c>
      <c r="D30" s="8" t="n">
        <v>0</v>
      </c>
      <c r="E30" s="21" t="n">
        <f aca="false">ROUND(B30*D30,1)</f>
        <v>0</v>
      </c>
      <c r="F30" s="21" t="n">
        <f aca="false">B30-E30</f>
        <v>221.6</v>
      </c>
      <c r="G30" s="23" t="n">
        <v>12</v>
      </c>
      <c r="H30" s="9" t="s">
        <v>140</v>
      </c>
      <c r="I30" s="24" t="n">
        <v>8</v>
      </c>
      <c r="J30" s="6" t="n">
        <f aca="false">ROUND(F30*I30,0)</f>
        <v>1773</v>
      </c>
      <c r="K30" s="5" t="s">
        <v>141</v>
      </c>
      <c r="L30" s="5" t="s">
        <v>174</v>
      </c>
      <c r="M30" s="8" t="n">
        <v>0</v>
      </c>
      <c r="N30" s="5" t="n">
        <v>1</v>
      </c>
      <c r="O30" s="9" t="s">
        <v>155</v>
      </c>
      <c r="P30" s="5" t="s">
        <v>144</v>
      </c>
      <c r="Q30" s="9" t="s">
        <v>323</v>
      </c>
    </row>
    <row r="31" customFormat="false" ht="15" hidden="false" customHeight="false" outlineLevel="0" collapsed="false">
      <c r="A31" s="9" t="s">
        <v>348</v>
      </c>
      <c r="B31" s="21" t="n">
        <v>279.1</v>
      </c>
      <c r="C31" s="25" t="s">
        <v>154</v>
      </c>
      <c r="D31" s="8" t="n">
        <v>0</v>
      </c>
      <c r="E31" s="21" t="n">
        <f aca="false">ROUND(B31*D31,1)</f>
        <v>0</v>
      </c>
      <c r="F31" s="21" t="n">
        <f aca="false">B31-E31</f>
        <v>279.1</v>
      </c>
      <c r="G31" s="23" t="n">
        <v>12</v>
      </c>
      <c r="H31" s="9" t="s">
        <v>140</v>
      </c>
      <c r="I31" s="24" t="n">
        <v>8</v>
      </c>
      <c r="J31" s="6" t="n">
        <f aca="false">ROUND(F31*I31,0)</f>
        <v>2233</v>
      </c>
      <c r="K31" s="5" t="s">
        <v>141</v>
      </c>
      <c r="L31" s="5" t="s">
        <v>150</v>
      </c>
      <c r="M31" s="8" t="n">
        <v>0.5</v>
      </c>
      <c r="N31" s="5" t="n">
        <v>1</v>
      </c>
      <c r="O31" s="9" t="s">
        <v>155</v>
      </c>
      <c r="P31" s="5" t="s">
        <v>144</v>
      </c>
      <c r="Q31" s="9" t="s">
        <v>323</v>
      </c>
    </row>
    <row r="32" customFormat="false" ht="15" hidden="false" customHeight="false" outlineLevel="0" collapsed="false">
      <c r="A32" s="9" t="s">
        <v>349</v>
      </c>
      <c r="B32" s="21" t="n">
        <v>214.8</v>
      </c>
      <c r="C32" s="25" t="s">
        <v>154</v>
      </c>
      <c r="D32" s="8" t="n">
        <v>0</v>
      </c>
      <c r="E32" s="21" t="n">
        <f aca="false">ROUND(B32*D32,1)</f>
        <v>0</v>
      </c>
      <c r="F32" s="21" t="n">
        <f aca="false">B32-E32</f>
        <v>214.8</v>
      </c>
      <c r="G32" s="23" t="n">
        <v>12</v>
      </c>
      <c r="H32" s="9" t="s">
        <v>140</v>
      </c>
      <c r="I32" s="24" t="n">
        <v>8</v>
      </c>
      <c r="J32" s="6" t="n">
        <f aca="false">ROUND(F32*I32,0)</f>
        <v>1718</v>
      </c>
      <c r="K32" s="5" t="s">
        <v>141</v>
      </c>
      <c r="L32" s="5" t="s">
        <v>150</v>
      </c>
      <c r="M32" s="8" t="n">
        <v>0.5</v>
      </c>
      <c r="N32" s="5" t="n">
        <v>1</v>
      </c>
      <c r="O32" s="9" t="s">
        <v>155</v>
      </c>
      <c r="P32" s="5" t="s">
        <v>144</v>
      </c>
      <c r="Q32" s="9" t="s">
        <v>323</v>
      </c>
    </row>
    <row r="33" customFormat="false" ht="15" hidden="false" customHeight="false" outlineLevel="0" collapsed="false">
      <c r="A33" s="9" t="s">
        <v>350</v>
      </c>
      <c r="B33" s="21" t="n">
        <v>182.7</v>
      </c>
      <c r="C33" s="25" t="s">
        <v>154</v>
      </c>
      <c r="D33" s="8" t="n">
        <v>0</v>
      </c>
      <c r="E33" s="21" t="n">
        <f aca="false">ROUND(B33*D33,1)</f>
        <v>0</v>
      </c>
      <c r="F33" s="21" t="n">
        <f aca="false">B33-E33</f>
        <v>182.7</v>
      </c>
      <c r="G33" s="23" t="n">
        <v>12</v>
      </c>
      <c r="H33" s="9" t="s">
        <v>140</v>
      </c>
      <c r="I33" s="24" t="n">
        <v>8</v>
      </c>
      <c r="J33" s="6" t="n">
        <f aca="false">ROUND(F33*I33,0)</f>
        <v>1462</v>
      </c>
      <c r="K33" s="5" t="s">
        <v>141</v>
      </c>
      <c r="L33" s="5" t="s">
        <v>174</v>
      </c>
      <c r="M33" s="8" t="n">
        <v>0</v>
      </c>
      <c r="N33" s="5" t="n">
        <v>1</v>
      </c>
      <c r="O33" s="9" t="s">
        <v>155</v>
      </c>
      <c r="P33" s="5" t="s">
        <v>144</v>
      </c>
      <c r="Q33" s="9" t="s">
        <v>323</v>
      </c>
    </row>
    <row r="34" customFormat="false" ht="15" hidden="false" customHeight="false" outlineLevel="0" collapsed="false">
      <c r="A34" s="9" t="s">
        <v>293</v>
      </c>
      <c r="B34" s="21" t="n">
        <v>263.3</v>
      </c>
      <c r="C34" s="22" t="s">
        <v>139</v>
      </c>
      <c r="D34" s="8" t="n">
        <v>1</v>
      </c>
      <c r="E34" s="21" t="n">
        <f aca="false">ROUND(B34*D34,1)</f>
        <v>263.3</v>
      </c>
      <c r="F34" s="21" t="n">
        <f aca="false">B34-E34</f>
        <v>0</v>
      </c>
      <c r="G34" s="23" t="n">
        <v>12</v>
      </c>
      <c r="H34" s="9" t="s">
        <v>140</v>
      </c>
      <c r="I34" s="24" t="n">
        <v>8</v>
      </c>
      <c r="J34" s="6" t="n">
        <f aca="false">ROUND(F34*I34,0)</f>
        <v>0</v>
      </c>
      <c r="K34" s="5" t="s">
        <v>141</v>
      </c>
      <c r="L34" s="5" t="s">
        <v>150</v>
      </c>
      <c r="M34" s="8" t="n">
        <v>0.5</v>
      </c>
      <c r="N34" s="5" t="n">
        <v>1</v>
      </c>
      <c r="O34" s="9" t="s">
        <v>151</v>
      </c>
      <c r="P34" s="5" t="s">
        <v>144</v>
      </c>
      <c r="Q34" s="9" t="s">
        <v>323</v>
      </c>
    </row>
    <row r="35" customFormat="false" ht="15" hidden="false" customHeight="false" outlineLevel="0" collapsed="false">
      <c r="A35" s="9" t="s">
        <v>351</v>
      </c>
      <c r="B35" s="21" t="n">
        <v>181.5</v>
      </c>
      <c r="C35" s="25" t="s">
        <v>154</v>
      </c>
      <c r="D35" s="8" t="n">
        <v>0</v>
      </c>
      <c r="E35" s="21" t="n">
        <f aca="false">ROUND(B35*D35,1)</f>
        <v>0</v>
      </c>
      <c r="F35" s="21" t="n">
        <f aca="false">B35-E35</f>
        <v>181.5</v>
      </c>
      <c r="G35" s="23" t="n">
        <v>12</v>
      </c>
      <c r="H35" s="9" t="s">
        <v>140</v>
      </c>
      <c r="I35" s="24" t="n">
        <v>8</v>
      </c>
      <c r="J35" s="6" t="n">
        <f aca="false">ROUND(F35*I35,0)</f>
        <v>1452</v>
      </c>
      <c r="K35" s="5" t="s">
        <v>141</v>
      </c>
      <c r="L35" s="5" t="s">
        <v>174</v>
      </c>
      <c r="M35" s="8" t="n">
        <v>0</v>
      </c>
      <c r="N35" s="5" t="n">
        <v>1</v>
      </c>
      <c r="O35" s="9" t="s">
        <v>155</v>
      </c>
      <c r="P35" s="5" t="s">
        <v>144</v>
      </c>
      <c r="Q35" s="9" t="s">
        <v>323</v>
      </c>
    </row>
    <row r="36" customFormat="false" ht="15" hidden="false" customHeight="false" outlineLevel="0" collapsed="false">
      <c r="A36" s="9" t="s">
        <v>352</v>
      </c>
      <c r="B36" s="21" t="n">
        <v>156.1</v>
      </c>
      <c r="C36" s="25" t="s">
        <v>154</v>
      </c>
      <c r="D36" s="8" t="n">
        <v>0</v>
      </c>
      <c r="E36" s="21" t="n">
        <f aca="false">ROUND(B36*D36,1)</f>
        <v>0</v>
      </c>
      <c r="F36" s="21" t="n">
        <f aca="false">B36-E36</f>
        <v>156.1</v>
      </c>
      <c r="G36" s="23" t="n">
        <v>12</v>
      </c>
      <c r="H36" s="9" t="s">
        <v>140</v>
      </c>
      <c r="I36" s="24" t="n">
        <v>8</v>
      </c>
      <c r="J36" s="6" t="n">
        <f aca="false">ROUND(F36*I36,0)</f>
        <v>1249</v>
      </c>
      <c r="K36" s="5" t="s">
        <v>141</v>
      </c>
      <c r="L36" s="5" t="s">
        <v>174</v>
      </c>
      <c r="M36" s="8" t="n">
        <v>0</v>
      </c>
      <c r="N36" s="5" t="n">
        <v>1</v>
      </c>
      <c r="O36" s="9" t="s">
        <v>155</v>
      </c>
      <c r="P36" s="5" t="s">
        <v>144</v>
      </c>
      <c r="Q36" s="9" t="s">
        <v>323</v>
      </c>
    </row>
    <row r="37" customFormat="false" ht="15" hidden="false" customHeight="false" outlineLevel="0" collapsed="false">
      <c r="A37" s="9" t="s">
        <v>353</v>
      </c>
      <c r="B37" s="21" t="n">
        <v>236.9</v>
      </c>
      <c r="C37" s="25" t="s">
        <v>154</v>
      </c>
      <c r="D37" s="8" t="n">
        <v>0</v>
      </c>
      <c r="E37" s="21" t="n">
        <f aca="false">ROUND(B37*D37,1)</f>
        <v>0</v>
      </c>
      <c r="F37" s="21" t="n">
        <f aca="false">B37-E37</f>
        <v>236.9</v>
      </c>
      <c r="G37" s="23" t="n">
        <v>12</v>
      </c>
      <c r="H37" s="9" t="s">
        <v>140</v>
      </c>
      <c r="I37" s="24" t="n">
        <v>8</v>
      </c>
      <c r="J37" s="6" t="n">
        <f aca="false">ROUND(F37*I37,0)</f>
        <v>1895</v>
      </c>
      <c r="K37" s="5" t="s">
        <v>141</v>
      </c>
      <c r="L37" s="5" t="s">
        <v>174</v>
      </c>
      <c r="M37" s="8" t="n">
        <v>0</v>
      </c>
      <c r="N37" s="5" t="n">
        <v>1</v>
      </c>
      <c r="O37" s="9" t="s">
        <v>155</v>
      </c>
      <c r="P37" s="5" t="s">
        <v>144</v>
      </c>
      <c r="Q37" s="9" t="s">
        <v>323</v>
      </c>
    </row>
    <row r="38" customFormat="false" ht="15" hidden="false" customHeight="false" outlineLevel="0" collapsed="false">
      <c r="A38" s="9" t="s">
        <v>354</v>
      </c>
      <c r="B38" s="21" t="n">
        <v>258</v>
      </c>
      <c r="C38" s="25" t="s">
        <v>154</v>
      </c>
      <c r="D38" s="8" t="n">
        <v>0</v>
      </c>
      <c r="E38" s="21" t="n">
        <f aca="false">ROUND(B38*D38,1)</f>
        <v>0</v>
      </c>
      <c r="F38" s="21" t="n">
        <f aca="false">B38-E38</f>
        <v>258</v>
      </c>
      <c r="G38" s="23" t="n">
        <v>12</v>
      </c>
      <c r="H38" s="9" t="s">
        <v>140</v>
      </c>
      <c r="I38" s="24" t="n">
        <v>8</v>
      </c>
      <c r="J38" s="6" t="n">
        <f aca="false">ROUND(F38*I38,0)</f>
        <v>2064</v>
      </c>
      <c r="K38" s="5" t="s">
        <v>141</v>
      </c>
      <c r="L38" s="5" t="s">
        <v>150</v>
      </c>
      <c r="M38" s="8" t="n">
        <v>0.5</v>
      </c>
      <c r="N38" s="5" t="n">
        <v>1</v>
      </c>
      <c r="O38" s="9" t="s">
        <v>155</v>
      </c>
      <c r="P38" s="5" t="s">
        <v>144</v>
      </c>
      <c r="Q38" s="9" t="s">
        <v>323</v>
      </c>
    </row>
    <row r="39" customFormat="false" ht="22.35" hidden="false" customHeight="false" outlineLevel="0" collapsed="false">
      <c r="A39" s="9" t="s">
        <v>305</v>
      </c>
      <c r="B39" s="21" t="n">
        <v>1332.9</v>
      </c>
      <c r="C39" s="22" t="s">
        <v>139</v>
      </c>
      <c r="D39" s="8" t="n">
        <v>1</v>
      </c>
      <c r="E39" s="21" t="n">
        <f aca="false">ROUND(B39*D39,1)</f>
        <v>1332.9</v>
      </c>
      <c r="F39" s="21" t="n">
        <f aca="false">B39-E39</f>
        <v>0</v>
      </c>
      <c r="G39" s="23" t="n">
        <v>12</v>
      </c>
      <c r="H39" s="9" t="s">
        <v>140</v>
      </c>
      <c r="I39" s="24" t="n">
        <v>8</v>
      </c>
      <c r="J39" s="6" t="n">
        <f aca="false">ROUND(F39*I39,0)</f>
        <v>0</v>
      </c>
      <c r="K39" s="5" t="s">
        <v>141</v>
      </c>
      <c r="L39" s="5" t="s">
        <v>150</v>
      </c>
      <c r="M39" s="8" t="n">
        <v>0.5</v>
      </c>
      <c r="N39" s="5" t="n">
        <v>4</v>
      </c>
      <c r="O39" s="9" t="s">
        <v>355</v>
      </c>
      <c r="P39" s="5" t="s">
        <v>144</v>
      </c>
      <c r="Q39" s="9" t="s">
        <v>356</v>
      </c>
    </row>
    <row r="40" customFormat="false" ht="15" hidden="false" customHeight="false" outlineLevel="0" collapsed="false">
      <c r="A40" s="9" t="s">
        <v>357</v>
      </c>
      <c r="B40" s="21" t="n">
        <v>475.5</v>
      </c>
      <c r="C40" s="25" t="s">
        <v>154</v>
      </c>
      <c r="D40" s="8" t="n">
        <v>0</v>
      </c>
      <c r="E40" s="21" t="n">
        <f aca="false">ROUND(B40*D40,1)</f>
        <v>0</v>
      </c>
      <c r="F40" s="21" t="n">
        <f aca="false">B40-E40</f>
        <v>475.5</v>
      </c>
      <c r="G40" s="23" t="n">
        <v>12</v>
      </c>
      <c r="H40" s="9" t="s">
        <v>140</v>
      </c>
      <c r="I40" s="24" t="n">
        <v>8</v>
      </c>
      <c r="J40" s="6" t="n">
        <f aca="false">ROUND(F40*I40,0)</f>
        <v>3804</v>
      </c>
      <c r="K40" s="5" t="s">
        <v>314</v>
      </c>
      <c r="L40" s="5" t="s">
        <v>150</v>
      </c>
      <c r="M40" s="8" t="n">
        <v>0.5</v>
      </c>
      <c r="N40" s="5" t="n">
        <v>1</v>
      </c>
      <c r="O40" s="9" t="s">
        <v>155</v>
      </c>
      <c r="P40" s="5" t="s">
        <v>144</v>
      </c>
      <c r="Q40" s="9" t="s">
        <v>323</v>
      </c>
    </row>
    <row r="41" customFormat="false" ht="15" hidden="false" customHeight="false" outlineLevel="0" collapsed="false">
      <c r="A41" s="9" t="s">
        <v>358</v>
      </c>
      <c r="B41" s="21" t="n">
        <v>64.3</v>
      </c>
      <c r="C41" s="25" t="s">
        <v>154</v>
      </c>
      <c r="D41" s="8" t="n">
        <v>0</v>
      </c>
      <c r="E41" s="21" t="n">
        <f aca="false">ROUND(B41*D41,1)</f>
        <v>0</v>
      </c>
      <c r="F41" s="21" t="n">
        <f aca="false">B41-E41</f>
        <v>64.3</v>
      </c>
      <c r="G41" s="23" t="n">
        <v>12</v>
      </c>
      <c r="H41" s="9" t="s">
        <v>140</v>
      </c>
      <c r="I41" s="24" t="n">
        <v>8</v>
      </c>
      <c r="J41" s="6" t="n">
        <f aca="false">ROUND(F41*I41,0)</f>
        <v>514</v>
      </c>
      <c r="K41" s="5" t="s">
        <v>141</v>
      </c>
      <c r="L41" s="5" t="s">
        <v>174</v>
      </c>
      <c r="M41" s="8" t="n">
        <v>0</v>
      </c>
      <c r="N41" s="5" t="n">
        <v>1</v>
      </c>
      <c r="O41" s="9" t="s">
        <v>155</v>
      </c>
      <c r="P41" s="5" t="s">
        <v>144</v>
      </c>
      <c r="Q41" s="9" t="s">
        <v>323</v>
      </c>
    </row>
    <row r="42" customFormat="false" ht="15" hidden="false" customHeight="false" outlineLevel="0" collapsed="false">
      <c r="A42" s="9" t="s">
        <v>359</v>
      </c>
      <c r="B42" s="21" t="n">
        <v>61.8</v>
      </c>
      <c r="C42" s="25" t="s">
        <v>154</v>
      </c>
      <c r="D42" s="8" t="n">
        <v>0</v>
      </c>
      <c r="E42" s="21" t="n">
        <f aca="false">ROUND(B42*D42,1)</f>
        <v>0</v>
      </c>
      <c r="F42" s="21" t="n">
        <f aca="false">B42-E42</f>
        <v>61.8</v>
      </c>
      <c r="G42" s="23" t="n">
        <v>12</v>
      </c>
      <c r="H42" s="9" t="s">
        <v>140</v>
      </c>
      <c r="I42" s="24" t="n">
        <v>8</v>
      </c>
      <c r="J42" s="6" t="n">
        <f aca="false">ROUND(F42*I42,0)</f>
        <v>494</v>
      </c>
      <c r="K42" s="5" t="s">
        <v>141</v>
      </c>
      <c r="L42" s="5" t="s">
        <v>174</v>
      </c>
      <c r="M42" s="8" t="n">
        <v>0</v>
      </c>
      <c r="N42" s="5" t="n">
        <v>1</v>
      </c>
      <c r="O42" s="9" t="s">
        <v>175</v>
      </c>
      <c r="P42" s="5" t="s">
        <v>144</v>
      </c>
      <c r="Q42" s="9" t="s">
        <v>323</v>
      </c>
    </row>
    <row r="43" customFormat="false" ht="15" hidden="false" customHeight="false" outlineLevel="0" collapsed="false">
      <c r="A43" s="9" t="s">
        <v>360</v>
      </c>
      <c r="B43" s="21" t="n">
        <v>183.8</v>
      </c>
      <c r="C43" s="25" t="s">
        <v>154</v>
      </c>
      <c r="D43" s="8" t="n">
        <v>0</v>
      </c>
      <c r="E43" s="21" t="n">
        <f aca="false">ROUND(B43*D43,1)</f>
        <v>0</v>
      </c>
      <c r="F43" s="21" t="n">
        <f aca="false">B43-E43</f>
        <v>183.8</v>
      </c>
      <c r="G43" s="23" t="n">
        <v>12</v>
      </c>
      <c r="H43" s="9" t="s">
        <v>140</v>
      </c>
      <c r="I43" s="24" t="n">
        <v>8</v>
      </c>
      <c r="J43" s="6" t="n">
        <f aca="false">ROUND(F43*I43,0)</f>
        <v>1470</v>
      </c>
      <c r="K43" s="5" t="s">
        <v>141</v>
      </c>
      <c r="L43" s="5" t="s">
        <v>174</v>
      </c>
      <c r="M43" s="8" t="n">
        <v>0</v>
      </c>
      <c r="N43" s="5" t="n">
        <v>1</v>
      </c>
      <c r="O43" s="9" t="s">
        <v>155</v>
      </c>
      <c r="P43" s="5" t="s">
        <v>144</v>
      </c>
      <c r="Q43" s="9" t="s">
        <v>323</v>
      </c>
    </row>
    <row r="44" customFormat="false" ht="32.8" hidden="false" customHeight="false" outlineLevel="0" collapsed="false">
      <c r="A44" s="9" t="s">
        <v>281</v>
      </c>
      <c r="B44" s="21" t="n">
        <v>822.4</v>
      </c>
      <c r="C44" s="25" t="s">
        <v>154</v>
      </c>
      <c r="D44" s="8" t="n">
        <v>0</v>
      </c>
      <c r="E44" s="21" t="n">
        <f aca="false">ROUND(B44*D44,1)</f>
        <v>0</v>
      </c>
      <c r="F44" s="21" t="n">
        <f aca="false">B44-E44</f>
        <v>822.4</v>
      </c>
      <c r="G44" s="23" t="n">
        <v>12</v>
      </c>
      <c r="H44" s="9" t="s">
        <v>140</v>
      </c>
      <c r="I44" s="24" t="n">
        <v>8</v>
      </c>
      <c r="J44" s="6" t="n">
        <f aca="false">ROUND(F44*I44,0)</f>
        <v>6579</v>
      </c>
      <c r="K44" s="5" t="s">
        <v>141</v>
      </c>
      <c r="L44" s="5" t="s">
        <v>150</v>
      </c>
      <c r="M44" s="8" t="n">
        <v>0.5</v>
      </c>
      <c r="N44" s="5" t="n">
        <v>2</v>
      </c>
      <c r="O44" s="9" t="s">
        <v>291</v>
      </c>
      <c r="P44" s="5" t="s">
        <v>144</v>
      </c>
      <c r="Q44" s="9" t="s">
        <v>361</v>
      </c>
    </row>
    <row r="45" customFormat="false" ht="22.35" hidden="false" customHeight="false" outlineLevel="0" collapsed="false">
      <c r="A45" s="9" t="s">
        <v>362</v>
      </c>
      <c r="B45" s="21" t="n">
        <v>479.6</v>
      </c>
      <c r="C45" s="22" t="s">
        <v>139</v>
      </c>
      <c r="D45" s="8" t="n">
        <v>1</v>
      </c>
      <c r="E45" s="21" t="n">
        <f aca="false">ROUND(B45*D45,1)</f>
        <v>479.6</v>
      </c>
      <c r="F45" s="21" t="n">
        <f aca="false">B45-E45</f>
        <v>0</v>
      </c>
      <c r="G45" s="23" t="n">
        <v>12</v>
      </c>
      <c r="H45" s="9" t="s">
        <v>140</v>
      </c>
      <c r="I45" s="24" t="n">
        <v>8</v>
      </c>
      <c r="J45" s="6" t="n">
        <f aca="false">ROUND(F45*I45,0)</f>
        <v>0</v>
      </c>
      <c r="K45" s="5" t="s">
        <v>314</v>
      </c>
      <c r="L45" s="5" t="s">
        <v>142</v>
      </c>
      <c r="M45" s="8" t="n">
        <v>1</v>
      </c>
      <c r="N45" s="5" t="n">
        <v>1</v>
      </c>
      <c r="O45" s="9" t="s">
        <v>288</v>
      </c>
      <c r="P45" s="5" t="s">
        <v>144</v>
      </c>
      <c r="Q45" s="9" t="s">
        <v>363</v>
      </c>
    </row>
    <row r="46" customFormat="false" ht="15" hidden="false" customHeight="false" outlineLevel="0" collapsed="false">
      <c r="A46" s="12" t="s">
        <v>189</v>
      </c>
      <c r="B46" s="13" t="n">
        <f aca="false">SUM(B6:B45)</f>
        <v>12416.1</v>
      </c>
      <c r="C46" s="12"/>
      <c r="D46" s="14" t="n">
        <f aca="false">IF(B46=0,0,E46/B46)</f>
        <v>0.216758885640419</v>
      </c>
      <c r="E46" s="13" t="n">
        <f aca="false">SUM(E6:E45)</f>
        <v>2691.3</v>
      </c>
      <c r="F46" s="13" t="n">
        <f aca="false">SUM(F6:F45)</f>
        <v>9724.8</v>
      </c>
      <c r="G46" s="12"/>
      <c r="H46" s="12"/>
      <c r="I46" s="12"/>
      <c r="J46" s="13" t="n">
        <f aca="false">SUM(J6:J45)</f>
        <v>77796</v>
      </c>
      <c r="K46" s="12"/>
      <c r="L46" s="12"/>
      <c r="M46" s="12"/>
      <c r="N46" s="12"/>
      <c r="O46" s="12"/>
      <c r="P46" s="12"/>
      <c r="Q46" s="12"/>
    </row>
    <row r="48" customFormat="false" ht="15" hidden="false" customHeight="false" outlineLevel="0" collapsed="false">
      <c r="A48" s="16" t="s">
        <v>190</v>
      </c>
      <c r="D48" s="27" t="n">
        <f aca="false">J46</f>
        <v>77796</v>
      </c>
      <c r="F48" s="20" t="s">
        <v>191</v>
      </c>
    </row>
    <row r="49" customFormat="false" ht="15" hidden="false" customHeight="false" outlineLevel="0" collapsed="false">
      <c r="A49" s="16" t="s">
        <v>192</v>
      </c>
      <c r="D49" s="27" t="n">
        <f aca="false">F46*8</f>
        <v>77798.4</v>
      </c>
      <c r="F49" s="20" t="s">
        <v>193</v>
      </c>
    </row>
    <row r="50" customFormat="false" ht="15" hidden="false" customHeight="false" outlineLevel="0" collapsed="false">
      <c r="A50" s="16" t="s">
        <v>194</v>
      </c>
      <c r="D50" s="28" t="n">
        <v>0</v>
      </c>
      <c r="F50" s="20" t="s">
        <v>195</v>
      </c>
    </row>
    <row r="51" customFormat="false" ht="15" hidden="false" customHeight="false" outlineLevel="0" collapsed="false">
      <c r="A51" s="16" t="s">
        <v>196</v>
      </c>
      <c r="D51" s="29" t="n">
        <v>0.27</v>
      </c>
      <c r="F51" s="20" t="s">
        <v>41</v>
      </c>
    </row>
    <row r="52" customFormat="false" ht="15" hidden="false" customHeight="false" outlineLevel="0" collapsed="false">
      <c r="A52" s="16" t="s">
        <v>197</v>
      </c>
      <c r="D52" s="27" t="n">
        <f aca="false">(B46-D50)*(1-D51)</f>
        <v>9063.753</v>
      </c>
      <c r="F52" s="20" t="s">
        <v>198</v>
      </c>
    </row>
    <row r="53" customFormat="false" ht="15" hidden="false" customHeight="false" outlineLevel="0" collapsed="false">
      <c r="A53" s="16" t="s">
        <v>199</v>
      </c>
      <c r="D53" s="27" t="n">
        <f aca="false">ROUND(D52*4,0)</f>
        <v>36255</v>
      </c>
      <c r="F53" s="20" t="s">
        <v>200</v>
      </c>
    </row>
    <row r="54" customFormat="false" ht="15" hidden="false" customHeight="false" outlineLevel="0" collapsed="false">
      <c r="A54" s="16" t="s">
        <v>201</v>
      </c>
      <c r="D54" s="28" t="n">
        <v>57</v>
      </c>
    </row>
    <row r="55" customFormat="false" ht="15" hidden="false" customHeight="false" outlineLevel="0" collapsed="false">
      <c r="A55" s="16" t="s">
        <v>202</v>
      </c>
      <c r="D55" s="28" t="n">
        <v>0</v>
      </c>
      <c r="F55" s="20" t="s">
        <v>203</v>
      </c>
    </row>
    <row r="56" customFormat="false" ht="15" hidden="false" customHeight="false" outlineLevel="0" collapsed="false">
      <c r="A56" s="16" t="s">
        <v>204</v>
      </c>
      <c r="D56" s="28" t="n">
        <v>2691</v>
      </c>
    </row>
    <row r="57" customFormat="false" ht="15" hidden="false" customHeight="false" outlineLevel="0" collapsed="false">
      <c r="A57" s="16" t="s">
        <v>205</v>
      </c>
      <c r="D57" s="28" t="n">
        <v>0</v>
      </c>
      <c r="F57" s="20" t="s">
        <v>206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6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3"/>
    <col collapsed="false" customWidth="true" hidden="false" outlineLevel="0" max="3" min="3" style="0" width="15"/>
    <col collapsed="false" customWidth="true" hidden="false" outlineLevel="0" max="4" min="4" style="0" width="12"/>
    <col collapsed="false" customWidth="true" hidden="false" outlineLevel="0" max="6" min="5" style="0" width="13"/>
    <col collapsed="false" customWidth="true" hidden="false" outlineLevel="0" max="7" min="7" style="0" width="11"/>
    <col collapsed="false" customWidth="true" hidden="false" outlineLevel="0" max="8" min="8" style="0" width="20"/>
    <col collapsed="false" customWidth="true" hidden="false" outlineLevel="0" max="10" min="9" style="0" width="13"/>
    <col collapsed="false" customWidth="true" hidden="false" outlineLevel="0" max="11" min="11" style="0" width="10"/>
    <col collapsed="false" customWidth="true" hidden="false" outlineLevel="0" max="12" min="12" style="0" width="13"/>
    <col collapsed="false" customWidth="true" hidden="false" outlineLevel="0" max="14" min="13" style="0" width="9"/>
    <col collapsed="false" customWidth="true" hidden="false" outlineLevel="0" max="15" min="15" style="0" width="46"/>
    <col collapsed="false" customWidth="true" hidden="false" outlineLevel="0" max="16" min="16" style="0" width="17"/>
    <col collapsed="false" customWidth="true" hidden="false" outlineLevel="0" max="17" min="17" style="0" width="52"/>
  </cols>
  <sheetData>
    <row r="1" customFormat="false" ht="16.15" hidden="false" customHeight="false" outlineLevel="0" collapsed="false">
      <c r="A1" s="18" t="s">
        <v>364</v>
      </c>
    </row>
    <row r="2" customFormat="false" ht="15" hidden="false" customHeight="false" outlineLevel="0" collapsed="false">
      <c r="A2" s="19" t="s">
        <v>365</v>
      </c>
    </row>
    <row r="3" customFormat="false" ht="15" hidden="false" customHeight="false" outlineLevel="0" collapsed="false">
      <c r="A3" s="20" t="s">
        <v>366</v>
      </c>
    </row>
    <row r="5" customFormat="false" ht="32.8" hidden="false" customHeight="false" outlineLevel="0" collapsed="false">
      <c r="A5" s="4" t="s">
        <v>122</v>
      </c>
      <c r="B5" s="4" t="s">
        <v>123</v>
      </c>
      <c r="C5" s="4" t="s">
        <v>124</v>
      </c>
      <c r="D5" s="4" t="s">
        <v>125</v>
      </c>
      <c r="E5" s="4" t="s">
        <v>126</v>
      </c>
      <c r="F5" s="4" t="s">
        <v>12</v>
      </c>
      <c r="G5" s="4" t="s">
        <v>127</v>
      </c>
      <c r="H5" s="4" t="s">
        <v>128</v>
      </c>
      <c r="I5" s="4" t="s">
        <v>129</v>
      </c>
      <c r="J5" s="4" t="s">
        <v>130</v>
      </c>
      <c r="K5" s="4" t="s">
        <v>131</v>
      </c>
      <c r="L5" s="4" t="s">
        <v>132</v>
      </c>
      <c r="M5" s="4" t="s">
        <v>133</v>
      </c>
      <c r="N5" s="4" t="s">
        <v>134</v>
      </c>
      <c r="O5" s="4" t="s">
        <v>135</v>
      </c>
      <c r="P5" s="4" t="s">
        <v>136</v>
      </c>
      <c r="Q5" s="4" t="s">
        <v>137</v>
      </c>
    </row>
    <row r="6" customFormat="false" ht="15" hidden="false" customHeight="false" outlineLevel="0" collapsed="false">
      <c r="A6" s="9" t="s">
        <v>322</v>
      </c>
      <c r="B6" s="21" t="n">
        <v>156.6</v>
      </c>
      <c r="C6" s="22" t="s">
        <v>139</v>
      </c>
      <c r="D6" s="8" t="n">
        <v>1</v>
      </c>
      <c r="E6" s="21" t="n">
        <f aca="false">ROUND(B6*D6,1)</f>
        <v>156.6</v>
      </c>
      <c r="F6" s="21" t="n">
        <f aca="false">B6-E6</f>
        <v>0</v>
      </c>
      <c r="G6" s="23" t="n">
        <v>12</v>
      </c>
      <c r="H6" s="9" t="s">
        <v>140</v>
      </c>
      <c r="I6" s="24" t="n">
        <v>8</v>
      </c>
      <c r="J6" s="6" t="n">
        <f aca="false">ROUND(F6*I6,0)</f>
        <v>0</v>
      </c>
      <c r="K6" s="5" t="s">
        <v>141</v>
      </c>
      <c r="L6" s="5" t="s">
        <v>142</v>
      </c>
      <c r="M6" s="8" t="n">
        <v>1</v>
      </c>
      <c r="N6" s="5" t="n">
        <v>1</v>
      </c>
      <c r="O6" s="9" t="s">
        <v>151</v>
      </c>
      <c r="P6" s="5" t="s">
        <v>144</v>
      </c>
      <c r="Q6" s="9" t="s">
        <v>367</v>
      </c>
    </row>
    <row r="7" customFormat="false" ht="15" hidden="false" customHeight="false" outlineLevel="0" collapsed="false">
      <c r="A7" s="9" t="s">
        <v>325</v>
      </c>
      <c r="B7" s="21" t="n">
        <v>156.6</v>
      </c>
      <c r="C7" s="25" t="s">
        <v>154</v>
      </c>
      <c r="D7" s="8" t="n">
        <v>0</v>
      </c>
      <c r="E7" s="21" t="n">
        <f aca="false">ROUND(B7*D7,1)</f>
        <v>0</v>
      </c>
      <c r="F7" s="21" t="n">
        <f aca="false">B7-E7</f>
        <v>156.6</v>
      </c>
      <c r="G7" s="23" t="n">
        <v>12</v>
      </c>
      <c r="H7" s="9" t="s">
        <v>140</v>
      </c>
      <c r="I7" s="24" t="n">
        <v>8</v>
      </c>
      <c r="J7" s="6" t="n">
        <f aca="false">ROUND(F7*I7,0)</f>
        <v>1253</v>
      </c>
      <c r="K7" s="5" t="s">
        <v>141</v>
      </c>
      <c r="L7" s="5" t="s">
        <v>174</v>
      </c>
      <c r="M7" s="8" t="n">
        <v>0</v>
      </c>
      <c r="N7" s="5" t="n">
        <v>1</v>
      </c>
      <c r="O7" s="9" t="s">
        <v>155</v>
      </c>
      <c r="P7" s="5" t="s">
        <v>144</v>
      </c>
      <c r="Q7" s="9" t="s">
        <v>367</v>
      </c>
    </row>
    <row r="8" customFormat="false" ht="15" hidden="false" customHeight="false" outlineLevel="0" collapsed="false">
      <c r="A8" s="9" t="s">
        <v>328</v>
      </c>
      <c r="B8" s="21" t="n">
        <v>156.6</v>
      </c>
      <c r="C8" s="25" t="s">
        <v>154</v>
      </c>
      <c r="D8" s="8" t="n">
        <v>0</v>
      </c>
      <c r="E8" s="21" t="n">
        <f aca="false">ROUND(B8*D8,1)</f>
        <v>0</v>
      </c>
      <c r="F8" s="21" t="n">
        <f aca="false">B8-E8</f>
        <v>156.6</v>
      </c>
      <c r="G8" s="23" t="n">
        <v>12</v>
      </c>
      <c r="H8" s="9" t="s">
        <v>140</v>
      </c>
      <c r="I8" s="24" t="n">
        <v>8</v>
      </c>
      <c r="J8" s="6" t="n">
        <f aca="false">ROUND(F8*I8,0)</f>
        <v>1253</v>
      </c>
      <c r="K8" s="5" t="s">
        <v>141</v>
      </c>
      <c r="L8" s="5" t="s">
        <v>174</v>
      </c>
      <c r="M8" s="8" t="n">
        <v>0</v>
      </c>
      <c r="N8" s="5" t="n">
        <v>1</v>
      </c>
      <c r="O8" s="9" t="s">
        <v>155</v>
      </c>
      <c r="P8" s="5" t="s">
        <v>144</v>
      </c>
      <c r="Q8" s="9" t="s">
        <v>367</v>
      </c>
    </row>
    <row r="9" customFormat="false" ht="15" hidden="false" customHeight="false" outlineLevel="0" collapsed="false">
      <c r="A9" s="9" t="s">
        <v>330</v>
      </c>
      <c r="B9" s="21" t="n">
        <v>154.7</v>
      </c>
      <c r="C9" s="25" t="s">
        <v>154</v>
      </c>
      <c r="D9" s="8" t="n">
        <v>0</v>
      </c>
      <c r="E9" s="21" t="n">
        <f aca="false">ROUND(B9*D9,1)</f>
        <v>0</v>
      </c>
      <c r="F9" s="21" t="n">
        <f aca="false">B9-E9</f>
        <v>154.7</v>
      </c>
      <c r="G9" s="23" t="n">
        <v>12</v>
      </c>
      <c r="H9" s="9" t="s">
        <v>140</v>
      </c>
      <c r="I9" s="24" t="n">
        <v>8</v>
      </c>
      <c r="J9" s="6" t="n">
        <f aca="false">ROUND(F9*I9,0)</f>
        <v>1238</v>
      </c>
      <c r="K9" s="5" t="s">
        <v>141</v>
      </c>
      <c r="L9" s="5" t="s">
        <v>174</v>
      </c>
      <c r="M9" s="8" t="n">
        <v>0</v>
      </c>
      <c r="N9" s="5" t="n">
        <v>1</v>
      </c>
      <c r="O9" s="9" t="s">
        <v>155</v>
      </c>
      <c r="P9" s="5" t="s">
        <v>144</v>
      </c>
      <c r="Q9" s="9" t="s">
        <v>367</v>
      </c>
    </row>
    <row r="10" customFormat="false" ht="15" hidden="false" customHeight="false" outlineLevel="0" collapsed="false">
      <c r="A10" s="9" t="s">
        <v>332</v>
      </c>
      <c r="B10" s="21" t="n">
        <v>155.7</v>
      </c>
      <c r="C10" s="25" t="s">
        <v>154</v>
      </c>
      <c r="D10" s="8" t="n">
        <v>0</v>
      </c>
      <c r="E10" s="21" t="n">
        <f aca="false">ROUND(B10*D10,1)</f>
        <v>0</v>
      </c>
      <c r="F10" s="21" t="n">
        <f aca="false">B10-E10</f>
        <v>155.7</v>
      </c>
      <c r="G10" s="23" t="n">
        <v>12</v>
      </c>
      <c r="H10" s="9" t="s">
        <v>140</v>
      </c>
      <c r="I10" s="24" t="n">
        <v>8</v>
      </c>
      <c r="J10" s="6" t="n">
        <f aca="false">ROUND(F10*I10,0)</f>
        <v>1246</v>
      </c>
      <c r="K10" s="5" t="s">
        <v>141</v>
      </c>
      <c r="L10" s="5" t="s">
        <v>174</v>
      </c>
      <c r="M10" s="8" t="n">
        <v>0</v>
      </c>
      <c r="N10" s="5" t="n">
        <v>1</v>
      </c>
      <c r="O10" s="9" t="s">
        <v>155</v>
      </c>
      <c r="P10" s="5" t="s">
        <v>144</v>
      </c>
      <c r="Q10" s="9" t="s">
        <v>367</v>
      </c>
    </row>
    <row r="11" customFormat="false" ht="15" hidden="false" customHeight="false" outlineLevel="0" collapsed="false">
      <c r="A11" s="9" t="s">
        <v>336</v>
      </c>
      <c r="B11" s="21" t="n">
        <v>156.6</v>
      </c>
      <c r="C11" s="22" t="s">
        <v>139</v>
      </c>
      <c r="D11" s="8" t="n">
        <v>1</v>
      </c>
      <c r="E11" s="21" t="n">
        <f aca="false">ROUND(B11*D11,1)</f>
        <v>156.6</v>
      </c>
      <c r="F11" s="21" t="n">
        <f aca="false">B11-E11</f>
        <v>0</v>
      </c>
      <c r="G11" s="23" t="n">
        <v>12</v>
      </c>
      <c r="H11" s="9" t="s">
        <v>140</v>
      </c>
      <c r="I11" s="24" t="n">
        <v>8</v>
      </c>
      <c r="J11" s="6" t="n">
        <f aca="false">ROUND(F11*I11,0)</f>
        <v>0</v>
      </c>
      <c r="K11" s="5" t="s">
        <v>141</v>
      </c>
      <c r="L11" s="5" t="s">
        <v>174</v>
      </c>
      <c r="M11" s="8" t="n">
        <v>0</v>
      </c>
      <c r="N11" s="5" t="n">
        <v>1</v>
      </c>
      <c r="O11" s="9" t="s">
        <v>151</v>
      </c>
      <c r="P11" s="5" t="s">
        <v>144</v>
      </c>
      <c r="Q11" s="9" t="s">
        <v>367</v>
      </c>
    </row>
    <row r="12" customFormat="false" ht="15" hidden="false" customHeight="false" outlineLevel="0" collapsed="false">
      <c r="A12" s="9" t="s">
        <v>368</v>
      </c>
      <c r="B12" s="21" t="n">
        <v>917.1</v>
      </c>
      <c r="C12" s="25" t="s">
        <v>154</v>
      </c>
      <c r="D12" s="8" t="n">
        <v>0</v>
      </c>
      <c r="E12" s="21" t="n">
        <f aca="false">ROUND(B12*D12,1)</f>
        <v>0</v>
      </c>
      <c r="F12" s="21" t="n">
        <f aca="false">B12-E12</f>
        <v>917.1</v>
      </c>
      <c r="G12" s="23" t="n">
        <v>12</v>
      </c>
      <c r="H12" s="9" t="s">
        <v>140</v>
      </c>
      <c r="I12" s="24" t="n">
        <v>8</v>
      </c>
      <c r="J12" s="6" t="n">
        <f aca="false">ROUND(F12*I12,0)</f>
        <v>7337</v>
      </c>
      <c r="K12" s="5" t="s">
        <v>141</v>
      </c>
      <c r="L12" s="5" t="s">
        <v>174</v>
      </c>
      <c r="M12" s="8" t="n">
        <v>0</v>
      </c>
      <c r="N12" s="5" t="n">
        <v>3</v>
      </c>
      <c r="O12" s="9" t="s">
        <v>276</v>
      </c>
      <c r="P12" s="5" t="s">
        <v>144</v>
      </c>
      <c r="Q12" s="9" t="s">
        <v>367</v>
      </c>
    </row>
    <row r="13" customFormat="false" ht="15" hidden="false" customHeight="false" outlineLevel="0" collapsed="false">
      <c r="A13" s="9" t="s">
        <v>179</v>
      </c>
      <c r="B13" s="21" t="n">
        <v>783</v>
      </c>
      <c r="C13" s="25" t="s">
        <v>154</v>
      </c>
      <c r="D13" s="8" t="n">
        <v>0</v>
      </c>
      <c r="E13" s="21" t="n">
        <f aca="false">ROUND(B13*D13,1)</f>
        <v>0</v>
      </c>
      <c r="F13" s="21" t="n">
        <f aca="false">B13-E13</f>
        <v>783</v>
      </c>
      <c r="G13" s="23" t="n">
        <v>12</v>
      </c>
      <c r="H13" s="9" t="s">
        <v>140</v>
      </c>
      <c r="I13" s="24" t="n">
        <v>8</v>
      </c>
      <c r="J13" s="6" t="n">
        <f aca="false">ROUND(F13*I13,0)</f>
        <v>6264</v>
      </c>
      <c r="K13" s="5" t="s">
        <v>141</v>
      </c>
      <c r="L13" s="5" t="s">
        <v>150</v>
      </c>
      <c r="M13" s="8" t="n">
        <v>0.25</v>
      </c>
      <c r="N13" s="5" t="n">
        <v>2</v>
      </c>
      <c r="O13" s="9" t="s">
        <v>285</v>
      </c>
      <c r="P13" s="5" t="s">
        <v>144</v>
      </c>
      <c r="Q13" s="9" t="s">
        <v>367</v>
      </c>
    </row>
    <row r="14" customFormat="false" ht="15" hidden="false" customHeight="false" outlineLevel="0" collapsed="false">
      <c r="A14" s="9" t="s">
        <v>157</v>
      </c>
      <c r="B14" s="21" t="n">
        <v>723.3</v>
      </c>
      <c r="C14" s="25" t="s">
        <v>154</v>
      </c>
      <c r="D14" s="8" t="n">
        <v>0</v>
      </c>
      <c r="E14" s="21" t="n">
        <f aca="false">ROUND(B14*D14,1)</f>
        <v>0</v>
      </c>
      <c r="F14" s="21" t="n">
        <f aca="false">B14-E14</f>
        <v>723.3</v>
      </c>
      <c r="G14" s="23" t="n">
        <v>12</v>
      </c>
      <c r="H14" s="9" t="s">
        <v>140</v>
      </c>
      <c r="I14" s="24" t="n">
        <v>8</v>
      </c>
      <c r="J14" s="6" t="n">
        <f aca="false">ROUND(F14*I14,0)</f>
        <v>5786</v>
      </c>
      <c r="K14" s="5" t="s">
        <v>141</v>
      </c>
      <c r="L14" s="5" t="s">
        <v>174</v>
      </c>
      <c r="M14" s="8" t="n">
        <v>0</v>
      </c>
      <c r="N14" s="5" t="n">
        <v>2</v>
      </c>
      <c r="O14" s="9" t="s">
        <v>341</v>
      </c>
      <c r="P14" s="5" t="s">
        <v>144</v>
      </c>
      <c r="Q14" s="9" t="s">
        <v>367</v>
      </c>
    </row>
    <row r="15" customFormat="false" ht="22.35" hidden="false" customHeight="false" outlineLevel="0" collapsed="false">
      <c r="A15" s="9" t="s">
        <v>168</v>
      </c>
      <c r="B15" s="21" t="n">
        <v>1935.5</v>
      </c>
      <c r="C15" s="26" t="s">
        <v>150</v>
      </c>
      <c r="D15" s="8" t="n">
        <v>0.74</v>
      </c>
      <c r="E15" s="21" t="n">
        <f aca="false">ROUND(B15*D15,1)</f>
        <v>1432.3</v>
      </c>
      <c r="F15" s="21" t="n">
        <f aca="false">B15-E15</f>
        <v>503.2</v>
      </c>
      <c r="G15" s="23" t="n">
        <v>12</v>
      </c>
      <c r="H15" s="9" t="s">
        <v>140</v>
      </c>
      <c r="I15" s="24" t="n">
        <v>8</v>
      </c>
      <c r="J15" s="6" t="n">
        <f aca="false">ROUND(F15*I15,0)</f>
        <v>4026</v>
      </c>
      <c r="K15" s="5" t="s">
        <v>141</v>
      </c>
      <c r="L15" s="5" t="s">
        <v>150</v>
      </c>
      <c r="M15" s="8" t="n">
        <v>0.38</v>
      </c>
      <c r="N15" s="5" t="n">
        <v>13</v>
      </c>
      <c r="O15" s="9" t="s">
        <v>369</v>
      </c>
      <c r="P15" s="5" t="s">
        <v>144</v>
      </c>
      <c r="Q15" s="9" t="s">
        <v>370</v>
      </c>
    </row>
    <row r="16" customFormat="false" ht="32.8" hidden="false" customHeight="false" outlineLevel="0" collapsed="false">
      <c r="A16" s="9" t="s">
        <v>281</v>
      </c>
      <c r="B16" s="21" t="n">
        <v>555.1</v>
      </c>
      <c r="C16" s="22" t="s">
        <v>139</v>
      </c>
      <c r="D16" s="8" t="n">
        <v>1</v>
      </c>
      <c r="E16" s="21" t="n">
        <f aca="false">ROUND(B16*D16,1)</f>
        <v>555.1</v>
      </c>
      <c r="F16" s="21" t="n">
        <f aca="false">B16-E16</f>
        <v>0</v>
      </c>
      <c r="G16" s="23" t="n">
        <v>12</v>
      </c>
      <c r="H16" s="9" t="s">
        <v>140</v>
      </c>
      <c r="I16" s="24" t="n">
        <v>8</v>
      </c>
      <c r="J16" s="6" t="n">
        <f aca="false">ROUND(F16*I16,0)</f>
        <v>0</v>
      </c>
      <c r="K16" s="5" t="s">
        <v>141</v>
      </c>
      <c r="L16" s="5" t="s">
        <v>150</v>
      </c>
      <c r="M16" s="8" t="n">
        <v>0.5</v>
      </c>
      <c r="N16" s="5" t="n">
        <v>3</v>
      </c>
      <c r="O16" s="9" t="s">
        <v>308</v>
      </c>
      <c r="P16" s="5" t="s">
        <v>144</v>
      </c>
      <c r="Q16" s="9" t="s">
        <v>371</v>
      </c>
    </row>
    <row r="17" customFormat="false" ht="32.8" hidden="false" customHeight="false" outlineLevel="0" collapsed="false">
      <c r="A17" s="9" t="s">
        <v>339</v>
      </c>
      <c r="B17" s="21" t="n">
        <v>526.6</v>
      </c>
      <c r="C17" s="25" t="s">
        <v>154</v>
      </c>
      <c r="D17" s="8" t="n">
        <v>0</v>
      </c>
      <c r="E17" s="21" t="n">
        <f aca="false">ROUND(B17*D17,1)</f>
        <v>0</v>
      </c>
      <c r="F17" s="21" t="n">
        <f aca="false">B17-E17</f>
        <v>526.6</v>
      </c>
      <c r="G17" s="23" t="n">
        <v>12</v>
      </c>
      <c r="H17" s="9" t="s">
        <v>140</v>
      </c>
      <c r="I17" s="24" t="n">
        <v>8</v>
      </c>
      <c r="J17" s="6" t="n">
        <f aca="false">ROUND(F17*I17,0)</f>
        <v>4213</v>
      </c>
      <c r="K17" s="5" t="s">
        <v>314</v>
      </c>
      <c r="L17" s="5" t="s">
        <v>217</v>
      </c>
      <c r="M17" s="8" t="s">
        <v>218</v>
      </c>
      <c r="N17" s="5" t="n">
        <v>0</v>
      </c>
      <c r="O17" s="9" t="s">
        <v>372</v>
      </c>
      <c r="P17" s="5" t="s">
        <v>144</v>
      </c>
      <c r="Q17" s="9" t="s">
        <v>367</v>
      </c>
    </row>
    <row r="18" customFormat="false" ht="15" hidden="false" customHeight="false" outlineLevel="0" collapsed="false">
      <c r="A18" s="9" t="s">
        <v>294</v>
      </c>
      <c r="B18" s="21" t="n">
        <v>722</v>
      </c>
      <c r="C18" s="25" t="s">
        <v>154</v>
      </c>
      <c r="D18" s="8" t="n">
        <v>0</v>
      </c>
      <c r="E18" s="21" t="n">
        <f aca="false">ROUND(B18*D18,1)</f>
        <v>0</v>
      </c>
      <c r="F18" s="21" t="n">
        <f aca="false">B18-E18</f>
        <v>722</v>
      </c>
      <c r="G18" s="23" t="n">
        <v>12</v>
      </c>
      <c r="H18" s="9" t="s">
        <v>140</v>
      </c>
      <c r="I18" s="24" t="n">
        <v>8</v>
      </c>
      <c r="J18" s="6" t="n">
        <f aca="false">ROUND(F18*I18,0)</f>
        <v>5776</v>
      </c>
      <c r="K18" s="5" t="s">
        <v>141</v>
      </c>
      <c r="L18" s="5" t="s">
        <v>174</v>
      </c>
      <c r="M18" s="8" t="n">
        <v>0</v>
      </c>
      <c r="N18" s="5" t="n">
        <v>2</v>
      </c>
      <c r="O18" s="9" t="s">
        <v>285</v>
      </c>
      <c r="P18" s="5" t="s">
        <v>144</v>
      </c>
      <c r="Q18" s="9" t="s">
        <v>367</v>
      </c>
    </row>
    <row r="19" customFormat="false" ht="15" hidden="false" customHeight="false" outlineLevel="0" collapsed="false">
      <c r="A19" s="9" t="s">
        <v>340</v>
      </c>
      <c r="B19" s="21" t="n">
        <v>155.7</v>
      </c>
      <c r="C19" s="25" t="s">
        <v>154</v>
      </c>
      <c r="D19" s="8" t="n">
        <v>0</v>
      </c>
      <c r="E19" s="21" t="n">
        <f aca="false">ROUND(B19*D19,1)</f>
        <v>0</v>
      </c>
      <c r="F19" s="21" t="n">
        <f aca="false">B19-E19</f>
        <v>155.7</v>
      </c>
      <c r="G19" s="23" t="n">
        <v>12</v>
      </c>
      <c r="H19" s="9" t="s">
        <v>140</v>
      </c>
      <c r="I19" s="24" t="n">
        <v>8</v>
      </c>
      <c r="J19" s="6" t="n">
        <f aca="false">ROUND(F19*I19,0)</f>
        <v>1246</v>
      </c>
      <c r="K19" s="5" t="s">
        <v>141</v>
      </c>
      <c r="L19" s="5" t="s">
        <v>150</v>
      </c>
      <c r="M19" s="8" t="n">
        <v>0.5</v>
      </c>
      <c r="N19" s="5" t="n">
        <v>1</v>
      </c>
      <c r="O19" s="9" t="s">
        <v>155</v>
      </c>
      <c r="P19" s="5" t="s">
        <v>144</v>
      </c>
      <c r="Q19" s="9" t="s">
        <v>367</v>
      </c>
    </row>
    <row r="20" customFormat="false" ht="15" hidden="false" customHeight="false" outlineLevel="0" collapsed="false">
      <c r="A20" s="9" t="s">
        <v>312</v>
      </c>
      <c r="B20" s="21" t="n">
        <v>820.7</v>
      </c>
      <c r="C20" s="25" t="s">
        <v>154</v>
      </c>
      <c r="D20" s="8" t="n">
        <v>0</v>
      </c>
      <c r="E20" s="21" t="n">
        <f aca="false">ROUND(B20*D20,1)</f>
        <v>0</v>
      </c>
      <c r="F20" s="21" t="n">
        <f aca="false">B20-E20</f>
        <v>820.7</v>
      </c>
      <c r="G20" s="23" t="n">
        <v>12</v>
      </c>
      <c r="H20" s="9" t="s">
        <v>140</v>
      </c>
      <c r="I20" s="24" t="n">
        <v>8</v>
      </c>
      <c r="J20" s="6" t="n">
        <f aca="false">ROUND(F20*I20,0)</f>
        <v>6566</v>
      </c>
      <c r="K20" s="5" t="s">
        <v>141</v>
      </c>
      <c r="L20" s="5" t="s">
        <v>174</v>
      </c>
      <c r="M20" s="8" t="n">
        <v>0</v>
      </c>
      <c r="N20" s="5" t="n">
        <v>2</v>
      </c>
      <c r="O20" s="9" t="s">
        <v>291</v>
      </c>
      <c r="P20" s="5" t="s">
        <v>144</v>
      </c>
      <c r="Q20" s="9" t="s">
        <v>367</v>
      </c>
    </row>
    <row r="21" customFormat="false" ht="15" hidden="false" customHeight="false" outlineLevel="0" collapsed="false">
      <c r="A21" s="9" t="s">
        <v>342</v>
      </c>
      <c r="B21" s="21" t="n">
        <v>157.5</v>
      </c>
      <c r="C21" s="25" t="s">
        <v>154</v>
      </c>
      <c r="D21" s="8" t="n">
        <v>0</v>
      </c>
      <c r="E21" s="21" t="n">
        <f aca="false">ROUND(B21*D21,1)</f>
        <v>0</v>
      </c>
      <c r="F21" s="21" t="n">
        <f aca="false">B21-E21</f>
        <v>157.5</v>
      </c>
      <c r="G21" s="23" t="n">
        <v>12</v>
      </c>
      <c r="H21" s="9" t="s">
        <v>140</v>
      </c>
      <c r="I21" s="24" t="n">
        <v>8</v>
      </c>
      <c r="J21" s="6" t="n">
        <f aca="false">ROUND(F21*I21,0)</f>
        <v>1260</v>
      </c>
      <c r="K21" s="5" t="s">
        <v>141</v>
      </c>
      <c r="L21" s="5" t="s">
        <v>174</v>
      </c>
      <c r="M21" s="8" t="n">
        <v>0</v>
      </c>
      <c r="N21" s="5" t="n">
        <v>1</v>
      </c>
      <c r="O21" s="9" t="s">
        <v>155</v>
      </c>
      <c r="P21" s="5" t="s">
        <v>144</v>
      </c>
      <c r="Q21" s="9" t="s">
        <v>367</v>
      </c>
    </row>
    <row r="22" customFormat="false" ht="15" hidden="false" customHeight="false" outlineLevel="0" collapsed="false">
      <c r="A22" s="9" t="s">
        <v>373</v>
      </c>
      <c r="B22" s="21" t="n">
        <v>337.3</v>
      </c>
      <c r="C22" s="22" t="s">
        <v>139</v>
      </c>
      <c r="D22" s="8" t="n">
        <v>1</v>
      </c>
      <c r="E22" s="21" t="n">
        <f aca="false">ROUND(B22*D22,1)</f>
        <v>337.3</v>
      </c>
      <c r="F22" s="21" t="n">
        <f aca="false">B22-E22</f>
        <v>0</v>
      </c>
      <c r="G22" s="23" t="n">
        <v>12</v>
      </c>
      <c r="H22" s="9" t="s">
        <v>140</v>
      </c>
      <c r="I22" s="24" t="n">
        <v>8</v>
      </c>
      <c r="J22" s="6" t="n">
        <f aca="false">ROUND(F22*I22,0)</f>
        <v>0</v>
      </c>
      <c r="K22" s="5" t="s">
        <v>141</v>
      </c>
      <c r="L22" s="5" t="s">
        <v>174</v>
      </c>
      <c r="M22" s="8" t="n">
        <v>0</v>
      </c>
      <c r="N22" s="5" t="n">
        <v>1</v>
      </c>
      <c r="O22" s="9" t="s">
        <v>151</v>
      </c>
      <c r="P22" s="5" t="s">
        <v>144</v>
      </c>
      <c r="Q22" s="9" t="s">
        <v>367</v>
      </c>
    </row>
    <row r="23" customFormat="false" ht="15" hidden="false" customHeight="false" outlineLevel="0" collapsed="false">
      <c r="A23" s="9" t="s">
        <v>374</v>
      </c>
      <c r="B23" s="21" t="n">
        <v>432</v>
      </c>
      <c r="C23" s="25" t="s">
        <v>154</v>
      </c>
      <c r="D23" s="8" t="n">
        <v>0</v>
      </c>
      <c r="E23" s="21" t="n">
        <f aca="false">ROUND(B23*D23,1)</f>
        <v>0</v>
      </c>
      <c r="F23" s="21" t="n">
        <f aca="false">B23-E23</f>
        <v>432</v>
      </c>
      <c r="G23" s="23" t="n">
        <v>12</v>
      </c>
      <c r="H23" s="9" t="s">
        <v>140</v>
      </c>
      <c r="I23" s="24" t="n">
        <v>8</v>
      </c>
      <c r="J23" s="6" t="n">
        <f aca="false">ROUND(F23*I23,0)</f>
        <v>3456</v>
      </c>
      <c r="K23" s="5" t="s">
        <v>141</v>
      </c>
      <c r="L23" s="5" t="s">
        <v>174</v>
      </c>
      <c r="M23" s="8" t="n">
        <v>0</v>
      </c>
      <c r="N23" s="5" t="n">
        <v>1</v>
      </c>
      <c r="O23" s="9" t="s">
        <v>155</v>
      </c>
      <c r="P23" s="5" t="s">
        <v>144</v>
      </c>
      <c r="Q23" s="9" t="s">
        <v>367</v>
      </c>
    </row>
    <row r="24" customFormat="false" ht="15" hidden="false" customHeight="false" outlineLevel="0" collapsed="false">
      <c r="A24" s="9" t="s">
        <v>343</v>
      </c>
      <c r="B24" s="21" t="n">
        <v>196.1</v>
      </c>
      <c r="C24" s="22" t="s">
        <v>139</v>
      </c>
      <c r="D24" s="8" t="n">
        <v>1</v>
      </c>
      <c r="E24" s="21" t="n">
        <f aca="false">ROUND(B24*D24,1)</f>
        <v>196.1</v>
      </c>
      <c r="F24" s="21" t="n">
        <f aca="false">B24-E24</f>
        <v>0</v>
      </c>
      <c r="G24" s="23" t="n">
        <v>12</v>
      </c>
      <c r="H24" s="9" t="s">
        <v>140</v>
      </c>
      <c r="I24" s="24" t="n">
        <v>8</v>
      </c>
      <c r="J24" s="6" t="n">
        <f aca="false">ROUND(F24*I24,0)</f>
        <v>0</v>
      </c>
      <c r="K24" s="5" t="s">
        <v>141</v>
      </c>
      <c r="L24" s="5" t="s">
        <v>174</v>
      </c>
      <c r="M24" s="8" t="n">
        <v>0</v>
      </c>
      <c r="N24" s="5" t="n">
        <v>1</v>
      </c>
      <c r="O24" s="9" t="s">
        <v>151</v>
      </c>
      <c r="P24" s="5" t="s">
        <v>144</v>
      </c>
      <c r="Q24" s="9" t="s">
        <v>367</v>
      </c>
    </row>
    <row r="25" customFormat="false" ht="15" hidden="false" customHeight="false" outlineLevel="0" collapsed="false">
      <c r="A25" s="9" t="s">
        <v>286</v>
      </c>
      <c r="B25" s="21" t="n">
        <v>375</v>
      </c>
      <c r="C25" s="25" t="s">
        <v>154</v>
      </c>
      <c r="D25" s="8" t="n">
        <v>0</v>
      </c>
      <c r="E25" s="21" t="n">
        <f aca="false">ROUND(B25*D25,1)</f>
        <v>0</v>
      </c>
      <c r="F25" s="21" t="n">
        <f aca="false">B25-E25</f>
        <v>375</v>
      </c>
      <c r="G25" s="23" t="n">
        <v>12</v>
      </c>
      <c r="H25" s="9" t="s">
        <v>140</v>
      </c>
      <c r="I25" s="24" t="n">
        <v>8</v>
      </c>
      <c r="J25" s="6" t="n">
        <f aca="false">ROUND(F25*I25,0)</f>
        <v>3000</v>
      </c>
      <c r="K25" s="5" t="s">
        <v>141</v>
      </c>
      <c r="L25" s="5" t="s">
        <v>150</v>
      </c>
      <c r="M25" s="8" t="n">
        <v>0.5</v>
      </c>
      <c r="N25" s="5" t="n">
        <v>1</v>
      </c>
      <c r="O25" s="9" t="s">
        <v>155</v>
      </c>
      <c r="P25" s="5" t="s">
        <v>144</v>
      </c>
      <c r="Q25" s="9" t="s">
        <v>367</v>
      </c>
    </row>
    <row r="26" customFormat="false" ht="15" hidden="false" customHeight="false" outlineLevel="0" collapsed="false">
      <c r="A26" s="9" t="s">
        <v>297</v>
      </c>
      <c r="B26" s="21" t="n">
        <v>631.3</v>
      </c>
      <c r="C26" s="25" t="s">
        <v>154</v>
      </c>
      <c r="D26" s="8" t="n">
        <v>0</v>
      </c>
      <c r="E26" s="21" t="n">
        <f aca="false">ROUND(B26*D26,1)</f>
        <v>0</v>
      </c>
      <c r="F26" s="21" t="n">
        <f aca="false">B26-E26</f>
        <v>631.3</v>
      </c>
      <c r="G26" s="23" t="n">
        <v>12</v>
      </c>
      <c r="H26" s="9" t="s">
        <v>140</v>
      </c>
      <c r="I26" s="24" t="n">
        <v>8</v>
      </c>
      <c r="J26" s="6" t="n">
        <f aca="false">ROUND(F26*I26,0)</f>
        <v>5050</v>
      </c>
      <c r="K26" s="5" t="s">
        <v>141</v>
      </c>
      <c r="L26" s="5" t="s">
        <v>174</v>
      </c>
      <c r="M26" s="8" t="n">
        <v>0</v>
      </c>
      <c r="N26" s="5" t="n">
        <v>2</v>
      </c>
      <c r="O26" s="9" t="s">
        <v>291</v>
      </c>
      <c r="P26" s="5" t="s">
        <v>144</v>
      </c>
      <c r="Q26" s="9" t="s">
        <v>367</v>
      </c>
    </row>
    <row r="27" customFormat="false" ht="15" hidden="false" customHeight="false" outlineLevel="0" collapsed="false">
      <c r="A27" s="9" t="s">
        <v>375</v>
      </c>
      <c r="B27" s="21" t="n">
        <v>345.4</v>
      </c>
      <c r="C27" s="25" t="s">
        <v>154</v>
      </c>
      <c r="D27" s="8" t="n">
        <v>0</v>
      </c>
      <c r="E27" s="21" t="n">
        <f aca="false">ROUND(B27*D27,1)</f>
        <v>0</v>
      </c>
      <c r="F27" s="21" t="n">
        <f aca="false">B27-E27</f>
        <v>345.4</v>
      </c>
      <c r="G27" s="23" t="n">
        <v>12</v>
      </c>
      <c r="H27" s="9" t="s">
        <v>140</v>
      </c>
      <c r="I27" s="24" t="n">
        <v>8</v>
      </c>
      <c r="J27" s="6" t="n">
        <f aca="false">ROUND(F27*I27,0)</f>
        <v>2763</v>
      </c>
      <c r="K27" s="5" t="s">
        <v>141</v>
      </c>
      <c r="L27" s="5" t="s">
        <v>174</v>
      </c>
      <c r="M27" s="8" t="n">
        <v>0</v>
      </c>
      <c r="N27" s="5" t="n">
        <v>1</v>
      </c>
      <c r="O27" s="9" t="s">
        <v>155</v>
      </c>
      <c r="P27" s="5" t="s">
        <v>144</v>
      </c>
      <c r="Q27" s="9" t="s">
        <v>367</v>
      </c>
    </row>
    <row r="28" customFormat="false" ht="15" hidden="false" customHeight="false" outlineLevel="0" collapsed="false">
      <c r="A28" s="9" t="s">
        <v>290</v>
      </c>
      <c r="B28" s="21" t="n">
        <v>798.7</v>
      </c>
      <c r="C28" s="25" t="s">
        <v>154</v>
      </c>
      <c r="D28" s="8" t="n">
        <v>0</v>
      </c>
      <c r="E28" s="21" t="n">
        <f aca="false">ROUND(B28*D28,1)</f>
        <v>0</v>
      </c>
      <c r="F28" s="21" t="n">
        <f aca="false">B28-E28</f>
        <v>798.7</v>
      </c>
      <c r="G28" s="23" t="n">
        <v>12</v>
      </c>
      <c r="H28" s="9" t="s">
        <v>140</v>
      </c>
      <c r="I28" s="24" t="n">
        <v>8</v>
      </c>
      <c r="J28" s="6" t="n">
        <f aca="false">ROUND(F28*I28,0)</f>
        <v>6390</v>
      </c>
      <c r="K28" s="5" t="s">
        <v>141</v>
      </c>
      <c r="L28" s="5" t="s">
        <v>174</v>
      </c>
      <c r="M28" s="8" t="n">
        <v>0</v>
      </c>
      <c r="N28" s="5" t="n">
        <v>2</v>
      </c>
      <c r="O28" s="9" t="s">
        <v>291</v>
      </c>
      <c r="P28" s="5" t="s">
        <v>144</v>
      </c>
      <c r="Q28" s="9" t="s">
        <v>367</v>
      </c>
    </row>
    <row r="29" customFormat="false" ht="15" hidden="false" customHeight="false" outlineLevel="0" collapsed="false">
      <c r="A29" s="9" t="s">
        <v>299</v>
      </c>
      <c r="B29" s="21" t="n">
        <v>156.7</v>
      </c>
      <c r="C29" s="25" t="s">
        <v>154</v>
      </c>
      <c r="D29" s="8" t="n">
        <v>0</v>
      </c>
      <c r="E29" s="21" t="n">
        <f aca="false">ROUND(B29*D29,1)</f>
        <v>0</v>
      </c>
      <c r="F29" s="21" t="n">
        <f aca="false">B29-E29</f>
        <v>156.7</v>
      </c>
      <c r="G29" s="23" t="n">
        <v>12</v>
      </c>
      <c r="H29" s="9" t="s">
        <v>140</v>
      </c>
      <c r="I29" s="24" t="n">
        <v>8</v>
      </c>
      <c r="J29" s="6" t="n">
        <f aca="false">ROUND(F29*I29,0)</f>
        <v>1254</v>
      </c>
      <c r="K29" s="5" t="s">
        <v>141</v>
      </c>
      <c r="L29" s="5" t="s">
        <v>174</v>
      </c>
      <c r="M29" s="8" t="n">
        <v>0</v>
      </c>
      <c r="N29" s="5" t="n">
        <v>1</v>
      </c>
      <c r="O29" s="9" t="s">
        <v>155</v>
      </c>
      <c r="P29" s="5" t="s">
        <v>144</v>
      </c>
      <c r="Q29" s="9" t="s">
        <v>367</v>
      </c>
    </row>
    <row r="30" customFormat="false" ht="15" hidden="false" customHeight="false" outlineLevel="0" collapsed="false">
      <c r="A30" s="9" t="s">
        <v>181</v>
      </c>
      <c r="B30" s="21" t="n">
        <v>723.3</v>
      </c>
      <c r="C30" s="25" t="s">
        <v>154</v>
      </c>
      <c r="D30" s="8" t="n">
        <v>0</v>
      </c>
      <c r="E30" s="21" t="n">
        <f aca="false">ROUND(B30*D30,1)</f>
        <v>0</v>
      </c>
      <c r="F30" s="21" t="n">
        <f aca="false">B30-E30</f>
        <v>723.3</v>
      </c>
      <c r="G30" s="23" t="n">
        <v>12</v>
      </c>
      <c r="H30" s="9" t="s">
        <v>140</v>
      </c>
      <c r="I30" s="24" t="n">
        <v>8</v>
      </c>
      <c r="J30" s="6" t="n">
        <f aca="false">ROUND(F30*I30,0)</f>
        <v>5786</v>
      </c>
      <c r="K30" s="5" t="s">
        <v>141</v>
      </c>
      <c r="L30" s="5" t="s">
        <v>174</v>
      </c>
      <c r="M30" s="8" t="n">
        <v>0</v>
      </c>
      <c r="N30" s="5" t="n">
        <v>2</v>
      </c>
      <c r="O30" s="9" t="s">
        <v>291</v>
      </c>
      <c r="P30" s="5" t="s">
        <v>144</v>
      </c>
      <c r="Q30" s="9" t="s">
        <v>367</v>
      </c>
    </row>
    <row r="31" customFormat="false" ht="15" hidden="false" customHeight="false" outlineLevel="0" collapsed="false">
      <c r="A31" s="9" t="s">
        <v>346</v>
      </c>
      <c r="B31" s="21" t="n">
        <v>154.8</v>
      </c>
      <c r="C31" s="25" t="s">
        <v>154</v>
      </c>
      <c r="D31" s="8" t="n">
        <v>0</v>
      </c>
      <c r="E31" s="21" t="n">
        <f aca="false">ROUND(B31*D31,1)</f>
        <v>0</v>
      </c>
      <c r="F31" s="21" t="n">
        <f aca="false">B31-E31</f>
        <v>154.8</v>
      </c>
      <c r="G31" s="23" t="n">
        <v>12</v>
      </c>
      <c r="H31" s="9" t="s">
        <v>140</v>
      </c>
      <c r="I31" s="24" t="n">
        <v>8</v>
      </c>
      <c r="J31" s="6" t="n">
        <f aca="false">ROUND(F31*I31,0)</f>
        <v>1238</v>
      </c>
      <c r="K31" s="5" t="s">
        <v>141</v>
      </c>
      <c r="L31" s="5" t="s">
        <v>174</v>
      </c>
      <c r="M31" s="8" t="n">
        <v>0</v>
      </c>
      <c r="N31" s="5" t="n">
        <v>1</v>
      </c>
      <c r="O31" s="9" t="s">
        <v>155</v>
      </c>
      <c r="P31" s="5" t="s">
        <v>144</v>
      </c>
      <c r="Q31" s="9" t="s">
        <v>367</v>
      </c>
    </row>
    <row r="32" customFormat="false" ht="15" hidden="false" customHeight="false" outlineLevel="0" collapsed="false">
      <c r="A32" s="9" t="s">
        <v>292</v>
      </c>
      <c r="B32" s="21" t="n">
        <v>181.6</v>
      </c>
      <c r="C32" s="25" t="s">
        <v>154</v>
      </c>
      <c r="D32" s="8" t="n">
        <v>0</v>
      </c>
      <c r="E32" s="21" t="n">
        <f aca="false">ROUND(B32*D32,1)</f>
        <v>0</v>
      </c>
      <c r="F32" s="21" t="n">
        <f aca="false">B32-E32</f>
        <v>181.6</v>
      </c>
      <c r="G32" s="23" t="n">
        <v>12</v>
      </c>
      <c r="H32" s="9" t="s">
        <v>140</v>
      </c>
      <c r="I32" s="24" t="n">
        <v>8</v>
      </c>
      <c r="J32" s="6" t="n">
        <f aca="false">ROUND(F32*I32,0)</f>
        <v>1453</v>
      </c>
      <c r="K32" s="5" t="s">
        <v>141</v>
      </c>
      <c r="L32" s="5" t="s">
        <v>174</v>
      </c>
      <c r="M32" s="8" t="n">
        <v>0</v>
      </c>
      <c r="N32" s="5" t="n">
        <v>1</v>
      </c>
      <c r="O32" s="9" t="s">
        <v>155</v>
      </c>
      <c r="P32" s="5" t="s">
        <v>144</v>
      </c>
      <c r="Q32" s="9" t="s">
        <v>367</v>
      </c>
    </row>
    <row r="33" customFormat="false" ht="15" hidden="false" customHeight="false" outlineLevel="0" collapsed="false">
      <c r="A33" s="9" t="s">
        <v>295</v>
      </c>
      <c r="B33" s="21" t="n">
        <v>827.5</v>
      </c>
      <c r="C33" s="25" t="s">
        <v>154</v>
      </c>
      <c r="D33" s="8" t="n">
        <v>0</v>
      </c>
      <c r="E33" s="21" t="n">
        <f aca="false">ROUND(B33*D33,1)</f>
        <v>0</v>
      </c>
      <c r="F33" s="21" t="n">
        <f aca="false">B33-E33</f>
        <v>827.5</v>
      </c>
      <c r="G33" s="23" t="n">
        <v>12</v>
      </c>
      <c r="H33" s="9" t="s">
        <v>140</v>
      </c>
      <c r="I33" s="24" t="n">
        <v>8</v>
      </c>
      <c r="J33" s="6" t="n">
        <f aca="false">ROUND(F33*I33,0)</f>
        <v>6620</v>
      </c>
      <c r="K33" s="5" t="s">
        <v>141</v>
      </c>
      <c r="L33" s="5" t="s">
        <v>174</v>
      </c>
      <c r="M33" s="8" t="n">
        <v>0</v>
      </c>
      <c r="N33" s="5" t="n">
        <v>2</v>
      </c>
      <c r="O33" s="9" t="s">
        <v>291</v>
      </c>
      <c r="P33" s="5" t="s">
        <v>144</v>
      </c>
      <c r="Q33" s="9" t="s">
        <v>367</v>
      </c>
    </row>
    <row r="34" customFormat="false" ht="15" hidden="false" customHeight="false" outlineLevel="0" collapsed="false">
      <c r="A34" s="9" t="s">
        <v>313</v>
      </c>
      <c r="B34" s="21" t="n">
        <v>723.3</v>
      </c>
      <c r="C34" s="25" t="s">
        <v>154</v>
      </c>
      <c r="D34" s="8" t="n">
        <v>0</v>
      </c>
      <c r="E34" s="21" t="n">
        <f aca="false">ROUND(B34*D34,1)</f>
        <v>0</v>
      </c>
      <c r="F34" s="21" t="n">
        <f aca="false">B34-E34</f>
        <v>723.3</v>
      </c>
      <c r="G34" s="23" t="n">
        <v>12</v>
      </c>
      <c r="H34" s="9" t="s">
        <v>140</v>
      </c>
      <c r="I34" s="24" t="n">
        <v>8</v>
      </c>
      <c r="J34" s="6" t="n">
        <f aca="false">ROUND(F34*I34,0)</f>
        <v>5786</v>
      </c>
      <c r="K34" s="5" t="s">
        <v>141</v>
      </c>
      <c r="L34" s="5" t="s">
        <v>150</v>
      </c>
      <c r="M34" s="8" t="n">
        <v>0.25</v>
      </c>
      <c r="N34" s="5" t="n">
        <v>2</v>
      </c>
      <c r="O34" s="9" t="s">
        <v>291</v>
      </c>
      <c r="P34" s="5" t="s">
        <v>144</v>
      </c>
      <c r="Q34" s="9" t="s">
        <v>367</v>
      </c>
    </row>
    <row r="35" customFormat="false" ht="15" hidden="false" customHeight="false" outlineLevel="0" collapsed="false">
      <c r="A35" s="9" t="s">
        <v>149</v>
      </c>
      <c r="B35" s="21" t="n">
        <v>194.1</v>
      </c>
      <c r="C35" s="25" t="s">
        <v>154</v>
      </c>
      <c r="D35" s="8" t="n">
        <v>0</v>
      </c>
      <c r="E35" s="21" t="n">
        <f aca="false">ROUND(B35*D35,1)</f>
        <v>0</v>
      </c>
      <c r="F35" s="21" t="n">
        <f aca="false">B35-E35</f>
        <v>194.1</v>
      </c>
      <c r="G35" s="23" t="n">
        <v>12</v>
      </c>
      <c r="H35" s="9" t="s">
        <v>140</v>
      </c>
      <c r="I35" s="24" t="n">
        <v>8</v>
      </c>
      <c r="J35" s="6" t="n">
        <f aca="false">ROUND(F35*I35,0)</f>
        <v>1553</v>
      </c>
      <c r="K35" s="5" t="s">
        <v>141</v>
      </c>
      <c r="L35" s="5" t="s">
        <v>174</v>
      </c>
      <c r="M35" s="8" t="n">
        <v>0</v>
      </c>
      <c r="N35" s="5" t="n">
        <v>1</v>
      </c>
      <c r="O35" s="9" t="s">
        <v>155</v>
      </c>
      <c r="P35" s="5" t="s">
        <v>144</v>
      </c>
      <c r="Q35" s="9" t="s">
        <v>367</v>
      </c>
    </row>
    <row r="36" customFormat="false" ht="15" hidden="false" customHeight="false" outlineLevel="0" collapsed="false">
      <c r="A36" s="9" t="s">
        <v>376</v>
      </c>
      <c r="B36" s="21" t="n">
        <v>432.8</v>
      </c>
      <c r="C36" s="25" t="s">
        <v>154</v>
      </c>
      <c r="D36" s="8" t="n">
        <v>0</v>
      </c>
      <c r="E36" s="21" t="n">
        <f aca="false">ROUND(B36*D36,1)</f>
        <v>0</v>
      </c>
      <c r="F36" s="21" t="n">
        <f aca="false">B36-E36</f>
        <v>432.8</v>
      </c>
      <c r="G36" s="23" t="n">
        <v>12</v>
      </c>
      <c r="H36" s="9" t="s">
        <v>140</v>
      </c>
      <c r="I36" s="24" t="n">
        <v>8</v>
      </c>
      <c r="J36" s="6" t="n">
        <f aca="false">ROUND(F36*I36,0)</f>
        <v>3462</v>
      </c>
      <c r="K36" s="5" t="s">
        <v>141</v>
      </c>
      <c r="L36" s="5" t="s">
        <v>174</v>
      </c>
      <c r="M36" s="8" t="n">
        <v>0</v>
      </c>
      <c r="N36" s="5" t="n">
        <v>1</v>
      </c>
      <c r="O36" s="9" t="s">
        <v>175</v>
      </c>
      <c r="P36" s="5" t="s">
        <v>144</v>
      </c>
      <c r="Q36" s="9" t="s">
        <v>367</v>
      </c>
    </row>
    <row r="37" customFormat="false" ht="15" hidden="false" customHeight="false" outlineLevel="0" collapsed="false">
      <c r="A37" s="9" t="s">
        <v>348</v>
      </c>
      <c r="B37" s="21" t="n">
        <v>155.7</v>
      </c>
      <c r="C37" s="25" t="s">
        <v>154</v>
      </c>
      <c r="D37" s="8" t="n">
        <v>0</v>
      </c>
      <c r="E37" s="21" t="n">
        <f aca="false">ROUND(B37*D37,1)</f>
        <v>0</v>
      </c>
      <c r="F37" s="21" t="n">
        <f aca="false">B37-E37</f>
        <v>155.7</v>
      </c>
      <c r="G37" s="23" t="n">
        <v>12</v>
      </c>
      <c r="H37" s="9" t="s">
        <v>140</v>
      </c>
      <c r="I37" s="24" t="n">
        <v>8</v>
      </c>
      <c r="J37" s="6" t="n">
        <f aca="false">ROUND(F37*I37,0)</f>
        <v>1246</v>
      </c>
      <c r="K37" s="5" t="s">
        <v>141</v>
      </c>
      <c r="L37" s="5" t="s">
        <v>150</v>
      </c>
      <c r="M37" s="8" t="n">
        <v>0.5</v>
      </c>
      <c r="N37" s="5" t="n">
        <v>1</v>
      </c>
      <c r="O37" s="9" t="s">
        <v>155</v>
      </c>
      <c r="P37" s="5" t="s">
        <v>144</v>
      </c>
      <c r="Q37" s="9" t="s">
        <v>367</v>
      </c>
    </row>
    <row r="38" customFormat="false" ht="15" hidden="false" customHeight="false" outlineLevel="0" collapsed="false">
      <c r="A38" s="9" t="s">
        <v>349</v>
      </c>
      <c r="B38" s="21" t="n">
        <v>152.5</v>
      </c>
      <c r="C38" s="25" t="s">
        <v>154</v>
      </c>
      <c r="D38" s="8" t="n">
        <v>0</v>
      </c>
      <c r="E38" s="21" t="n">
        <f aca="false">ROUND(B38*D38,1)</f>
        <v>0</v>
      </c>
      <c r="F38" s="21" t="n">
        <f aca="false">B38-E38</f>
        <v>152.5</v>
      </c>
      <c r="G38" s="23" t="n">
        <v>12</v>
      </c>
      <c r="H38" s="9" t="s">
        <v>140</v>
      </c>
      <c r="I38" s="24" t="n">
        <v>8</v>
      </c>
      <c r="J38" s="6" t="n">
        <f aca="false">ROUND(F38*I38,0)</f>
        <v>1220</v>
      </c>
      <c r="K38" s="5" t="s">
        <v>141</v>
      </c>
      <c r="L38" s="5" t="s">
        <v>150</v>
      </c>
      <c r="M38" s="8" t="n">
        <v>0.5</v>
      </c>
      <c r="N38" s="5" t="n">
        <v>1</v>
      </c>
      <c r="O38" s="9" t="s">
        <v>155</v>
      </c>
      <c r="P38" s="5" t="s">
        <v>144</v>
      </c>
      <c r="Q38" s="9" t="s">
        <v>367</v>
      </c>
    </row>
    <row r="39" customFormat="false" ht="15" hidden="false" customHeight="false" outlineLevel="0" collapsed="false">
      <c r="A39" s="9" t="s">
        <v>350</v>
      </c>
      <c r="B39" s="21" t="n">
        <v>154.7</v>
      </c>
      <c r="C39" s="25" t="s">
        <v>154</v>
      </c>
      <c r="D39" s="8" t="n">
        <v>0</v>
      </c>
      <c r="E39" s="21" t="n">
        <f aca="false">ROUND(B39*D39,1)</f>
        <v>0</v>
      </c>
      <c r="F39" s="21" t="n">
        <f aca="false">B39-E39</f>
        <v>154.7</v>
      </c>
      <c r="G39" s="23" t="n">
        <v>12</v>
      </c>
      <c r="H39" s="9" t="s">
        <v>140</v>
      </c>
      <c r="I39" s="24" t="n">
        <v>8</v>
      </c>
      <c r="J39" s="6" t="n">
        <f aca="false">ROUND(F39*I39,0)</f>
        <v>1238</v>
      </c>
      <c r="K39" s="5" t="s">
        <v>141</v>
      </c>
      <c r="L39" s="5" t="s">
        <v>174</v>
      </c>
      <c r="M39" s="8" t="n">
        <v>0</v>
      </c>
      <c r="N39" s="5" t="n">
        <v>1</v>
      </c>
      <c r="O39" s="9" t="s">
        <v>155</v>
      </c>
      <c r="P39" s="5" t="s">
        <v>144</v>
      </c>
      <c r="Q39" s="9" t="s">
        <v>367</v>
      </c>
    </row>
    <row r="40" customFormat="false" ht="15" hidden="false" customHeight="false" outlineLevel="0" collapsed="false">
      <c r="A40" s="9" t="s">
        <v>351</v>
      </c>
      <c r="B40" s="21" t="n">
        <v>156.7</v>
      </c>
      <c r="C40" s="25" t="s">
        <v>154</v>
      </c>
      <c r="D40" s="8" t="n">
        <v>0</v>
      </c>
      <c r="E40" s="21" t="n">
        <f aca="false">ROUND(B40*D40,1)</f>
        <v>0</v>
      </c>
      <c r="F40" s="21" t="n">
        <f aca="false">B40-E40</f>
        <v>156.7</v>
      </c>
      <c r="G40" s="23" t="n">
        <v>12</v>
      </c>
      <c r="H40" s="9" t="s">
        <v>140</v>
      </c>
      <c r="I40" s="24" t="n">
        <v>8</v>
      </c>
      <c r="J40" s="6" t="n">
        <f aca="false">ROUND(F40*I40,0)</f>
        <v>1254</v>
      </c>
      <c r="K40" s="5" t="s">
        <v>141</v>
      </c>
      <c r="L40" s="5" t="s">
        <v>174</v>
      </c>
      <c r="M40" s="8" t="n">
        <v>0</v>
      </c>
      <c r="N40" s="5" t="n">
        <v>1</v>
      </c>
      <c r="O40" s="9" t="s">
        <v>155</v>
      </c>
      <c r="P40" s="5" t="s">
        <v>144</v>
      </c>
      <c r="Q40" s="9" t="s">
        <v>367</v>
      </c>
    </row>
    <row r="41" customFormat="false" ht="15" hidden="false" customHeight="false" outlineLevel="0" collapsed="false">
      <c r="A41" s="9" t="s">
        <v>353</v>
      </c>
      <c r="B41" s="21" t="n">
        <v>156.7</v>
      </c>
      <c r="C41" s="25" t="s">
        <v>154</v>
      </c>
      <c r="D41" s="8" t="n">
        <v>0</v>
      </c>
      <c r="E41" s="21" t="n">
        <f aca="false">ROUND(B41*D41,1)</f>
        <v>0</v>
      </c>
      <c r="F41" s="21" t="n">
        <f aca="false">B41-E41</f>
        <v>156.7</v>
      </c>
      <c r="G41" s="23" t="n">
        <v>12</v>
      </c>
      <c r="H41" s="9" t="s">
        <v>140</v>
      </c>
      <c r="I41" s="24" t="n">
        <v>8</v>
      </c>
      <c r="J41" s="6" t="n">
        <f aca="false">ROUND(F41*I41,0)</f>
        <v>1254</v>
      </c>
      <c r="K41" s="5" t="s">
        <v>141</v>
      </c>
      <c r="L41" s="5" t="s">
        <v>150</v>
      </c>
      <c r="M41" s="8" t="n">
        <v>0.5</v>
      </c>
      <c r="N41" s="5" t="n">
        <v>1</v>
      </c>
      <c r="O41" s="9" t="s">
        <v>155</v>
      </c>
      <c r="P41" s="5" t="s">
        <v>144</v>
      </c>
      <c r="Q41" s="9" t="s">
        <v>367</v>
      </c>
    </row>
    <row r="42" customFormat="false" ht="15" hidden="false" customHeight="false" outlineLevel="0" collapsed="false">
      <c r="A42" s="9" t="s">
        <v>344</v>
      </c>
      <c r="B42" s="21" t="n">
        <v>157.5</v>
      </c>
      <c r="C42" s="25" t="s">
        <v>154</v>
      </c>
      <c r="D42" s="8" t="n">
        <v>0</v>
      </c>
      <c r="E42" s="21" t="n">
        <f aca="false">ROUND(B42*D42,1)</f>
        <v>0</v>
      </c>
      <c r="F42" s="21" t="n">
        <f aca="false">B42-E42</f>
        <v>157.5</v>
      </c>
      <c r="G42" s="23" t="n">
        <v>12</v>
      </c>
      <c r="H42" s="9" t="s">
        <v>140</v>
      </c>
      <c r="I42" s="24" t="n">
        <v>8</v>
      </c>
      <c r="J42" s="6" t="n">
        <f aca="false">ROUND(F42*I42,0)</f>
        <v>1260</v>
      </c>
      <c r="K42" s="5" t="s">
        <v>141</v>
      </c>
      <c r="L42" s="5" t="s">
        <v>174</v>
      </c>
      <c r="M42" s="8" t="n">
        <v>0</v>
      </c>
      <c r="N42" s="5" t="n">
        <v>1</v>
      </c>
      <c r="O42" s="9" t="s">
        <v>155</v>
      </c>
      <c r="P42" s="5" t="s">
        <v>144</v>
      </c>
      <c r="Q42" s="9" t="s">
        <v>367</v>
      </c>
    </row>
    <row r="43" customFormat="false" ht="15" hidden="false" customHeight="false" outlineLevel="0" collapsed="false">
      <c r="A43" s="9" t="s">
        <v>165</v>
      </c>
      <c r="B43" s="21" t="n">
        <v>722.1</v>
      </c>
      <c r="C43" s="25" t="s">
        <v>154</v>
      </c>
      <c r="D43" s="8" t="n">
        <v>0</v>
      </c>
      <c r="E43" s="21" t="n">
        <f aca="false">ROUND(B43*D43,1)</f>
        <v>0</v>
      </c>
      <c r="F43" s="21" t="n">
        <f aca="false">B43-E43</f>
        <v>722.1</v>
      </c>
      <c r="G43" s="23" t="n">
        <v>12</v>
      </c>
      <c r="H43" s="9" t="s">
        <v>140</v>
      </c>
      <c r="I43" s="24" t="n">
        <v>8</v>
      </c>
      <c r="J43" s="6" t="n">
        <f aca="false">ROUND(F43*I43,0)</f>
        <v>5777</v>
      </c>
      <c r="K43" s="5" t="s">
        <v>141</v>
      </c>
      <c r="L43" s="5" t="s">
        <v>150</v>
      </c>
      <c r="M43" s="8" t="n">
        <v>0.5</v>
      </c>
      <c r="N43" s="5" t="n">
        <v>2</v>
      </c>
      <c r="O43" s="9" t="s">
        <v>291</v>
      </c>
      <c r="P43" s="5" t="s">
        <v>144</v>
      </c>
      <c r="Q43" s="9" t="s">
        <v>367</v>
      </c>
    </row>
    <row r="44" customFormat="false" ht="15" hidden="false" customHeight="false" outlineLevel="0" collapsed="false">
      <c r="A44" s="9" t="s">
        <v>284</v>
      </c>
      <c r="B44" s="21" t="n">
        <v>337.4</v>
      </c>
      <c r="C44" s="25" t="s">
        <v>154</v>
      </c>
      <c r="D44" s="8" t="n">
        <v>0</v>
      </c>
      <c r="E44" s="21" t="n">
        <f aca="false">ROUND(B44*D44,1)</f>
        <v>0</v>
      </c>
      <c r="F44" s="21" t="n">
        <f aca="false">B44-E44</f>
        <v>337.4</v>
      </c>
      <c r="G44" s="23" t="n">
        <v>12</v>
      </c>
      <c r="H44" s="9" t="s">
        <v>140</v>
      </c>
      <c r="I44" s="24" t="n">
        <v>8</v>
      </c>
      <c r="J44" s="6" t="n">
        <f aca="false">ROUND(F44*I44,0)</f>
        <v>2699</v>
      </c>
      <c r="K44" s="5" t="s">
        <v>141</v>
      </c>
      <c r="L44" s="5" t="s">
        <v>174</v>
      </c>
      <c r="M44" s="8" t="n">
        <v>0</v>
      </c>
      <c r="N44" s="5" t="n">
        <v>1</v>
      </c>
      <c r="O44" s="9" t="s">
        <v>175</v>
      </c>
      <c r="P44" s="5" t="s">
        <v>144</v>
      </c>
      <c r="Q44" s="9" t="s">
        <v>367</v>
      </c>
    </row>
    <row r="45" customFormat="false" ht="15" hidden="false" customHeight="false" outlineLevel="0" collapsed="false">
      <c r="A45" s="9" t="s">
        <v>354</v>
      </c>
      <c r="B45" s="21" t="n">
        <v>156.7</v>
      </c>
      <c r="C45" s="25" t="s">
        <v>154</v>
      </c>
      <c r="D45" s="8" t="n">
        <v>0</v>
      </c>
      <c r="E45" s="21" t="n">
        <f aca="false">ROUND(B45*D45,1)</f>
        <v>0</v>
      </c>
      <c r="F45" s="21" t="n">
        <f aca="false">B45-E45</f>
        <v>156.7</v>
      </c>
      <c r="G45" s="23" t="n">
        <v>12</v>
      </c>
      <c r="H45" s="9" t="s">
        <v>140</v>
      </c>
      <c r="I45" s="24" t="n">
        <v>8</v>
      </c>
      <c r="J45" s="6" t="n">
        <f aca="false">ROUND(F45*I45,0)</f>
        <v>1254</v>
      </c>
      <c r="K45" s="5" t="s">
        <v>141</v>
      </c>
      <c r="L45" s="5" t="s">
        <v>150</v>
      </c>
      <c r="M45" s="8" t="n">
        <v>0.5</v>
      </c>
      <c r="N45" s="5" t="n">
        <v>1</v>
      </c>
      <c r="O45" s="9" t="s">
        <v>175</v>
      </c>
      <c r="P45" s="5" t="s">
        <v>144</v>
      </c>
      <c r="Q45" s="9" t="s">
        <v>367</v>
      </c>
    </row>
    <row r="46" customFormat="false" ht="15" hidden="false" customHeight="false" outlineLevel="0" collapsed="false">
      <c r="A46" s="9" t="s">
        <v>303</v>
      </c>
      <c r="B46" s="21" t="n">
        <v>793</v>
      </c>
      <c r="C46" s="25" t="s">
        <v>154</v>
      </c>
      <c r="D46" s="8" t="n">
        <v>0</v>
      </c>
      <c r="E46" s="21" t="n">
        <f aca="false">ROUND(B46*D46,1)</f>
        <v>0</v>
      </c>
      <c r="F46" s="21" t="n">
        <f aca="false">B46-E46</f>
        <v>793</v>
      </c>
      <c r="G46" s="23" t="n">
        <v>12</v>
      </c>
      <c r="H46" s="9" t="s">
        <v>140</v>
      </c>
      <c r="I46" s="24" t="n">
        <v>8</v>
      </c>
      <c r="J46" s="6" t="n">
        <f aca="false">ROUND(F46*I46,0)</f>
        <v>6344</v>
      </c>
      <c r="K46" s="5" t="s">
        <v>141</v>
      </c>
      <c r="L46" s="5" t="s">
        <v>150</v>
      </c>
      <c r="M46" s="8" t="n">
        <v>0.25</v>
      </c>
      <c r="N46" s="5" t="n">
        <v>2</v>
      </c>
      <c r="O46" s="9" t="s">
        <v>285</v>
      </c>
      <c r="P46" s="5" t="s">
        <v>144</v>
      </c>
      <c r="Q46" s="9" t="s">
        <v>367</v>
      </c>
    </row>
    <row r="47" customFormat="false" ht="15" hidden="false" customHeight="false" outlineLevel="0" collapsed="false">
      <c r="A47" s="9" t="s">
        <v>163</v>
      </c>
      <c r="B47" s="21" t="n">
        <v>719.9</v>
      </c>
      <c r="C47" s="26" t="s">
        <v>150</v>
      </c>
      <c r="D47" s="8" t="n">
        <v>0.5</v>
      </c>
      <c r="E47" s="21" t="n">
        <f aca="false">ROUND(B47*D47,1)</f>
        <v>360</v>
      </c>
      <c r="F47" s="21" t="n">
        <f aca="false">B47-E47</f>
        <v>359.9</v>
      </c>
      <c r="G47" s="23" t="n">
        <v>12</v>
      </c>
      <c r="H47" s="9" t="s">
        <v>140</v>
      </c>
      <c r="I47" s="24" t="n">
        <v>8</v>
      </c>
      <c r="J47" s="6" t="n">
        <f aca="false">ROUND(F47*I47,0)</f>
        <v>2879</v>
      </c>
      <c r="K47" s="5" t="s">
        <v>141</v>
      </c>
      <c r="L47" s="5" t="s">
        <v>150</v>
      </c>
      <c r="M47" s="8" t="n">
        <v>0.25</v>
      </c>
      <c r="N47" s="5" t="n">
        <v>2</v>
      </c>
      <c r="O47" s="9" t="s">
        <v>377</v>
      </c>
      <c r="P47" s="5" t="s">
        <v>144</v>
      </c>
      <c r="Q47" s="9" t="s">
        <v>367</v>
      </c>
    </row>
    <row r="48" customFormat="false" ht="15" hidden="false" customHeight="false" outlineLevel="0" collapsed="false">
      <c r="A48" s="9" t="s">
        <v>359</v>
      </c>
      <c r="B48" s="21" t="n">
        <v>1183.5</v>
      </c>
      <c r="C48" s="25" t="s">
        <v>154</v>
      </c>
      <c r="D48" s="8" t="n">
        <v>0</v>
      </c>
      <c r="E48" s="21" t="n">
        <f aca="false">ROUND(B48*D48,1)</f>
        <v>0</v>
      </c>
      <c r="F48" s="21" t="n">
        <f aca="false">B48-E48</f>
        <v>1183.5</v>
      </c>
      <c r="G48" s="23" t="n">
        <v>12</v>
      </c>
      <c r="H48" s="9" t="s">
        <v>140</v>
      </c>
      <c r="I48" s="24" t="n">
        <v>8</v>
      </c>
      <c r="J48" s="6" t="n">
        <f aca="false">ROUND(F48*I48,0)</f>
        <v>9468</v>
      </c>
      <c r="K48" s="5" t="s">
        <v>141</v>
      </c>
      <c r="L48" s="5" t="s">
        <v>174</v>
      </c>
      <c r="M48" s="8" t="n">
        <v>0</v>
      </c>
      <c r="N48" s="5" t="n">
        <v>2</v>
      </c>
      <c r="O48" s="9" t="s">
        <v>285</v>
      </c>
      <c r="P48" s="5" t="s">
        <v>144</v>
      </c>
      <c r="Q48" s="9" t="s">
        <v>367</v>
      </c>
    </row>
    <row r="49" customFormat="false" ht="15" hidden="false" customHeight="false" outlineLevel="0" collapsed="false">
      <c r="A49" s="9" t="s">
        <v>360</v>
      </c>
      <c r="B49" s="21" t="n">
        <v>155.7</v>
      </c>
      <c r="C49" s="25" t="s">
        <v>154</v>
      </c>
      <c r="D49" s="8" t="n">
        <v>0</v>
      </c>
      <c r="E49" s="21" t="n">
        <f aca="false">ROUND(B49*D49,1)</f>
        <v>0</v>
      </c>
      <c r="F49" s="21" t="n">
        <f aca="false">B49-E49</f>
        <v>155.7</v>
      </c>
      <c r="G49" s="23" t="n">
        <v>12</v>
      </c>
      <c r="H49" s="9" t="s">
        <v>140</v>
      </c>
      <c r="I49" s="24" t="n">
        <v>8</v>
      </c>
      <c r="J49" s="6" t="n">
        <f aca="false">ROUND(F49*I49,0)</f>
        <v>1246</v>
      </c>
      <c r="K49" s="5" t="s">
        <v>141</v>
      </c>
      <c r="L49" s="5" t="s">
        <v>174</v>
      </c>
      <c r="M49" s="8" t="n">
        <v>0</v>
      </c>
      <c r="N49" s="5" t="n">
        <v>1</v>
      </c>
      <c r="O49" s="9" t="s">
        <v>175</v>
      </c>
      <c r="P49" s="5" t="s">
        <v>144</v>
      </c>
      <c r="Q49" s="9" t="s">
        <v>367</v>
      </c>
    </row>
    <row r="50" customFormat="false" ht="15" hidden="false" customHeight="false" outlineLevel="0" collapsed="false">
      <c r="A50" s="9" t="s">
        <v>378</v>
      </c>
      <c r="B50" s="21" t="n">
        <v>864.4</v>
      </c>
      <c r="C50" s="25" t="s">
        <v>154</v>
      </c>
      <c r="D50" s="8" t="n">
        <v>0</v>
      </c>
      <c r="E50" s="21" t="n">
        <f aca="false">ROUND(B50*D50,1)</f>
        <v>0</v>
      </c>
      <c r="F50" s="21" t="n">
        <f aca="false">B50-E50</f>
        <v>864.4</v>
      </c>
      <c r="G50" s="23" t="n">
        <v>12</v>
      </c>
      <c r="H50" s="9" t="s">
        <v>140</v>
      </c>
      <c r="I50" s="24" t="n">
        <v>8</v>
      </c>
      <c r="J50" s="6" t="n">
        <f aca="false">ROUND(F50*I50,0)</f>
        <v>6915</v>
      </c>
      <c r="K50" s="5" t="s">
        <v>141</v>
      </c>
      <c r="L50" s="5" t="s">
        <v>174</v>
      </c>
      <c r="M50" s="8" t="n">
        <v>0</v>
      </c>
      <c r="N50" s="5" t="n">
        <v>2</v>
      </c>
      <c r="O50" s="9" t="s">
        <v>285</v>
      </c>
      <c r="P50" s="5" t="s">
        <v>144</v>
      </c>
      <c r="Q50" s="9" t="s">
        <v>379</v>
      </c>
    </row>
    <row r="51" customFormat="false" ht="15" hidden="false" customHeight="false" outlineLevel="0" collapsed="false">
      <c r="A51" s="9" t="s">
        <v>357</v>
      </c>
      <c r="B51" s="21" t="n">
        <v>44.3</v>
      </c>
      <c r="C51" s="25" t="s">
        <v>154</v>
      </c>
      <c r="D51" s="8" t="n">
        <v>0</v>
      </c>
      <c r="E51" s="21" t="n">
        <f aca="false">ROUND(B51*D51,1)</f>
        <v>0</v>
      </c>
      <c r="F51" s="21" t="n">
        <f aca="false">B51-E51</f>
        <v>44.3</v>
      </c>
      <c r="G51" s="23" t="n">
        <v>12</v>
      </c>
      <c r="H51" s="9" t="s">
        <v>140</v>
      </c>
      <c r="I51" s="24" t="n">
        <v>8</v>
      </c>
      <c r="J51" s="6" t="n">
        <f aca="false">ROUND(F51*I51,0)</f>
        <v>354</v>
      </c>
      <c r="K51" s="5" t="s">
        <v>141</v>
      </c>
      <c r="L51" s="5" t="s">
        <v>150</v>
      </c>
      <c r="M51" s="8" t="n">
        <v>0.5</v>
      </c>
      <c r="N51" s="5" t="n">
        <v>1</v>
      </c>
      <c r="O51" s="9" t="s">
        <v>155</v>
      </c>
      <c r="P51" s="5" t="s">
        <v>144</v>
      </c>
      <c r="Q51" s="9" t="s">
        <v>367</v>
      </c>
    </row>
    <row r="52" customFormat="false" ht="15" hidden="false" customHeight="false" outlineLevel="0" collapsed="false">
      <c r="A52" s="9" t="s">
        <v>316</v>
      </c>
      <c r="B52" s="21" t="n">
        <v>179.4</v>
      </c>
      <c r="C52" s="25" t="s">
        <v>154</v>
      </c>
      <c r="D52" s="8" t="n">
        <v>0</v>
      </c>
      <c r="E52" s="21" t="n">
        <f aca="false">ROUND(B52*D52,1)</f>
        <v>0</v>
      </c>
      <c r="F52" s="21" t="n">
        <f aca="false">B52-E52</f>
        <v>179.4</v>
      </c>
      <c r="G52" s="23" t="n">
        <v>12</v>
      </c>
      <c r="H52" s="9" t="s">
        <v>140</v>
      </c>
      <c r="I52" s="24" t="n">
        <v>8</v>
      </c>
      <c r="J52" s="6" t="n">
        <f aca="false">ROUND(F52*I52,0)</f>
        <v>1435</v>
      </c>
      <c r="K52" s="5" t="s">
        <v>141</v>
      </c>
      <c r="L52" s="5" t="s">
        <v>150</v>
      </c>
      <c r="M52" s="8" t="n">
        <v>0.5</v>
      </c>
      <c r="N52" s="5" t="n">
        <v>1</v>
      </c>
      <c r="O52" s="9" t="s">
        <v>175</v>
      </c>
      <c r="P52" s="5" t="s">
        <v>144</v>
      </c>
      <c r="Q52" s="9" t="s">
        <v>367</v>
      </c>
    </row>
    <row r="53" customFormat="false" ht="15" hidden="false" customHeight="false" outlineLevel="0" collapsed="false">
      <c r="A53" s="9" t="s">
        <v>187</v>
      </c>
      <c r="B53" s="21" t="n">
        <v>1074.4</v>
      </c>
      <c r="C53" s="26" t="s">
        <v>150</v>
      </c>
      <c r="D53" s="8" t="n">
        <v>0.5</v>
      </c>
      <c r="E53" s="21" t="n">
        <f aca="false">ROUND(B53*D53,1)</f>
        <v>537.2</v>
      </c>
      <c r="F53" s="21" t="n">
        <f aca="false">B53-E53</f>
        <v>537.2</v>
      </c>
      <c r="G53" s="23" t="n">
        <v>12</v>
      </c>
      <c r="H53" s="9" t="s">
        <v>140</v>
      </c>
      <c r="I53" s="24" t="n">
        <v>8</v>
      </c>
      <c r="J53" s="6" t="n">
        <f aca="false">ROUND(F53*I53,0)</f>
        <v>4298</v>
      </c>
      <c r="K53" s="5" t="s">
        <v>141</v>
      </c>
      <c r="L53" s="5" t="s">
        <v>150</v>
      </c>
      <c r="M53" s="8" t="n">
        <v>0.25</v>
      </c>
      <c r="N53" s="5" t="n">
        <v>2</v>
      </c>
      <c r="O53" s="9" t="s">
        <v>377</v>
      </c>
      <c r="P53" s="5" t="s">
        <v>144</v>
      </c>
      <c r="Q53" s="9" t="s">
        <v>367</v>
      </c>
    </row>
    <row r="54" customFormat="false" ht="15" hidden="false" customHeight="false" outlineLevel="0" collapsed="false">
      <c r="A54" s="12" t="s">
        <v>189</v>
      </c>
      <c r="B54" s="13" t="n">
        <f aca="false">SUM(B6:B53)</f>
        <v>21907.8</v>
      </c>
      <c r="C54" s="12"/>
      <c r="D54" s="14" t="n">
        <f aca="false">IF(B54=0,0,E54/B54)</f>
        <v>0.170313769525009</v>
      </c>
      <c r="E54" s="13" t="n">
        <f aca="false">SUM(E6:E53)</f>
        <v>3731.2</v>
      </c>
      <c r="F54" s="13" t="n">
        <f aca="false">SUM(F6:F53)</f>
        <v>18176.6</v>
      </c>
      <c r="G54" s="12"/>
      <c r="H54" s="12"/>
      <c r="I54" s="12"/>
      <c r="J54" s="13" t="n">
        <f aca="false">SUM(J6:J53)</f>
        <v>145416</v>
      </c>
      <c r="K54" s="12"/>
      <c r="L54" s="12"/>
      <c r="M54" s="12"/>
      <c r="N54" s="12"/>
      <c r="O54" s="12"/>
      <c r="P54" s="12"/>
      <c r="Q54" s="12"/>
    </row>
    <row r="56" customFormat="false" ht="15" hidden="false" customHeight="false" outlineLevel="0" collapsed="false">
      <c r="A56" s="16" t="s">
        <v>190</v>
      </c>
      <c r="D56" s="27" t="n">
        <f aca="false">J54</f>
        <v>145416</v>
      </c>
      <c r="F56" s="20" t="s">
        <v>191</v>
      </c>
    </row>
    <row r="57" customFormat="false" ht="15" hidden="false" customHeight="false" outlineLevel="0" collapsed="false">
      <c r="A57" s="16" t="s">
        <v>192</v>
      </c>
      <c r="D57" s="27" t="n">
        <f aca="false">F54*8</f>
        <v>145412.8</v>
      </c>
      <c r="F57" s="20" t="s">
        <v>193</v>
      </c>
    </row>
    <row r="58" customFormat="false" ht="15" hidden="false" customHeight="false" outlineLevel="0" collapsed="false">
      <c r="A58" s="16" t="s">
        <v>194</v>
      </c>
      <c r="D58" s="28" t="n">
        <v>0</v>
      </c>
      <c r="F58" s="20" t="s">
        <v>195</v>
      </c>
    </row>
    <row r="59" customFormat="false" ht="15" hidden="false" customHeight="false" outlineLevel="0" collapsed="false">
      <c r="A59" s="16" t="s">
        <v>196</v>
      </c>
      <c r="D59" s="29" t="n">
        <v>0.16</v>
      </c>
      <c r="F59" s="20" t="s">
        <v>45</v>
      </c>
    </row>
    <row r="60" customFormat="false" ht="15" hidden="false" customHeight="false" outlineLevel="0" collapsed="false">
      <c r="A60" s="16" t="s">
        <v>197</v>
      </c>
      <c r="D60" s="27" t="n">
        <f aca="false">(B54-D58)*(1-D59)</f>
        <v>18402.552</v>
      </c>
      <c r="F60" s="20" t="s">
        <v>198</v>
      </c>
    </row>
    <row r="61" customFormat="false" ht="15" hidden="false" customHeight="false" outlineLevel="0" collapsed="false">
      <c r="A61" s="16" t="s">
        <v>199</v>
      </c>
      <c r="D61" s="27" t="n">
        <f aca="false">ROUND(D60*4,0)</f>
        <v>73610</v>
      </c>
      <c r="F61" s="20" t="s">
        <v>200</v>
      </c>
    </row>
    <row r="62" customFormat="false" ht="15" hidden="false" customHeight="false" outlineLevel="0" collapsed="false">
      <c r="A62" s="16" t="s">
        <v>201</v>
      </c>
      <c r="D62" s="28" t="n">
        <v>78</v>
      </c>
    </row>
    <row r="63" customFormat="false" ht="15" hidden="false" customHeight="false" outlineLevel="0" collapsed="false">
      <c r="A63" s="16" t="s">
        <v>202</v>
      </c>
      <c r="D63" s="28" t="n">
        <v>0</v>
      </c>
      <c r="F63" s="20" t="s">
        <v>203</v>
      </c>
    </row>
    <row r="64" customFormat="false" ht="15" hidden="false" customHeight="false" outlineLevel="0" collapsed="false">
      <c r="A64" s="16" t="s">
        <v>204</v>
      </c>
      <c r="D64" s="28" t="n">
        <v>3731</v>
      </c>
    </row>
    <row r="65" customFormat="false" ht="15" hidden="false" customHeight="false" outlineLevel="0" collapsed="false">
      <c r="A65" s="16" t="s">
        <v>205</v>
      </c>
      <c r="D65" s="28" t="n">
        <v>0</v>
      </c>
      <c r="F65" s="20" t="s">
        <v>206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3"/>
    <col collapsed="false" customWidth="true" hidden="false" outlineLevel="0" max="3" min="3" style="0" width="15"/>
    <col collapsed="false" customWidth="true" hidden="false" outlineLevel="0" max="4" min="4" style="0" width="12"/>
    <col collapsed="false" customWidth="true" hidden="false" outlineLevel="0" max="6" min="5" style="0" width="13"/>
    <col collapsed="false" customWidth="true" hidden="false" outlineLevel="0" max="7" min="7" style="0" width="11"/>
    <col collapsed="false" customWidth="true" hidden="false" outlineLevel="0" max="8" min="8" style="0" width="20"/>
    <col collapsed="false" customWidth="true" hidden="false" outlineLevel="0" max="10" min="9" style="0" width="13"/>
    <col collapsed="false" customWidth="true" hidden="false" outlineLevel="0" max="11" min="11" style="0" width="10"/>
    <col collapsed="false" customWidth="true" hidden="false" outlineLevel="0" max="12" min="12" style="0" width="13"/>
    <col collapsed="false" customWidth="true" hidden="false" outlineLevel="0" max="14" min="13" style="0" width="9"/>
    <col collapsed="false" customWidth="true" hidden="false" outlineLevel="0" max="15" min="15" style="0" width="46"/>
    <col collapsed="false" customWidth="true" hidden="false" outlineLevel="0" max="16" min="16" style="0" width="17"/>
    <col collapsed="false" customWidth="true" hidden="false" outlineLevel="0" max="17" min="17" style="0" width="52"/>
  </cols>
  <sheetData>
    <row r="1" customFormat="false" ht="16.15" hidden="false" customHeight="false" outlineLevel="0" collapsed="false">
      <c r="A1" s="18" t="s">
        <v>380</v>
      </c>
    </row>
    <row r="2" customFormat="false" ht="15" hidden="false" customHeight="false" outlineLevel="0" collapsed="false">
      <c r="A2" s="19" t="s">
        <v>381</v>
      </c>
    </row>
    <row r="3" customFormat="false" ht="15" hidden="false" customHeight="false" outlineLevel="0" collapsed="false">
      <c r="A3" s="20" t="s">
        <v>382</v>
      </c>
    </row>
    <row r="5" customFormat="false" ht="32.8" hidden="false" customHeight="false" outlineLevel="0" collapsed="false">
      <c r="A5" s="4" t="s">
        <v>122</v>
      </c>
      <c r="B5" s="4" t="s">
        <v>123</v>
      </c>
      <c r="C5" s="4" t="s">
        <v>124</v>
      </c>
      <c r="D5" s="4" t="s">
        <v>125</v>
      </c>
      <c r="E5" s="4" t="s">
        <v>126</v>
      </c>
      <c r="F5" s="4" t="s">
        <v>12</v>
      </c>
      <c r="G5" s="4" t="s">
        <v>127</v>
      </c>
      <c r="H5" s="4" t="s">
        <v>128</v>
      </c>
      <c r="I5" s="4" t="s">
        <v>129</v>
      </c>
      <c r="J5" s="4" t="s">
        <v>130</v>
      </c>
      <c r="K5" s="4" t="s">
        <v>131</v>
      </c>
      <c r="L5" s="4" t="s">
        <v>132</v>
      </c>
      <c r="M5" s="4" t="s">
        <v>133</v>
      </c>
      <c r="N5" s="4" t="s">
        <v>134</v>
      </c>
      <c r="O5" s="4" t="s">
        <v>135</v>
      </c>
      <c r="P5" s="4" t="s">
        <v>136</v>
      </c>
      <c r="Q5" s="4" t="s">
        <v>137</v>
      </c>
    </row>
    <row r="6" customFormat="false" ht="15" hidden="false" customHeight="false" outlineLevel="0" collapsed="false">
      <c r="A6" s="9" t="s">
        <v>149</v>
      </c>
      <c r="B6" s="21" t="n">
        <v>145.1</v>
      </c>
      <c r="C6" s="22" t="s">
        <v>139</v>
      </c>
      <c r="D6" s="8" t="n">
        <v>1</v>
      </c>
      <c r="E6" s="21" t="n">
        <f aca="false">ROUND(B6*D6,1)</f>
        <v>145.1</v>
      </c>
      <c r="F6" s="21" t="n">
        <f aca="false">B6-E6</f>
        <v>0</v>
      </c>
      <c r="G6" s="23" t="n">
        <v>12</v>
      </c>
      <c r="H6" s="9" t="s">
        <v>211</v>
      </c>
      <c r="I6" s="24" t="n">
        <v>8</v>
      </c>
      <c r="J6" s="6" t="n">
        <f aca="false">ROUND(F6*I6,0)</f>
        <v>0</v>
      </c>
      <c r="K6" s="5" t="s">
        <v>141</v>
      </c>
      <c r="L6" s="5" t="s">
        <v>150</v>
      </c>
      <c r="M6" s="8" t="n">
        <v>0.5</v>
      </c>
      <c r="N6" s="5" t="n">
        <v>1</v>
      </c>
      <c r="O6" s="9" t="s">
        <v>151</v>
      </c>
      <c r="P6" s="5" t="s">
        <v>144</v>
      </c>
      <c r="Q6" s="9" t="s">
        <v>383</v>
      </c>
    </row>
    <row r="7" customFormat="false" ht="22.35" hidden="false" customHeight="false" outlineLevel="0" collapsed="false">
      <c r="A7" s="9" t="s">
        <v>171</v>
      </c>
      <c r="B7" s="21" t="n">
        <v>595.6</v>
      </c>
      <c r="C7" s="26" t="s">
        <v>150</v>
      </c>
      <c r="D7" s="8" t="n">
        <v>0.62</v>
      </c>
      <c r="E7" s="21" t="n">
        <f aca="false">ROUND(B7*D7,1)</f>
        <v>369.3</v>
      </c>
      <c r="F7" s="21" t="n">
        <f aca="false">B7-E7</f>
        <v>226.3</v>
      </c>
      <c r="G7" s="23" t="n">
        <v>12</v>
      </c>
      <c r="H7" s="9" t="s">
        <v>211</v>
      </c>
      <c r="I7" s="24" t="n">
        <v>8</v>
      </c>
      <c r="J7" s="6" t="n">
        <f aca="false">ROUND(F7*I7,0)</f>
        <v>1810</v>
      </c>
      <c r="K7" s="5" t="s">
        <v>141</v>
      </c>
      <c r="L7" s="5" t="s">
        <v>174</v>
      </c>
      <c r="M7" s="8" t="n">
        <v>0.19</v>
      </c>
      <c r="N7" s="5" t="n">
        <v>2</v>
      </c>
      <c r="O7" s="9" t="s">
        <v>377</v>
      </c>
      <c r="P7" s="5" t="s">
        <v>144</v>
      </c>
      <c r="Q7" s="9" t="s">
        <v>384</v>
      </c>
    </row>
    <row r="8" customFormat="false" ht="22.35" hidden="false" customHeight="false" outlineLevel="0" collapsed="false">
      <c r="A8" s="9" t="s">
        <v>385</v>
      </c>
      <c r="B8" s="21" t="n">
        <v>337.8</v>
      </c>
      <c r="C8" s="25" t="s">
        <v>154</v>
      </c>
      <c r="D8" s="8" t="n">
        <v>0</v>
      </c>
      <c r="E8" s="21" t="n">
        <f aca="false">ROUND(B8*D8,1)</f>
        <v>0</v>
      </c>
      <c r="F8" s="21" t="n">
        <f aca="false">B8-E8</f>
        <v>337.8</v>
      </c>
      <c r="G8" s="23" t="n">
        <v>12</v>
      </c>
      <c r="H8" s="9" t="s">
        <v>211</v>
      </c>
      <c r="I8" s="24" t="n">
        <v>8</v>
      </c>
      <c r="J8" s="6" t="n">
        <f aca="false">ROUND(F8*I8,0)</f>
        <v>2702</v>
      </c>
      <c r="K8" s="5" t="s">
        <v>141</v>
      </c>
      <c r="L8" s="5" t="s">
        <v>174</v>
      </c>
      <c r="M8" s="8" t="n">
        <v>0</v>
      </c>
      <c r="N8" s="5" t="n">
        <v>2</v>
      </c>
      <c r="O8" s="9" t="s">
        <v>285</v>
      </c>
      <c r="P8" s="5" t="s">
        <v>144</v>
      </c>
      <c r="Q8" s="9" t="s">
        <v>386</v>
      </c>
    </row>
    <row r="9" customFormat="false" ht="15" hidden="false" customHeight="false" outlineLevel="0" collapsed="false">
      <c r="A9" s="9" t="s">
        <v>387</v>
      </c>
      <c r="B9" s="21" t="n">
        <v>320.9</v>
      </c>
      <c r="C9" s="25" t="s">
        <v>154</v>
      </c>
      <c r="D9" s="8" t="n">
        <v>0</v>
      </c>
      <c r="E9" s="21" t="n">
        <f aca="false">ROUND(B9*D9,1)</f>
        <v>0</v>
      </c>
      <c r="F9" s="21" t="n">
        <f aca="false">B9-E9</f>
        <v>320.9</v>
      </c>
      <c r="G9" s="23" t="n">
        <v>12</v>
      </c>
      <c r="H9" s="9" t="s">
        <v>211</v>
      </c>
      <c r="I9" s="24" t="n">
        <v>8</v>
      </c>
      <c r="J9" s="6" t="n">
        <f aca="false">ROUND(F9*I9,0)</f>
        <v>2567</v>
      </c>
      <c r="K9" s="5" t="s">
        <v>141</v>
      </c>
      <c r="L9" s="5" t="s">
        <v>150</v>
      </c>
      <c r="M9" s="8" t="n">
        <v>0.5</v>
      </c>
      <c r="N9" s="5" t="n">
        <v>1</v>
      </c>
      <c r="O9" s="9" t="s">
        <v>175</v>
      </c>
      <c r="P9" s="5" t="s">
        <v>144</v>
      </c>
      <c r="Q9" s="9" t="s">
        <v>388</v>
      </c>
    </row>
    <row r="10" customFormat="false" ht="15" hidden="false" customHeight="false" outlineLevel="0" collapsed="false">
      <c r="A10" s="9" t="s">
        <v>295</v>
      </c>
      <c r="B10" s="21" t="n">
        <v>383.9</v>
      </c>
      <c r="C10" s="25" t="s">
        <v>154</v>
      </c>
      <c r="D10" s="8" t="n">
        <v>0</v>
      </c>
      <c r="E10" s="21" t="n">
        <f aca="false">ROUND(B10*D10,1)</f>
        <v>0</v>
      </c>
      <c r="F10" s="21" t="n">
        <f aca="false">B10-E10</f>
        <v>383.9</v>
      </c>
      <c r="G10" s="23" t="n">
        <v>12</v>
      </c>
      <c r="H10" s="9" t="s">
        <v>211</v>
      </c>
      <c r="I10" s="24" t="n">
        <v>8</v>
      </c>
      <c r="J10" s="6" t="n">
        <f aca="false">ROUND(F10*I10,0)</f>
        <v>3071</v>
      </c>
      <c r="K10" s="5" t="s">
        <v>141</v>
      </c>
      <c r="L10" s="5" t="s">
        <v>150</v>
      </c>
      <c r="M10" s="8" t="n">
        <v>0.5</v>
      </c>
      <c r="N10" s="5" t="n">
        <v>1</v>
      </c>
      <c r="O10" s="9" t="s">
        <v>175</v>
      </c>
      <c r="P10" s="5" t="s">
        <v>144</v>
      </c>
      <c r="Q10" s="9" t="s">
        <v>389</v>
      </c>
    </row>
    <row r="11" customFormat="false" ht="15" hidden="false" customHeight="false" outlineLevel="0" collapsed="false">
      <c r="A11" s="9" t="s">
        <v>390</v>
      </c>
      <c r="B11" s="21" t="n">
        <v>387.4</v>
      </c>
      <c r="C11" s="25" t="s">
        <v>154</v>
      </c>
      <c r="D11" s="8" t="n">
        <v>0</v>
      </c>
      <c r="E11" s="21" t="n">
        <f aca="false">ROUND(B11*D11,1)</f>
        <v>0</v>
      </c>
      <c r="F11" s="21" t="n">
        <f aca="false">B11-E11</f>
        <v>387.4</v>
      </c>
      <c r="G11" s="23" t="n">
        <v>12</v>
      </c>
      <c r="H11" s="9" t="s">
        <v>211</v>
      </c>
      <c r="I11" s="24" t="n">
        <v>8</v>
      </c>
      <c r="J11" s="6" t="n">
        <f aca="false">ROUND(F11*I11,0)</f>
        <v>3099</v>
      </c>
      <c r="K11" s="5" t="s">
        <v>141</v>
      </c>
      <c r="L11" s="5" t="s">
        <v>150</v>
      </c>
      <c r="M11" s="8" t="n">
        <v>0.5</v>
      </c>
      <c r="N11" s="5" t="n">
        <v>1</v>
      </c>
      <c r="O11" s="9" t="s">
        <v>175</v>
      </c>
      <c r="P11" s="5" t="s">
        <v>144</v>
      </c>
      <c r="Q11" s="9" t="s">
        <v>389</v>
      </c>
    </row>
    <row r="12" customFormat="false" ht="15" hidden="false" customHeight="false" outlineLevel="0" collapsed="false">
      <c r="A12" s="9" t="s">
        <v>297</v>
      </c>
      <c r="B12" s="21" t="n">
        <v>387.5</v>
      </c>
      <c r="C12" s="25" t="s">
        <v>154</v>
      </c>
      <c r="D12" s="8" t="n">
        <v>0</v>
      </c>
      <c r="E12" s="21" t="n">
        <f aca="false">ROUND(B12*D12,1)</f>
        <v>0</v>
      </c>
      <c r="F12" s="21" t="n">
        <f aca="false">B12-E12</f>
        <v>387.5</v>
      </c>
      <c r="G12" s="23" t="n">
        <v>12</v>
      </c>
      <c r="H12" s="9" t="s">
        <v>211</v>
      </c>
      <c r="I12" s="24" t="n">
        <v>8</v>
      </c>
      <c r="J12" s="6" t="n">
        <f aca="false">ROUND(F12*I12,0)</f>
        <v>3100</v>
      </c>
      <c r="K12" s="5" t="s">
        <v>141</v>
      </c>
      <c r="L12" s="5" t="s">
        <v>150</v>
      </c>
      <c r="M12" s="8" t="n">
        <v>0.5</v>
      </c>
      <c r="N12" s="5" t="n">
        <v>1</v>
      </c>
      <c r="O12" s="9" t="s">
        <v>155</v>
      </c>
      <c r="P12" s="5" t="s">
        <v>144</v>
      </c>
      <c r="Q12" s="9" t="s">
        <v>389</v>
      </c>
    </row>
    <row r="13" customFormat="false" ht="15" hidden="false" customHeight="false" outlineLevel="0" collapsed="false">
      <c r="A13" s="9" t="s">
        <v>186</v>
      </c>
      <c r="B13" s="21" t="n">
        <v>128.3</v>
      </c>
      <c r="C13" s="25" t="s">
        <v>154</v>
      </c>
      <c r="D13" s="8" t="n">
        <v>0</v>
      </c>
      <c r="E13" s="21" t="n">
        <f aca="false">ROUND(B13*D13,1)</f>
        <v>0</v>
      </c>
      <c r="F13" s="21" t="n">
        <f aca="false">B13-E13</f>
        <v>128.3</v>
      </c>
      <c r="G13" s="23" t="n">
        <v>12</v>
      </c>
      <c r="H13" s="9" t="s">
        <v>211</v>
      </c>
      <c r="I13" s="24" t="n">
        <v>8</v>
      </c>
      <c r="J13" s="6" t="n">
        <f aca="false">ROUND(F13*I13,0)</f>
        <v>1026</v>
      </c>
      <c r="K13" s="5" t="s">
        <v>141</v>
      </c>
      <c r="L13" s="5" t="s">
        <v>174</v>
      </c>
      <c r="M13" s="8" t="n">
        <v>0</v>
      </c>
      <c r="N13" s="5" t="n">
        <v>1</v>
      </c>
      <c r="O13" s="9" t="s">
        <v>175</v>
      </c>
      <c r="P13" s="5" t="s">
        <v>144</v>
      </c>
      <c r="Q13" s="9" t="s">
        <v>391</v>
      </c>
    </row>
    <row r="14" customFormat="false" ht="22.35" hidden="false" customHeight="false" outlineLevel="0" collapsed="false">
      <c r="A14" s="9" t="s">
        <v>181</v>
      </c>
      <c r="B14" s="21" t="n">
        <v>109</v>
      </c>
      <c r="C14" s="25" t="s">
        <v>154</v>
      </c>
      <c r="D14" s="8" t="n">
        <v>0</v>
      </c>
      <c r="E14" s="21" t="n">
        <f aca="false">ROUND(B14*D14,1)</f>
        <v>0</v>
      </c>
      <c r="F14" s="21" t="n">
        <f aca="false">B14-E14</f>
        <v>109</v>
      </c>
      <c r="G14" s="30" t="n">
        <v>12</v>
      </c>
      <c r="H14" s="9" t="s">
        <v>215</v>
      </c>
      <c r="I14" s="24" t="n">
        <v>8</v>
      </c>
      <c r="J14" s="6" t="n">
        <f aca="false">ROUND(F14*I14,0)</f>
        <v>872</v>
      </c>
      <c r="K14" s="5" t="s">
        <v>141</v>
      </c>
      <c r="L14" s="5" t="s">
        <v>150</v>
      </c>
      <c r="M14" s="8" t="n">
        <v>0.5</v>
      </c>
      <c r="N14" s="5" t="n">
        <v>1</v>
      </c>
      <c r="O14" s="9" t="s">
        <v>175</v>
      </c>
      <c r="P14" s="5" t="s">
        <v>144</v>
      </c>
      <c r="Q14" s="9" t="s">
        <v>392</v>
      </c>
    </row>
    <row r="15" customFormat="false" ht="22.35" hidden="false" customHeight="false" outlineLevel="0" collapsed="false">
      <c r="A15" s="9" t="s">
        <v>179</v>
      </c>
      <c r="B15" s="21" t="n">
        <v>84.8</v>
      </c>
      <c r="C15" s="25" t="s">
        <v>154</v>
      </c>
      <c r="D15" s="8" t="n">
        <v>0</v>
      </c>
      <c r="E15" s="21" t="n">
        <f aca="false">ROUND(B15*D15,1)</f>
        <v>0</v>
      </c>
      <c r="F15" s="21" t="n">
        <f aca="false">B15-E15</f>
        <v>84.8</v>
      </c>
      <c r="G15" s="30" t="n">
        <v>12</v>
      </c>
      <c r="H15" s="9" t="s">
        <v>215</v>
      </c>
      <c r="I15" s="24" t="n">
        <v>8</v>
      </c>
      <c r="J15" s="6" t="n">
        <f aca="false">ROUND(F15*I15,0)</f>
        <v>678</v>
      </c>
      <c r="K15" s="5" t="s">
        <v>141</v>
      </c>
      <c r="L15" s="5" t="s">
        <v>142</v>
      </c>
      <c r="M15" s="8" t="n">
        <v>1</v>
      </c>
      <c r="N15" s="5" t="n">
        <v>1</v>
      </c>
      <c r="O15" s="9" t="s">
        <v>175</v>
      </c>
      <c r="P15" s="5" t="s">
        <v>144</v>
      </c>
      <c r="Q15" s="9" t="s">
        <v>393</v>
      </c>
    </row>
    <row r="16" customFormat="false" ht="22.35" hidden="false" customHeight="false" outlineLevel="0" collapsed="false">
      <c r="A16" s="9" t="s">
        <v>163</v>
      </c>
      <c r="B16" s="21" t="n">
        <v>75.1</v>
      </c>
      <c r="C16" s="25" t="s">
        <v>154</v>
      </c>
      <c r="D16" s="8" t="n">
        <v>0</v>
      </c>
      <c r="E16" s="21" t="n">
        <f aca="false">ROUND(B16*D16,1)</f>
        <v>0</v>
      </c>
      <c r="F16" s="21" t="n">
        <f aca="false">B16-E16</f>
        <v>75.1</v>
      </c>
      <c r="G16" s="30" t="n">
        <v>12</v>
      </c>
      <c r="H16" s="9" t="s">
        <v>215</v>
      </c>
      <c r="I16" s="24" t="n">
        <v>8</v>
      </c>
      <c r="J16" s="6" t="n">
        <f aca="false">ROUND(F16*I16,0)</f>
        <v>601</v>
      </c>
      <c r="K16" s="5" t="s">
        <v>141</v>
      </c>
      <c r="L16" s="5" t="s">
        <v>174</v>
      </c>
      <c r="M16" s="8" t="n">
        <v>0</v>
      </c>
      <c r="N16" s="5" t="n">
        <v>1</v>
      </c>
      <c r="O16" s="9" t="s">
        <v>175</v>
      </c>
      <c r="P16" s="5" t="s">
        <v>144</v>
      </c>
      <c r="Q16" s="9" t="s">
        <v>394</v>
      </c>
    </row>
    <row r="17" customFormat="false" ht="15" hidden="false" customHeight="false" outlineLevel="0" collapsed="false">
      <c r="A17" s="9" t="s">
        <v>157</v>
      </c>
      <c r="B17" s="21" t="n">
        <v>55.4</v>
      </c>
      <c r="C17" s="25" t="s">
        <v>154</v>
      </c>
      <c r="D17" s="8" t="n">
        <v>0</v>
      </c>
      <c r="E17" s="21" t="n">
        <f aca="false">ROUND(B17*D17,1)</f>
        <v>0</v>
      </c>
      <c r="F17" s="21" t="n">
        <f aca="false">B17-E17</f>
        <v>55.4</v>
      </c>
      <c r="G17" s="30" t="n">
        <v>12</v>
      </c>
      <c r="H17" s="9" t="s">
        <v>215</v>
      </c>
      <c r="I17" s="24" t="n">
        <v>8</v>
      </c>
      <c r="J17" s="6" t="n">
        <f aca="false">ROUND(F17*I17,0)</f>
        <v>443</v>
      </c>
      <c r="K17" s="5" t="s">
        <v>141</v>
      </c>
      <c r="L17" s="5" t="s">
        <v>150</v>
      </c>
      <c r="M17" s="8" t="n">
        <v>0.5</v>
      </c>
      <c r="N17" s="5" t="n">
        <v>1</v>
      </c>
      <c r="O17" s="9" t="s">
        <v>175</v>
      </c>
      <c r="P17" s="5" t="s">
        <v>144</v>
      </c>
      <c r="Q17" s="9" t="s">
        <v>395</v>
      </c>
    </row>
    <row r="18" customFormat="false" ht="15" hidden="false" customHeight="false" outlineLevel="0" collapsed="false">
      <c r="A18" s="9" t="s">
        <v>165</v>
      </c>
      <c r="B18" s="21" t="n">
        <v>104</v>
      </c>
      <c r="C18" s="25" t="s">
        <v>154</v>
      </c>
      <c r="D18" s="8" t="n">
        <v>0</v>
      </c>
      <c r="E18" s="21" t="n">
        <f aca="false">ROUND(B18*D18,1)</f>
        <v>0</v>
      </c>
      <c r="F18" s="21" t="n">
        <f aca="false">B18-E18</f>
        <v>104</v>
      </c>
      <c r="G18" s="30" t="n">
        <v>12</v>
      </c>
      <c r="H18" s="9" t="s">
        <v>215</v>
      </c>
      <c r="I18" s="24" t="n">
        <v>8</v>
      </c>
      <c r="J18" s="6" t="n">
        <f aca="false">ROUND(F18*I18,0)</f>
        <v>832</v>
      </c>
      <c r="K18" s="5" t="s">
        <v>141</v>
      </c>
      <c r="L18" s="5" t="s">
        <v>150</v>
      </c>
      <c r="M18" s="8" t="n">
        <v>0.5</v>
      </c>
      <c r="N18" s="5" t="n">
        <v>1</v>
      </c>
      <c r="O18" s="9" t="s">
        <v>175</v>
      </c>
      <c r="P18" s="5" t="s">
        <v>144</v>
      </c>
      <c r="Q18" s="9" t="s">
        <v>396</v>
      </c>
    </row>
    <row r="19" customFormat="false" ht="15" hidden="false" customHeight="false" outlineLevel="0" collapsed="false">
      <c r="A19" s="12" t="s">
        <v>189</v>
      </c>
      <c r="B19" s="13" t="n">
        <f aca="false">SUM(B6:B18)</f>
        <v>3114.8</v>
      </c>
      <c r="C19" s="12"/>
      <c r="D19" s="14" t="n">
        <f aca="false">IF(B19=0,0,E19/B19)</f>
        <v>0.165147039938359</v>
      </c>
      <c r="E19" s="13" t="n">
        <f aca="false">SUM(E6:E18)</f>
        <v>514.4</v>
      </c>
      <c r="F19" s="13" t="n">
        <f aca="false">SUM(F6:F18)</f>
        <v>2600.4</v>
      </c>
      <c r="G19" s="12"/>
      <c r="H19" s="12"/>
      <c r="I19" s="12"/>
      <c r="J19" s="13" t="n">
        <f aca="false">SUM(J6:J18)</f>
        <v>20801</v>
      </c>
      <c r="K19" s="12"/>
      <c r="L19" s="12"/>
      <c r="M19" s="12"/>
      <c r="N19" s="12"/>
      <c r="O19" s="12"/>
      <c r="P19" s="12"/>
      <c r="Q19" s="12"/>
    </row>
    <row r="21" customFormat="false" ht="15" hidden="false" customHeight="false" outlineLevel="0" collapsed="false">
      <c r="A21" s="16" t="s">
        <v>190</v>
      </c>
      <c r="D21" s="27" t="n">
        <f aca="false">J19</f>
        <v>20801</v>
      </c>
      <c r="F21" s="20" t="s">
        <v>191</v>
      </c>
    </row>
    <row r="22" customFormat="false" ht="15" hidden="false" customHeight="false" outlineLevel="0" collapsed="false">
      <c r="A22" s="16" t="s">
        <v>192</v>
      </c>
      <c r="D22" s="27" t="n">
        <f aca="false">F19*8</f>
        <v>20803.2</v>
      </c>
      <c r="F22" s="20" t="s">
        <v>193</v>
      </c>
    </row>
    <row r="23" customFormat="false" ht="15" hidden="false" customHeight="false" outlineLevel="0" collapsed="false">
      <c r="A23" s="16" t="s">
        <v>194</v>
      </c>
      <c r="D23" s="28" t="n">
        <v>0</v>
      </c>
      <c r="F23" s="20" t="s">
        <v>195</v>
      </c>
    </row>
    <row r="24" customFormat="false" ht="15" hidden="false" customHeight="false" outlineLevel="0" collapsed="false">
      <c r="A24" s="16" t="s">
        <v>196</v>
      </c>
      <c r="D24" s="29" t="n">
        <v>0.36</v>
      </c>
      <c r="F24" s="20" t="s">
        <v>49</v>
      </c>
    </row>
    <row r="25" customFormat="false" ht="15" hidden="false" customHeight="false" outlineLevel="0" collapsed="false">
      <c r="A25" s="16" t="s">
        <v>197</v>
      </c>
      <c r="D25" s="27" t="n">
        <f aca="false">(B19-D23)*(1-D24)</f>
        <v>1993.472</v>
      </c>
      <c r="F25" s="20" t="s">
        <v>198</v>
      </c>
    </row>
    <row r="26" customFormat="false" ht="15" hidden="false" customHeight="false" outlineLevel="0" collapsed="false">
      <c r="A26" s="16" t="s">
        <v>199</v>
      </c>
      <c r="D26" s="27" t="n">
        <f aca="false">ROUND(D25*4,0)</f>
        <v>7974</v>
      </c>
      <c r="F26" s="20" t="s">
        <v>200</v>
      </c>
    </row>
    <row r="27" customFormat="false" ht="15" hidden="false" customHeight="false" outlineLevel="0" collapsed="false">
      <c r="A27" s="16" t="s">
        <v>201</v>
      </c>
      <c r="D27" s="28" t="n">
        <v>15</v>
      </c>
    </row>
    <row r="28" customFormat="false" ht="15" hidden="false" customHeight="false" outlineLevel="0" collapsed="false">
      <c r="A28" s="16" t="s">
        <v>202</v>
      </c>
      <c r="D28" s="28" t="n">
        <v>0</v>
      </c>
      <c r="F28" s="20" t="s">
        <v>203</v>
      </c>
    </row>
    <row r="29" customFormat="false" ht="15" hidden="false" customHeight="false" outlineLevel="0" collapsed="false">
      <c r="A29" s="16" t="s">
        <v>204</v>
      </c>
      <c r="D29" s="28" t="n">
        <v>514</v>
      </c>
    </row>
    <row r="30" customFormat="false" ht="15" hidden="false" customHeight="false" outlineLevel="0" collapsed="false">
      <c r="A30" s="16" t="s">
        <v>205</v>
      </c>
      <c r="D30" s="28" t="n">
        <v>0</v>
      </c>
      <c r="F30" s="20" t="s">
        <v>206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3"/>
    <col collapsed="false" customWidth="true" hidden="false" outlineLevel="0" max="3" min="3" style="0" width="15"/>
    <col collapsed="false" customWidth="true" hidden="false" outlineLevel="0" max="4" min="4" style="0" width="12"/>
    <col collapsed="false" customWidth="true" hidden="false" outlineLevel="0" max="6" min="5" style="0" width="13"/>
    <col collapsed="false" customWidth="true" hidden="false" outlineLevel="0" max="7" min="7" style="0" width="11"/>
    <col collapsed="false" customWidth="true" hidden="false" outlineLevel="0" max="8" min="8" style="0" width="20"/>
    <col collapsed="false" customWidth="true" hidden="false" outlineLevel="0" max="10" min="9" style="0" width="13"/>
    <col collapsed="false" customWidth="true" hidden="false" outlineLevel="0" max="11" min="11" style="0" width="10"/>
    <col collapsed="false" customWidth="true" hidden="false" outlineLevel="0" max="12" min="12" style="0" width="13"/>
    <col collapsed="false" customWidth="true" hidden="false" outlineLevel="0" max="14" min="13" style="0" width="9"/>
    <col collapsed="false" customWidth="true" hidden="false" outlineLevel="0" max="15" min="15" style="0" width="46"/>
    <col collapsed="false" customWidth="true" hidden="false" outlineLevel="0" max="16" min="16" style="0" width="17"/>
    <col collapsed="false" customWidth="true" hidden="false" outlineLevel="0" max="17" min="17" style="0" width="52"/>
  </cols>
  <sheetData>
    <row r="1" customFormat="false" ht="16.15" hidden="false" customHeight="false" outlineLevel="0" collapsed="false">
      <c r="A1" s="18" t="s">
        <v>397</v>
      </c>
    </row>
    <row r="2" customFormat="false" ht="15" hidden="false" customHeight="false" outlineLevel="0" collapsed="false">
      <c r="A2" s="19" t="s">
        <v>398</v>
      </c>
    </row>
    <row r="3" customFormat="false" ht="15" hidden="false" customHeight="false" outlineLevel="0" collapsed="false">
      <c r="A3" s="20" t="s">
        <v>399</v>
      </c>
    </row>
    <row r="5" customFormat="false" ht="32.8" hidden="false" customHeight="false" outlineLevel="0" collapsed="false">
      <c r="A5" s="4" t="s">
        <v>122</v>
      </c>
      <c r="B5" s="4" t="s">
        <v>123</v>
      </c>
      <c r="C5" s="4" t="s">
        <v>124</v>
      </c>
      <c r="D5" s="4" t="s">
        <v>125</v>
      </c>
      <c r="E5" s="4" t="s">
        <v>126</v>
      </c>
      <c r="F5" s="4" t="s">
        <v>12</v>
      </c>
      <c r="G5" s="4" t="s">
        <v>127</v>
      </c>
      <c r="H5" s="4" t="s">
        <v>128</v>
      </c>
      <c r="I5" s="4" t="s">
        <v>129</v>
      </c>
      <c r="J5" s="4" t="s">
        <v>130</v>
      </c>
      <c r="K5" s="4" t="s">
        <v>131</v>
      </c>
      <c r="L5" s="4" t="s">
        <v>132</v>
      </c>
      <c r="M5" s="4" t="s">
        <v>133</v>
      </c>
      <c r="N5" s="4" t="s">
        <v>134</v>
      </c>
      <c r="O5" s="4" t="s">
        <v>135</v>
      </c>
      <c r="P5" s="4" t="s">
        <v>136</v>
      </c>
      <c r="Q5" s="4" t="s">
        <v>137</v>
      </c>
    </row>
    <row r="6" customFormat="false" ht="32.8" hidden="false" customHeight="false" outlineLevel="0" collapsed="false">
      <c r="A6" s="9" t="s">
        <v>149</v>
      </c>
      <c r="B6" s="21" t="n">
        <v>344.9</v>
      </c>
      <c r="C6" s="22" t="s">
        <v>139</v>
      </c>
      <c r="D6" s="8" t="n">
        <v>1</v>
      </c>
      <c r="E6" s="21" t="n">
        <f aca="false">ROUND(B6*D6,1)</f>
        <v>344.9</v>
      </c>
      <c r="F6" s="21" t="n">
        <f aca="false">B6-E6</f>
        <v>0</v>
      </c>
      <c r="G6" s="23" t="n">
        <v>12</v>
      </c>
      <c r="H6" s="9" t="s">
        <v>211</v>
      </c>
      <c r="I6" s="24" t="n">
        <v>8</v>
      </c>
      <c r="J6" s="6" t="n">
        <f aca="false">ROUND(F6*I6,0)</f>
        <v>0</v>
      </c>
      <c r="K6" s="5" t="s">
        <v>141</v>
      </c>
      <c r="L6" s="5" t="s">
        <v>142</v>
      </c>
      <c r="M6" s="8" t="n">
        <v>0.75</v>
      </c>
      <c r="N6" s="5" t="n">
        <v>2</v>
      </c>
      <c r="O6" s="9" t="s">
        <v>161</v>
      </c>
      <c r="P6" s="5" t="s">
        <v>144</v>
      </c>
      <c r="Q6" s="9" t="s">
        <v>400</v>
      </c>
    </row>
    <row r="7" customFormat="false" ht="15" hidden="false" customHeight="false" outlineLevel="0" collapsed="false">
      <c r="A7" s="9" t="s">
        <v>171</v>
      </c>
      <c r="B7" s="21" t="n">
        <v>85.3</v>
      </c>
      <c r="C7" s="22" t="s">
        <v>139</v>
      </c>
      <c r="D7" s="8" t="n">
        <v>1</v>
      </c>
      <c r="E7" s="21" t="n">
        <f aca="false">ROUND(B7*D7,1)</f>
        <v>85.3</v>
      </c>
      <c r="F7" s="21" t="n">
        <f aca="false">B7-E7</f>
        <v>0</v>
      </c>
      <c r="G7" s="23" t="n">
        <v>12</v>
      </c>
      <c r="H7" s="9" t="s">
        <v>211</v>
      </c>
      <c r="I7" s="24" t="n">
        <v>8</v>
      </c>
      <c r="J7" s="6" t="n">
        <f aca="false">ROUND(F7*I7,0)</f>
        <v>0</v>
      </c>
      <c r="K7" s="5" t="s">
        <v>141</v>
      </c>
      <c r="L7" s="5" t="s">
        <v>142</v>
      </c>
      <c r="M7" s="8" t="n">
        <v>1</v>
      </c>
      <c r="N7" s="5" t="n">
        <v>1</v>
      </c>
      <c r="O7" s="9" t="s">
        <v>288</v>
      </c>
      <c r="P7" s="5" t="s">
        <v>144</v>
      </c>
      <c r="Q7" s="9" t="s">
        <v>401</v>
      </c>
    </row>
    <row r="8" customFormat="false" ht="32.8" hidden="false" customHeight="false" outlineLevel="0" collapsed="false">
      <c r="A8" s="9" t="s">
        <v>160</v>
      </c>
      <c r="B8" s="21" t="n">
        <v>1120.1</v>
      </c>
      <c r="C8" s="25" t="s">
        <v>154</v>
      </c>
      <c r="D8" s="8" t="n">
        <v>0</v>
      </c>
      <c r="E8" s="21" t="n">
        <f aca="false">ROUND(B8*D8,1)</f>
        <v>0</v>
      </c>
      <c r="F8" s="21" t="n">
        <f aca="false">B8-E8</f>
        <v>1120.1</v>
      </c>
      <c r="G8" s="30" t="n">
        <v>20.58</v>
      </c>
      <c r="H8" s="9" t="s">
        <v>215</v>
      </c>
      <c r="I8" s="24" t="n">
        <v>12.58</v>
      </c>
      <c r="J8" s="6" t="n">
        <f aca="false">ROUND(F8*I8,0)</f>
        <v>14091</v>
      </c>
      <c r="K8" s="5" t="s">
        <v>141</v>
      </c>
      <c r="L8" s="5" t="s">
        <v>174</v>
      </c>
      <c r="M8" s="8" t="n">
        <v>0.21</v>
      </c>
      <c r="N8" s="5" t="n">
        <v>2</v>
      </c>
      <c r="O8" s="9" t="s">
        <v>291</v>
      </c>
      <c r="P8" s="5" t="s">
        <v>144</v>
      </c>
      <c r="Q8" s="9" t="s">
        <v>402</v>
      </c>
    </row>
    <row r="9" customFormat="false" ht="15" hidden="false" customHeight="false" outlineLevel="0" collapsed="false">
      <c r="A9" s="9" t="s">
        <v>185</v>
      </c>
      <c r="B9" s="21" t="n">
        <v>810</v>
      </c>
      <c r="C9" s="25" t="s">
        <v>154</v>
      </c>
      <c r="D9" s="8" t="n">
        <v>0</v>
      </c>
      <c r="E9" s="21" t="n">
        <f aca="false">ROUND(B9*D9,1)</f>
        <v>0</v>
      </c>
      <c r="F9" s="21" t="n">
        <f aca="false">B9-E9</f>
        <v>810</v>
      </c>
      <c r="G9" s="30" t="n">
        <v>12</v>
      </c>
      <c r="H9" s="9" t="s">
        <v>215</v>
      </c>
      <c r="I9" s="24" t="n">
        <v>8</v>
      </c>
      <c r="J9" s="6" t="n">
        <f aca="false">ROUND(F9*I9,0)</f>
        <v>6480</v>
      </c>
      <c r="K9" s="5" t="s">
        <v>141</v>
      </c>
      <c r="L9" s="5" t="s">
        <v>150</v>
      </c>
      <c r="M9" s="8" t="n">
        <v>0.5</v>
      </c>
      <c r="N9" s="5" t="n">
        <v>2</v>
      </c>
      <c r="O9" s="9" t="s">
        <v>341</v>
      </c>
      <c r="P9" s="5" t="s">
        <v>144</v>
      </c>
      <c r="Q9" s="9" t="s">
        <v>403</v>
      </c>
    </row>
    <row r="10" customFormat="false" ht="15" hidden="false" customHeight="false" outlineLevel="0" collapsed="false">
      <c r="A10" s="9" t="s">
        <v>173</v>
      </c>
      <c r="B10" s="21" t="n">
        <v>812</v>
      </c>
      <c r="C10" s="25" t="s">
        <v>154</v>
      </c>
      <c r="D10" s="8" t="n">
        <v>0</v>
      </c>
      <c r="E10" s="21" t="n">
        <f aca="false">ROUND(B10*D10,1)</f>
        <v>0</v>
      </c>
      <c r="F10" s="21" t="n">
        <f aca="false">B10-E10</f>
        <v>812</v>
      </c>
      <c r="G10" s="23" t="n">
        <v>12</v>
      </c>
      <c r="H10" s="9" t="s">
        <v>211</v>
      </c>
      <c r="I10" s="24" t="n">
        <v>8</v>
      </c>
      <c r="J10" s="6" t="n">
        <f aca="false">ROUND(F10*I10,0)</f>
        <v>6496</v>
      </c>
      <c r="K10" s="5" t="s">
        <v>141</v>
      </c>
      <c r="L10" s="5" t="s">
        <v>150</v>
      </c>
      <c r="M10" s="8" t="n">
        <v>0.5</v>
      </c>
      <c r="N10" s="5" t="n">
        <v>2</v>
      </c>
      <c r="O10" s="9" t="s">
        <v>341</v>
      </c>
      <c r="P10" s="5" t="s">
        <v>144</v>
      </c>
      <c r="Q10" s="9" t="s">
        <v>404</v>
      </c>
    </row>
    <row r="11" customFormat="false" ht="15" hidden="false" customHeight="false" outlineLevel="0" collapsed="false">
      <c r="A11" s="9" t="s">
        <v>153</v>
      </c>
      <c r="B11" s="21" t="n">
        <v>751.2</v>
      </c>
      <c r="C11" s="25" t="s">
        <v>154</v>
      </c>
      <c r="D11" s="8" t="n">
        <v>0</v>
      </c>
      <c r="E11" s="21" t="n">
        <f aca="false">ROUND(B11*D11,1)</f>
        <v>0</v>
      </c>
      <c r="F11" s="21" t="n">
        <f aca="false">B11-E11</f>
        <v>751.2</v>
      </c>
      <c r="G11" s="23" t="n">
        <v>12</v>
      </c>
      <c r="H11" s="9" t="s">
        <v>211</v>
      </c>
      <c r="I11" s="24" t="n">
        <v>8</v>
      </c>
      <c r="J11" s="6" t="n">
        <f aca="false">ROUND(F11*I11,0)</f>
        <v>6010</v>
      </c>
      <c r="K11" s="5" t="s">
        <v>141</v>
      </c>
      <c r="L11" s="5" t="s">
        <v>150</v>
      </c>
      <c r="M11" s="8" t="n">
        <v>0.5</v>
      </c>
      <c r="N11" s="5" t="n">
        <v>2</v>
      </c>
      <c r="O11" s="9" t="s">
        <v>291</v>
      </c>
      <c r="P11" s="5" t="s">
        <v>144</v>
      </c>
      <c r="Q11" s="9" t="s">
        <v>404</v>
      </c>
    </row>
    <row r="12" customFormat="false" ht="15" hidden="false" customHeight="false" outlineLevel="0" collapsed="false">
      <c r="A12" s="9" t="s">
        <v>178</v>
      </c>
      <c r="B12" s="21" t="n">
        <v>283.4</v>
      </c>
      <c r="C12" s="25" t="s">
        <v>154</v>
      </c>
      <c r="D12" s="8" t="n">
        <v>0</v>
      </c>
      <c r="E12" s="21" t="n">
        <f aca="false">ROUND(B12*D12,1)</f>
        <v>0</v>
      </c>
      <c r="F12" s="21" t="n">
        <f aca="false">B12-E12</f>
        <v>283.4</v>
      </c>
      <c r="G12" s="23" t="n">
        <v>12</v>
      </c>
      <c r="H12" s="9" t="s">
        <v>211</v>
      </c>
      <c r="I12" s="24" t="n">
        <v>8</v>
      </c>
      <c r="J12" s="6" t="n">
        <f aca="false">ROUND(F12*I12,0)</f>
        <v>2267</v>
      </c>
      <c r="K12" s="5" t="s">
        <v>141</v>
      </c>
      <c r="L12" s="5" t="s">
        <v>150</v>
      </c>
      <c r="M12" s="8" t="n">
        <v>0.5</v>
      </c>
      <c r="N12" s="5" t="n">
        <v>1</v>
      </c>
      <c r="O12" s="9" t="s">
        <v>155</v>
      </c>
      <c r="P12" s="5" t="s">
        <v>144</v>
      </c>
      <c r="Q12" s="9" t="s">
        <v>405</v>
      </c>
    </row>
    <row r="13" customFormat="false" ht="15" hidden="false" customHeight="false" outlineLevel="0" collapsed="false">
      <c r="A13" s="9" t="s">
        <v>406</v>
      </c>
      <c r="B13" s="21" t="n">
        <v>249</v>
      </c>
      <c r="C13" s="25" t="s">
        <v>154</v>
      </c>
      <c r="D13" s="8" t="n">
        <v>0</v>
      </c>
      <c r="E13" s="21" t="n">
        <f aca="false">ROUND(B13*D13,1)</f>
        <v>0</v>
      </c>
      <c r="F13" s="21" t="n">
        <f aca="false">B13-E13</f>
        <v>249</v>
      </c>
      <c r="G13" s="23" t="n">
        <v>12</v>
      </c>
      <c r="H13" s="9" t="s">
        <v>211</v>
      </c>
      <c r="I13" s="24" t="n">
        <v>8</v>
      </c>
      <c r="J13" s="6" t="n">
        <f aca="false">ROUND(F13*I13,0)</f>
        <v>1992</v>
      </c>
      <c r="K13" s="5" t="s">
        <v>141</v>
      </c>
      <c r="L13" s="5" t="s">
        <v>150</v>
      </c>
      <c r="M13" s="8" t="n">
        <v>0.5</v>
      </c>
      <c r="N13" s="5" t="n">
        <v>1</v>
      </c>
      <c r="O13" s="9" t="s">
        <v>155</v>
      </c>
      <c r="P13" s="5" t="s">
        <v>144</v>
      </c>
      <c r="Q13" s="9" t="s">
        <v>407</v>
      </c>
    </row>
    <row r="14" customFormat="false" ht="15" hidden="false" customHeight="false" outlineLevel="0" collapsed="false">
      <c r="A14" s="9" t="s">
        <v>167</v>
      </c>
      <c r="B14" s="21" t="n">
        <v>284.4</v>
      </c>
      <c r="C14" s="25" t="s">
        <v>154</v>
      </c>
      <c r="D14" s="8" t="n">
        <v>0</v>
      </c>
      <c r="E14" s="21" t="n">
        <f aca="false">ROUND(B14*D14,1)</f>
        <v>0</v>
      </c>
      <c r="F14" s="21" t="n">
        <f aca="false">B14-E14</f>
        <v>284.4</v>
      </c>
      <c r="G14" s="23" t="n">
        <v>12</v>
      </c>
      <c r="H14" s="9" t="s">
        <v>211</v>
      </c>
      <c r="I14" s="24" t="n">
        <v>8</v>
      </c>
      <c r="J14" s="6" t="n">
        <f aca="false">ROUND(F14*I14,0)</f>
        <v>2275</v>
      </c>
      <c r="K14" s="5" t="s">
        <v>141</v>
      </c>
      <c r="L14" s="5" t="s">
        <v>150</v>
      </c>
      <c r="M14" s="8" t="n">
        <v>0.5</v>
      </c>
      <c r="N14" s="5" t="n">
        <v>1</v>
      </c>
      <c r="O14" s="9" t="s">
        <v>155</v>
      </c>
      <c r="P14" s="5" t="s">
        <v>144</v>
      </c>
      <c r="Q14" s="9" t="s">
        <v>408</v>
      </c>
    </row>
    <row r="15" customFormat="false" ht="15" hidden="false" customHeight="false" outlineLevel="0" collapsed="false">
      <c r="A15" s="9" t="s">
        <v>409</v>
      </c>
      <c r="B15" s="21" t="n">
        <v>188.9</v>
      </c>
      <c r="C15" s="25" t="s">
        <v>154</v>
      </c>
      <c r="D15" s="8" t="n">
        <v>0</v>
      </c>
      <c r="E15" s="21" t="n">
        <f aca="false">ROUND(B15*D15,1)</f>
        <v>0</v>
      </c>
      <c r="F15" s="21" t="n">
        <f aca="false">B15-E15</f>
        <v>188.9</v>
      </c>
      <c r="G15" s="23" t="n">
        <v>12</v>
      </c>
      <c r="H15" s="9" t="s">
        <v>211</v>
      </c>
      <c r="I15" s="24" t="n">
        <v>8</v>
      </c>
      <c r="J15" s="6" t="n">
        <f aca="false">ROUND(F15*I15,0)</f>
        <v>1511</v>
      </c>
      <c r="K15" s="5" t="s">
        <v>141</v>
      </c>
      <c r="L15" s="5" t="s">
        <v>150</v>
      </c>
      <c r="M15" s="8" t="n">
        <v>0.5</v>
      </c>
      <c r="N15" s="5" t="n">
        <v>1</v>
      </c>
      <c r="O15" s="9" t="s">
        <v>155</v>
      </c>
      <c r="P15" s="5" t="s">
        <v>144</v>
      </c>
      <c r="Q15" s="9" t="s">
        <v>410</v>
      </c>
    </row>
    <row r="16" customFormat="false" ht="15" hidden="false" customHeight="false" outlineLevel="0" collapsed="false">
      <c r="A16" s="9" t="s">
        <v>186</v>
      </c>
      <c r="B16" s="21" t="n">
        <v>185.7</v>
      </c>
      <c r="C16" s="25" t="s">
        <v>154</v>
      </c>
      <c r="D16" s="8" t="n">
        <v>0</v>
      </c>
      <c r="E16" s="21" t="n">
        <f aca="false">ROUND(B16*D16,1)</f>
        <v>0</v>
      </c>
      <c r="F16" s="21" t="n">
        <f aca="false">B16-E16</f>
        <v>185.7</v>
      </c>
      <c r="G16" s="30" t="n">
        <v>12</v>
      </c>
      <c r="H16" s="9" t="s">
        <v>215</v>
      </c>
      <c r="I16" s="24" t="n">
        <v>8</v>
      </c>
      <c r="J16" s="6" t="n">
        <f aca="false">ROUND(F16*I16,0)</f>
        <v>1486</v>
      </c>
      <c r="K16" s="5" t="s">
        <v>141</v>
      </c>
      <c r="L16" s="5" t="s">
        <v>142</v>
      </c>
      <c r="M16" s="8" t="n">
        <v>1</v>
      </c>
      <c r="N16" s="5" t="n">
        <v>1</v>
      </c>
      <c r="O16" s="9" t="s">
        <v>155</v>
      </c>
      <c r="P16" s="5" t="s">
        <v>144</v>
      </c>
      <c r="Q16" s="9" t="s">
        <v>411</v>
      </c>
    </row>
    <row r="17" customFormat="false" ht="22.35" hidden="false" customHeight="false" outlineLevel="0" collapsed="false">
      <c r="A17" s="9" t="s">
        <v>293</v>
      </c>
      <c r="B17" s="21" t="n">
        <v>439.8</v>
      </c>
      <c r="C17" s="25" t="s">
        <v>154</v>
      </c>
      <c r="D17" s="8" t="n">
        <v>0</v>
      </c>
      <c r="E17" s="21" t="n">
        <f aca="false">ROUND(B17*D17,1)</f>
        <v>0</v>
      </c>
      <c r="F17" s="21" t="n">
        <f aca="false">B17-E17</f>
        <v>439.8</v>
      </c>
      <c r="G17" s="23" t="n">
        <v>12</v>
      </c>
      <c r="H17" s="9" t="s">
        <v>211</v>
      </c>
      <c r="I17" s="24" t="n">
        <v>8</v>
      </c>
      <c r="J17" s="6" t="n">
        <f aca="false">ROUND(F17*I17,0)</f>
        <v>3518</v>
      </c>
      <c r="K17" s="5" t="s">
        <v>141</v>
      </c>
      <c r="L17" s="5" t="s">
        <v>150</v>
      </c>
      <c r="M17" s="8" t="n">
        <v>0.5</v>
      </c>
      <c r="N17" s="5" t="n">
        <v>1</v>
      </c>
      <c r="O17" s="9" t="s">
        <v>155</v>
      </c>
      <c r="P17" s="5" t="s">
        <v>144</v>
      </c>
      <c r="Q17" s="9" t="s">
        <v>412</v>
      </c>
    </row>
    <row r="18" customFormat="false" ht="22.35" hidden="false" customHeight="false" outlineLevel="0" collapsed="false">
      <c r="A18" s="9" t="s">
        <v>413</v>
      </c>
      <c r="B18" s="21" t="n">
        <v>634.6</v>
      </c>
      <c r="C18" s="25" t="s">
        <v>154</v>
      </c>
      <c r="D18" s="8" t="n">
        <v>0</v>
      </c>
      <c r="E18" s="21" t="n">
        <f aca="false">ROUND(B18*D18,1)</f>
        <v>0</v>
      </c>
      <c r="F18" s="21" t="n">
        <f aca="false">B18-E18</f>
        <v>634.6</v>
      </c>
      <c r="G18" s="23" t="n">
        <v>12</v>
      </c>
      <c r="H18" s="9" t="s">
        <v>211</v>
      </c>
      <c r="I18" s="24" t="n">
        <v>8</v>
      </c>
      <c r="J18" s="6" t="n">
        <f aca="false">ROUND(F18*I18,0)</f>
        <v>5077</v>
      </c>
      <c r="K18" s="5" t="s">
        <v>141</v>
      </c>
      <c r="L18" s="5" t="s">
        <v>174</v>
      </c>
      <c r="M18" s="8" t="n">
        <v>0</v>
      </c>
      <c r="N18" s="5" t="n">
        <v>2</v>
      </c>
      <c r="O18" s="9" t="s">
        <v>291</v>
      </c>
      <c r="P18" s="5" t="s">
        <v>144</v>
      </c>
      <c r="Q18" s="9" t="s">
        <v>412</v>
      </c>
    </row>
    <row r="19" customFormat="false" ht="22.35" hidden="false" customHeight="false" outlineLevel="0" collapsed="false">
      <c r="A19" s="9" t="s">
        <v>317</v>
      </c>
      <c r="B19" s="21" t="n">
        <v>438.6</v>
      </c>
      <c r="C19" s="25" t="s">
        <v>154</v>
      </c>
      <c r="D19" s="8" t="n">
        <v>0</v>
      </c>
      <c r="E19" s="21" t="n">
        <f aca="false">ROUND(B19*D19,1)</f>
        <v>0</v>
      </c>
      <c r="F19" s="21" t="n">
        <f aca="false">B19-E19</f>
        <v>438.6</v>
      </c>
      <c r="G19" s="23" t="n">
        <v>12</v>
      </c>
      <c r="H19" s="9" t="s">
        <v>211</v>
      </c>
      <c r="I19" s="24" t="n">
        <v>8</v>
      </c>
      <c r="J19" s="6" t="n">
        <f aca="false">ROUND(F19*I19,0)</f>
        <v>3509</v>
      </c>
      <c r="K19" s="5" t="s">
        <v>141</v>
      </c>
      <c r="L19" s="5" t="s">
        <v>174</v>
      </c>
      <c r="M19" s="8" t="n">
        <v>0</v>
      </c>
      <c r="N19" s="5" t="n">
        <v>1</v>
      </c>
      <c r="O19" s="9" t="s">
        <v>155</v>
      </c>
      <c r="P19" s="5" t="s">
        <v>144</v>
      </c>
      <c r="Q19" s="9" t="s">
        <v>412</v>
      </c>
    </row>
    <row r="20" customFormat="false" ht="22.35" hidden="false" customHeight="false" outlineLevel="0" collapsed="false">
      <c r="A20" s="9" t="s">
        <v>414</v>
      </c>
      <c r="B20" s="21" t="n">
        <v>635.7</v>
      </c>
      <c r="C20" s="25" t="s">
        <v>154</v>
      </c>
      <c r="D20" s="8" t="n">
        <v>0</v>
      </c>
      <c r="E20" s="21" t="n">
        <f aca="false">ROUND(B20*D20,1)</f>
        <v>0</v>
      </c>
      <c r="F20" s="21" t="n">
        <f aca="false">B20-E20</f>
        <v>635.7</v>
      </c>
      <c r="G20" s="23" t="n">
        <v>12</v>
      </c>
      <c r="H20" s="9" t="s">
        <v>211</v>
      </c>
      <c r="I20" s="24" t="n">
        <v>8</v>
      </c>
      <c r="J20" s="6" t="n">
        <f aca="false">ROUND(F20*I20,0)</f>
        <v>5086</v>
      </c>
      <c r="K20" s="5" t="s">
        <v>141</v>
      </c>
      <c r="L20" s="5" t="s">
        <v>150</v>
      </c>
      <c r="M20" s="8" t="n">
        <v>0.25</v>
      </c>
      <c r="N20" s="5" t="n">
        <v>2</v>
      </c>
      <c r="O20" s="9" t="s">
        <v>291</v>
      </c>
      <c r="P20" s="5" t="s">
        <v>144</v>
      </c>
      <c r="Q20" s="9" t="s">
        <v>412</v>
      </c>
    </row>
    <row r="21" customFormat="false" ht="22.35" hidden="false" customHeight="false" outlineLevel="0" collapsed="false">
      <c r="A21" s="9" t="s">
        <v>284</v>
      </c>
      <c r="B21" s="21" t="n">
        <v>438.6</v>
      </c>
      <c r="C21" s="25" t="s">
        <v>154</v>
      </c>
      <c r="D21" s="8" t="n">
        <v>0</v>
      </c>
      <c r="E21" s="21" t="n">
        <f aca="false">ROUND(B21*D21,1)</f>
        <v>0</v>
      </c>
      <c r="F21" s="21" t="n">
        <f aca="false">B21-E21</f>
        <v>438.6</v>
      </c>
      <c r="G21" s="30" t="n">
        <v>12</v>
      </c>
      <c r="H21" s="9" t="s">
        <v>215</v>
      </c>
      <c r="I21" s="24" t="n">
        <v>8</v>
      </c>
      <c r="J21" s="6" t="n">
        <f aca="false">ROUND(F21*I21,0)</f>
        <v>3509</v>
      </c>
      <c r="K21" s="5" t="s">
        <v>141</v>
      </c>
      <c r="L21" s="5" t="s">
        <v>142</v>
      </c>
      <c r="M21" s="8" t="n">
        <v>1</v>
      </c>
      <c r="N21" s="5" t="n">
        <v>1</v>
      </c>
      <c r="O21" s="9" t="s">
        <v>155</v>
      </c>
      <c r="P21" s="5" t="s">
        <v>144</v>
      </c>
      <c r="Q21" s="9" t="s">
        <v>412</v>
      </c>
    </row>
    <row r="22" customFormat="false" ht="22.35" hidden="false" customHeight="false" outlineLevel="0" collapsed="false">
      <c r="A22" s="9" t="s">
        <v>415</v>
      </c>
      <c r="B22" s="21" t="n">
        <v>635.7</v>
      </c>
      <c r="C22" s="25" t="s">
        <v>154</v>
      </c>
      <c r="D22" s="8" t="n">
        <v>0</v>
      </c>
      <c r="E22" s="21" t="n">
        <f aca="false">ROUND(B22*D22,1)</f>
        <v>0</v>
      </c>
      <c r="F22" s="21" t="n">
        <f aca="false">B22-E22</f>
        <v>635.7</v>
      </c>
      <c r="G22" s="30" t="n">
        <v>12</v>
      </c>
      <c r="H22" s="9" t="s">
        <v>215</v>
      </c>
      <c r="I22" s="24" t="n">
        <v>8</v>
      </c>
      <c r="J22" s="6" t="n">
        <f aca="false">ROUND(F22*I22,0)</f>
        <v>5086</v>
      </c>
      <c r="K22" s="5" t="s">
        <v>314</v>
      </c>
      <c r="L22" s="5" t="s">
        <v>174</v>
      </c>
      <c r="M22" s="8" t="n">
        <v>0</v>
      </c>
      <c r="N22" s="5" t="n">
        <v>1</v>
      </c>
      <c r="O22" s="9" t="s">
        <v>155</v>
      </c>
      <c r="P22" s="5" t="s">
        <v>144</v>
      </c>
      <c r="Q22" s="9" t="s">
        <v>412</v>
      </c>
    </row>
    <row r="23" customFormat="false" ht="22.35" hidden="false" customHeight="false" outlineLevel="0" collapsed="false">
      <c r="A23" s="9" t="s">
        <v>292</v>
      </c>
      <c r="B23" s="21" t="n">
        <v>437.5</v>
      </c>
      <c r="C23" s="25" t="s">
        <v>154</v>
      </c>
      <c r="D23" s="8" t="n">
        <v>0</v>
      </c>
      <c r="E23" s="21" t="n">
        <f aca="false">ROUND(B23*D23,1)</f>
        <v>0</v>
      </c>
      <c r="F23" s="21" t="n">
        <f aca="false">B23-E23</f>
        <v>437.5</v>
      </c>
      <c r="G23" s="30" t="n">
        <v>12</v>
      </c>
      <c r="H23" s="9" t="s">
        <v>215</v>
      </c>
      <c r="I23" s="24" t="n">
        <v>8</v>
      </c>
      <c r="J23" s="6" t="n">
        <f aca="false">ROUND(F23*I23,0)</f>
        <v>3500</v>
      </c>
      <c r="K23" s="5" t="s">
        <v>141</v>
      </c>
      <c r="L23" s="5" t="s">
        <v>142</v>
      </c>
      <c r="M23" s="8" t="n">
        <v>1</v>
      </c>
      <c r="N23" s="5" t="n">
        <v>1</v>
      </c>
      <c r="O23" s="9" t="s">
        <v>155</v>
      </c>
      <c r="P23" s="5" t="s">
        <v>144</v>
      </c>
      <c r="Q23" s="9" t="s">
        <v>412</v>
      </c>
    </row>
    <row r="24" customFormat="false" ht="22.35" hidden="false" customHeight="false" outlineLevel="0" collapsed="false">
      <c r="A24" s="9" t="s">
        <v>416</v>
      </c>
      <c r="B24" s="21" t="n">
        <v>544.6</v>
      </c>
      <c r="C24" s="25" t="s">
        <v>154</v>
      </c>
      <c r="D24" s="8" t="n">
        <v>0</v>
      </c>
      <c r="E24" s="21" t="n">
        <f aca="false">ROUND(B24*D24,1)</f>
        <v>0</v>
      </c>
      <c r="F24" s="21" t="n">
        <f aca="false">B24-E24</f>
        <v>544.6</v>
      </c>
      <c r="G24" s="30" t="n">
        <v>12</v>
      </c>
      <c r="H24" s="9" t="s">
        <v>215</v>
      </c>
      <c r="I24" s="24" t="n">
        <v>8</v>
      </c>
      <c r="J24" s="6" t="n">
        <f aca="false">ROUND(F24*I24,0)</f>
        <v>4357</v>
      </c>
      <c r="K24" s="5" t="s">
        <v>141</v>
      </c>
      <c r="L24" s="5" t="s">
        <v>150</v>
      </c>
      <c r="M24" s="8" t="n">
        <v>0.5</v>
      </c>
      <c r="N24" s="5" t="n">
        <v>2</v>
      </c>
      <c r="O24" s="9" t="s">
        <v>291</v>
      </c>
      <c r="P24" s="5" t="s">
        <v>144</v>
      </c>
      <c r="Q24" s="9" t="s">
        <v>412</v>
      </c>
    </row>
    <row r="25" customFormat="false" ht="22.35" hidden="false" customHeight="false" outlineLevel="0" collapsed="false">
      <c r="A25" s="9" t="s">
        <v>286</v>
      </c>
      <c r="B25" s="21" t="n">
        <v>438.6</v>
      </c>
      <c r="C25" s="25" t="s">
        <v>154</v>
      </c>
      <c r="D25" s="8" t="n">
        <v>0</v>
      </c>
      <c r="E25" s="21" t="n">
        <f aca="false">ROUND(B25*D25,1)</f>
        <v>0</v>
      </c>
      <c r="F25" s="21" t="n">
        <f aca="false">B25-E25</f>
        <v>438.6</v>
      </c>
      <c r="G25" s="23" t="n">
        <v>12</v>
      </c>
      <c r="H25" s="9" t="s">
        <v>211</v>
      </c>
      <c r="I25" s="24" t="n">
        <v>8</v>
      </c>
      <c r="J25" s="6" t="n">
        <f aca="false">ROUND(F25*I25,0)</f>
        <v>3509</v>
      </c>
      <c r="K25" s="5" t="s">
        <v>141</v>
      </c>
      <c r="L25" s="5" t="s">
        <v>174</v>
      </c>
      <c r="M25" s="8" t="n">
        <v>0</v>
      </c>
      <c r="N25" s="5" t="n">
        <v>1</v>
      </c>
      <c r="O25" s="9" t="s">
        <v>155</v>
      </c>
      <c r="P25" s="5" t="s">
        <v>144</v>
      </c>
      <c r="Q25" s="9" t="s">
        <v>412</v>
      </c>
    </row>
    <row r="26" customFormat="false" ht="22.35" hidden="false" customHeight="false" outlineLevel="0" collapsed="false">
      <c r="A26" s="9" t="s">
        <v>417</v>
      </c>
      <c r="B26" s="21" t="n">
        <v>224.8</v>
      </c>
      <c r="C26" s="25" t="s">
        <v>154</v>
      </c>
      <c r="D26" s="8" t="n">
        <v>0</v>
      </c>
      <c r="E26" s="21" t="n">
        <f aca="false">ROUND(B26*D26,1)</f>
        <v>0</v>
      </c>
      <c r="F26" s="21" t="n">
        <f aca="false">B26-E26</f>
        <v>224.8</v>
      </c>
      <c r="G26" s="23" t="n">
        <v>12</v>
      </c>
      <c r="H26" s="9" t="s">
        <v>211</v>
      </c>
      <c r="I26" s="24" t="n">
        <v>8</v>
      </c>
      <c r="J26" s="6" t="n">
        <f aca="false">ROUND(F26*I26,0)</f>
        <v>1798</v>
      </c>
      <c r="K26" s="5" t="s">
        <v>141</v>
      </c>
      <c r="L26" s="5" t="s">
        <v>142</v>
      </c>
      <c r="M26" s="8" t="n">
        <v>1</v>
      </c>
      <c r="N26" s="5" t="n">
        <v>1</v>
      </c>
      <c r="O26" s="9" t="s">
        <v>155</v>
      </c>
      <c r="P26" s="5" t="s">
        <v>144</v>
      </c>
      <c r="Q26" s="9" t="s">
        <v>412</v>
      </c>
    </row>
    <row r="27" customFormat="false" ht="22.35" hidden="false" customHeight="false" outlineLevel="0" collapsed="false">
      <c r="A27" s="9" t="s">
        <v>290</v>
      </c>
      <c r="B27" s="21" t="n">
        <v>453.4</v>
      </c>
      <c r="C27" s="25" t="s">
        <v>154</v>
      </c>
      <c r="D27" s="8" t="n">
        <v>0</v>
      </c>
      <c r="E27" s="21" t="n">
        <f aca="false">ROUND(B27*D27,1)</f>
        <v>0</v>
      </c>
      <c r="F27" s="21" t="n">
        <f aca="false">B27-E27</f>
        <v>453.4</v>
      </c>
      <c r="G27" s="23" t="n">
        <v>12</v>
      </c>
      <c r="H27" s="9" t="s">
        <v>211</v>
      </c>
      <c r="I27" s="24" t="n">
        <v>8</v>
      </c>
      <c r="J27" s="6" t="n">
        <f aca="false">ROUND(F27*I27,0)</f>
        <v>3627</v>
      </c>
      <c r="K27" s="5" t="s">
        <v>314</v>
      </c>
      <c r="L27" s="5" t="s">
        <v>142</v>
      </c>
      <c r="M27" s="8" t="n">
        <v>1</v>
      </c>
      <c r="N27" s="5" t="n">
        <v>1</v>
      </c>
      <c r="O27" s="9" t="s">
        <v>155</v>
      </c>
      <c r="P27" s="5" t="s">
        <v>144</v>
      </c>
      <c r="Q27" s="9" t="s">
        <v>412</v>
      </c>
    </row>
    <row r="28" customFormat="false" ht="22.35" hidden="false" customHeight="false" outlineLevel="0" collapsed="false">
      <c r="A28" s="9" t="s">
        <v>294</v>
      </c>
      <c r="B28" s="21" t="n">
        <v>449.6</v>
      </c>
      <c r="C28" s="25" t="s">
        <v>154</v>
      </c>
      <c r="D28" s="8" t="n">
        <v>0</v>
      </c>
      <c r="E28" s="21" t="n">
        <f aca="false">ROUND(B28*D28,1)</f>
        <v>0</v>
      </c>
      <c r="F28" s="21" t="n">
        <f aca="false">B28-E28</f>
        <v>449.6</v>
      </c>
      <c r="G28" s="23" t="n">
        <v>12</v>
      </c>
      <c r="H28" s="9" t="s">
        <v>211</v>
      </c>
      <c r="I28" s="24" t="n">
        <v>8</v>
      </c>
      <c r="J28" s="6" t="n">
        <f aca="false">ROUND(F28*I28,0)</f>
        <v>3597</v>
      </c>
      <c r="K28" s="5" t="s">
        <v>141</v>
      </c>
      <c r="L28" s="5" t="s">
        <v>174</v>
      </c>
      <c r="M28" s="8" t="n">
        <v>0</v>
      </c>
      <c r="N28" s="5" t="n">
        <v>1</v>
      </c>
      <c r="O28" s="9" t="s">
        <v>155</v>
      </c>
      <c r="P28" s="5" t="s">
        <v>144</v>
      </c>
      <c r="Q28" s="9" t="s">
        <v>412</v>
      </c>
    </row>
    <row r="29" customFormat="false" ht="22.35" hidden="false" customHeight="false" outlineLevel="0" collapsed="false">
      <c r="A29" s="9" t="s">
        <v>303</v>
      </c>
      <c r="B29" s="21" t="n">
        <v>444.1</v>
      </c>
      <c r="C29" s="25" t="s">
        <v>154</v>
      </c>
      <c r="D29" s="8" t="n">
        <v>0</v>
      </c>
      <c r="E29" s="21" t="n">
        <f aca="false">ROUND(B29*D29,1)</f>
        <v>0</v>
      </c>
      <c r="F29" s="21" t="n">
        <f aca="false">B29-E29</f>
        <v>444.1</v>
      </c>
      <c r="G29" s="23" t="n">
        <v>12</v>
      </c>
      <c r="H29" s="9" t="s">
        <v>211</v>
      </c>
      <c r="I29" s="24" t="n">
        <v>8</v>
      </c>
      <c r="J29" s="6" t="n">
        <f aca="false">ROUND(F29*I29,0)</f>
        <v>3553</v>
      </c>
      <c r="K29" s="5" t="s">
        <v>141</v>
      </c>
      <c r="L29" s="5" t="s">
        <v>174</v>
      </c>
      <c r="M29" s="8" t="n">
        <v>0</v>
      </c>
      <c r="N29" s="5" t="n">
        <v>1</v>
      </c>
      <c r="O29" s="9" t="s">
        <v>155</v>
      </c>
      <c r="P29" s="5" t="s">
        <v>144</v>
      </c>
      <c r="Q29" s="9" t="s">
        <v>412</v>
      </c>
    </row>
    <row r="30" customFormat="false" ht="22.35" hidden="false" customHeight="false" outlineLevel="0" collapsed="false">
      <c r="A30" s="9" t="s">
        <v>313</v>
      </c>
      <c r="B30" s="21" t="n">
        <v>600</v>
      </c>
      <c r="C30" s="25" t="s">
        <v>154</v>
      </c>
      <c r="D30" s="8" t="n">
        <v>0</v>
      </c>
      <c r="E30" s="21" t="n">
        <f aca="false">ROUND(B30*D30,1)</f>
        <v>0</v>
      </c>
      <c r="F30" s="21" t="n">
        <f aca="false">B30-E30</f>
        <v>600</v>
      </c>
      <c r="G30" s="23" t="n">
        <v>12</v>
      </c>
      <c r="H30" s="9" t="s">
        <v>211</v>
      </c>
      <c r="I30" s="24" t="n">
        <v>8</v>
      </c>
      <c r="J30" s="6" t="n">
        <f aca="false">ROUND(F30*I30,0)</f>
        <v>4800</v>
      </c>
      <c r="K30" s="5" t="s">
        <v>141</v>
      </c>
      <c r="L30" s="5" t="s">
        <v>174</v>
      </c>
      <c r="M30" s="8" t="n">
        <v>0</v>
      </c>
      <c r="N30" s="5" t="n">
        <v>2</v>
      </c>
      <c r="O30" s="9" t="s">
        <v>291</v>
      </c>
      <c r="P30" s="5" t="s">
        <v>144</v>
      </c>
      <c r="Q30" s="9" t="s">
        <v>412</v>
      </c>
    </row>
    <row r="31" customFormat="false" ht="22.35" hidden="false" customHeight="false" outlineLevel="0" collapsed="false">
      <c r="A31" s="9" t="s">
        <v>297</v>
      </c>
      <c r="B31" s="21" t="n">
        <v>613.3</v>
      </c>
      <c r="C31" s="25" t="s">
        <v>154</v>
      </c>
      <c r="D31" s="8" t="n">
        <v>0</v>
      </c>
      <c r="E31" s="21" t="n">
        <f aca="false">ROUND(B31*D31,1)</f>
        <v>0</v>
      </c>
      <c r="F31" s="21" t="n">
        <f aca="false">B31-E31</f>
        <v>613.3</v>
      </c>
      <c r="G31" s="23" t="n">
        <v>12</v>
      </c>
      <c r="H31" s="9" t="s">
        <v>211</v>
      </c>
      <c r="I31" s="24" t="n">
        <v>8</v>
      </c>
      <c r="J31" s="6" t="n">
        <f aca="false">ROUND(F31*I31,0)</f>
        <v>4906</v>
      </c>
      <c r="K31" s="5" t="s">
        <v>314</v>
      </c>
      <c r="L31" s="5" t="s">
        <v>150</v>
      </c>
      <c r="M31" s="8" t="n">
        <v>0.5</v>
      </c>
      <c r="N31" s="5" t="n">
        <v>1</v>
      </c>
      <c r="O31" s="9" t="s">
        <v>155</v>
      </c>
      <c r="P31" s="5" t="s">
        <v>144</v>
      </c>
      <c r="Q31" s="9" t="s">
        <v>412</v>
      </c>
    </row>
    <row r="32" customFormat="false" ht="22.35" hidden="false" customHeight="false" outlineLevel="0" collapsed="false">
      <c r="A32" s="9" t="s">
        <v>312</v>
      </c>
      <c r="B32" s="21" t="n">
        <v>640.2</v>
      </c>
      <c r="C32" s="26" t="s">
        <v>150</v>
      </c>
      <c r="D32" s="8" t="n">
        <v>0.5</v>
      </c>
      <c r="E32" s="21" t="n">
        <f aca="false">ROUND(B32*D32,1)</f>
        <v>320.1</v>
      </c>
      <c r="F32" s="21" t="n">
        <f aca="false">B32-E32</f>
        <v>320.1</v>
      </c>
      <c r="G32" s="23" t="n">
        <v>12</v>
      </c>
      <c r="H32" s="9" t="s">
        <v>211</v>
      </c>
      <c r="I32" s="24" t="n">
        <v>8</v>
      </c>
      <c r="J32" s="6" t="n">
        <f aca="false">ROUND(F32*I32,0)</f>
        <v>2561</v>
      </c>
      <c r="K32" s="5" t="s">
        <v>141</v>
      </c>
      <c r="L32" s="5" t="s">
        <v>150</v>
      </c>
      <c r="M32" s="8" t="n">
        <v>0.5</v>
      </c>
      <c r="N32" s="5" t="n">
        <v>2</v>
      </c>
      <c r="O32" s="9" t="s">
        <v>296</v>
      </c>
      <c r="P32" s="5" t="s">
        <v>144</v>
      </c>
      <c r="Q32" s="9" t="s">
        <v>412</v>
      </c>
    </row>
    <row r="33" customFormat="false" ht="22.35" hidden="false" customHeight="false" outlineLevel="0" collapsed="false">
      <c r="A33" s="9" t="s">
        <v>295</v>
      </c>
      <c r="B33" s="21" t="n">
        <v>642.4</v>
      </c>
      <c r="C33" s="25" t="s">
        <v>154</v>
      </c>
      <c r="D33" s="8" t="n">
        <v>0</v>
      </c>
      <c r="E33" s="21" t="n">
        <f aca="false">ROUND(B33*D33,1)</f>
        <v>0</v>
      </c>
      <c r="F33" s="21" t="n">
        <f aca="false">B33-E33</f>
        <v>642.4</v>
      </c>
      <c r="G33" s="23" t="n">
        <v>12</v>
      </c>
      <c r="H33" s="9" t="s">
        <v>211</v>
      </c>
      <c r="I33" s="24" t="n">
        <v>8</v>
      </c>
      <c r="J33" s="6" t="n">
        <f aca="false">ROUND(F33*I33,0)</f>
        <v>5139</v>
      </c>
      <c r="K33" s="5" t="s">
        <v>141</v>
      </c>
      <c r="L33" s="5" t="s">
        <v>150</v>
      </c>
      <c r="M33" s="8" t="n">
        <v>0.5</v>
      </c>
      <c r="N33" s="5" t="n">
        <v>2</v>
      </c>
      <c r="O33" s="9" t="s">
        <v>291</v>
      </c>
      <c r="P33" s="5" t="s">
        <v>144</v>
      </c>
      <c r="Q33" s="9" t="s">
        <v>412</v>
      </c>
    </row>
    <row r="34" customFormat="false" ht="15" hidden="false" customHeight="false" outlineLevel="0" collapsed="false">
      <c r="A34" s="9" t="s">
        <v>418</v>
      </c>
      <c r="B34" s="21" t="n">
        <v>12.2</v>
      </c>
      <c r="C34" s="25" t="s">
        <v>154</v>
      </c>
      <c r="D34" s="8" t="n">
        <v>0</v>
      </c>
      <c r="E34" s="21" t="n">
        <f aca="false">ROUND(B34*D34,1)</f>
        <v>0</v>
      </c>
      <c r="F34" s="21" t="n">
        <f aca="false">B34-E34</f>
        <v>12.2</v>
      </c>
      <c r="G34" s="23" t="n">
        <v>12</v>
      </c>
      <c r="H34" s="9" t="s">
        <v>211</v>
      </c>
      <c r="I34" s="24" t="n">
        <v>8</v>
      </c>
      <c r="J34" s="6" t="n">
        <f aca="false">ROUND(F34*I34,0)</f>
        <v>98</v>
      </c>
      <c r="K34" s="5" t="s">
        <v>141</v>
      </c>
      <c r="L34" s="5" t="s">
        <v>174</v>
      </c>
      <c r="M34" s="8" t="n">
        <v>0</v>
      </c>
      <c r="N34" s="5" t="n">
        <v>1</v>
      </c>
      <c r="O34" s="9" t="s">
        <v>155</v>
      </c>
      <c r="P34" s="5" t="s">
        <v>144</v>
      </c>
      <c r="Q34" s="9" t="s">
        <v>419</v>
      </c>
    </row>
    <row r="35" customFormat="false" ht="22.35" hidden="false" customHeight="false" outlineLevel="0" collapsed="false">
      <c r="A35" s="9" t="s">
        <v>420</v>
      </c>
      <c r="B35" s="21" t="n">
        <v>32.7</v>
      </c>
      <c r="C35" s="25" t="s">
        <v>154</v>
      </c>
      <c r="D35" s="8" t="n">
        <v>0</v>
      </c>
      <c r="E35" s="21" t="n">
        <f aca="false">ROUND(B35*D35,1)</f>
        <v>0</v>
      </c>
      <c r="F35" s="21" t="n">
        <f aca="false">B35-E35</f>
        <v>32.7</v>
      </c>
      <c r="G35" s="30" t="n">
        <v>12</v>
      </c>
      <c r="H35" s="9" t="s">
        <v>215</v>
      </c>
      <c r="I35" s="24" t="n">
        <v>8</v>
      </c>
      <c r="J35" s="6" t="n">
        <f aca="false">ROUND(F35*I35,0)</f>
        <v>262</v>
      </c>
      <c r="K35" s="5" t="s">
        <v>141</v>
      </c>
      <c r="L35" s="5" t="s">
        <v>150</v>
      </c>
      <c r="M35" s="8" t="n">
        <v>0.5</v>
      </c>
      <c r="N35" s="5" t="n">
        <v>1</v>
      </c>
      <c r="O35" s="9" t="s">
        <v>155</v>
      </c>
      <c r="P35" s="5" t="s">
        <v>144</v>
      </c>
      <c r="Q35" s="9" t="s">
        <v>421</v>
      </c>
    </row>
    <row r="36" customFormat="false" ht="22.35" hidden="false" customHeight="false" outlineLevel="0" collapsed="false">
      <c r="A36" s="9" t="s">
        <v>168</v>
      </c>
      <c r="B36" s="21" t="n">
        <v>24.2</v>
      </c>
      <c r="C36" s="26" t="s">
        <v>150</v>
      </c>
      <c r="D36" s="8" t="n">
        <v>0.08</v>
      </c>
      <c r="E36" s="21" t="n">
        <f aca="false">ROUND(B36*D36,1)</f>
        <v>1.9</v>
      </c>
      <c r="F36" s="21" t="n">
        <f aca="false">B36-E36</f>
        <v>22.3</v>
      </c>
      <c r="G36" s="23" t="n">
        <v>12</v>
      </c>
      <c r="H36" s="9" t="s">
        <v>211</v>
      </c>
      <c r="I36" s="24" t="n">
        <v>8</v>
      </c>
      <c r="J36" s="6" t="n">
        <f aca="false">ROUND(F36*I36,0)</f>
        <v>178</v>
      </c>
      <c r="K36" s="5" t="s">
        <v>216</v>
      </c>
      <c r="L36" s="5" t="s">
        <v>217</v>
      </c>
      <c r="M36" s="8" t="s">
        <v>218</v>
      </c>
      <c r="N36" s="5" t="n">
        <v>0</v>
      </c>
      <c r="O36" s="9" t="s">
        <v>219</v>
      </c>
      <c r="P36" s="5" t="s">
        <v>144</v>
      </c>
      <c r="Q36" s="9" t="s">
        <v>422</v>
      </c>
    </row>
    <row r="37" customFormat="false" ht="15" hidden="false" customHeight="false" outlineLevel="0" collapsed="false">
      <c r="A37" s="12" t="s">
        <v>189</v>
      </c>
      <c r="B37" s="13" t="n">
        <f aca="false">SUM(B6:B36)</f>
        <v>13895.5</v>
      </c>
      <c r="C37" s="12"/>
      <c r="D37" s="14" t="n">
        <f aca="false">IF(B37=0,0,E37/B37)</f>
        <v>0.0541326328667554</v>
      </c>
      <c r="E37" s="13" t="n">
        <f aca="false">SUM(E6:E36)</f>
        <v>752.2</v>
      </c>
      <c r="F37" s="13" t="n">
        <f aca="false">SUM(F6:F36)</f>
        <v>13143.3</v>
      </c>
      <c r="G37" s="12"/>
      <c r="H37" s="12"/>
      <c r="I37" s="12"/>
      <c r="J37" s="13" t="n">
        <f aca="false">SUM(J6:J36)</f>
        <v>110278</v>
      </c>
      <c r="K37" s="12"/>
      <c r="L37" s="12"/>
      <c r="M37" s="12"/>
      <c r="N37" s="12"/>
      <c r="O37" s="12"/>
      <c r="P37" s="12"/>
      <c r="Q37" s="12"/>
    </row>
    <row r="39" customFormat="false" ht="15" hidden="false" customHeight="false" outlineLevel="0" collapsed="false">
      <c r="A39" s="16" t="s">
        <v>190</v>
      </c>
      <c r="D39" s="27" t="n">
        <f aca="false">J37</f>
        <v>110278</v>
      </c>
      <c r="F39" s="20" t="s">
        <v>191</v>
      </c>
    </row>
    <row r="40" customFormat="false" ht="15" hidden="false" customHeight="false" outlineLevel="0" collapsed="false">
      <c r="A40" s="16" t="s">
        <v>192</v>
      </c>
      <c r="D40" s="27" t="n">
        <f aca="false">F37*8</f>
        <v>105146.4</v>
      </c>
      <c r="F40" s="20" t="s">
        <v>193</v>
      </c>
    </row>
    <row r="41" customFormat="false" ht="15" hidden="false" customHeight="false" outlineLevel="0" collapsed="false">
      <c r="A41" s="16" t="s">
        <v>194</v>
      </c>
      <c r="D41" s="28" t="n">
        <v>0</v>
      </c>
      <c r="F41" s="20" t="s">
        <v>195</v>
      </c>
    </row>
    <row r="42" customFormat="false" ht="15" hidden="false" customHeight="false" outlineLevel="0" collapsed="false">
      <c r="A42" s="16" t="s">
        <v>196</v>
      </c>
      <c r="D42" s="29" t="n">
        <v>0.44</v>
      </c>
      <c r="F42" s="20" t="s">
        <v>53</v>
      </c>
    </row>
    <row r="43" customFormat="false" ht="15" hidden="false" customHeight="false" outlineLevel="0" collapsed="false">
      <c r="A43" s="16" t="s">
        <v>197</v>
      </c>
      <c r="D43" s="27" t="n">
        <f aca="false">(B37-D41)*(1-D42)</f>
        <v>7781.48</v>
      </c>
      <c r="F43" s="20" t="s">
        <v>198</v>
      </c>
    </row>
    <row r="44" customFormat="false" ht="15" hidden="false" customHeight="false" outlineLevel="0" collapsed="false">
      <c r="A44" s="16" t="s">
        <v>199</v>
      </c>
      <c r="D44" s="27" t="n">
        <f aca="false">ROUND(D43*4.081,0)</f>
        <v>31756</v>
      </c>
      <c r="F44" s="20" t="s">
        <v>423</v>
      </c>
    </row>
    <row r="45" customFormat="false" ht="15" hidden="false" customHeight="false" outlineLevel="0" collapsed="false">
      <c r="A45" s="16" t="s">
        <v>201</v>
      </c>
      <c r="D45" s="28" t="n">
        <v>41</v>
      </c>
    </row>
    <row r="46" customFormat="false" ht="15" hidden="false" customHeight="false" outlineLevel="0" collapsed="false">
      <c r="A46" s="16" t="s">
        <v>202</v>
      </c>
      <c r="D46" s="28" t="n">
        <v>0</v>
      </c>
      <c r="F46" s="20" t="s">
        <v>203</v>
      </c>
    </row>
    <row r="47" customFormat="false" ht="15" hidden="false" customHeight="false" outlineLevel="0" collapsed="false">
      <c r="A47" s="16" t="s">
        <v>204</v>
      </c>
      <c r="D47" s="28" t="n">
        <v>752</v>
      </c>
    </row>
    <row r="48" customFormat="false" ht="15" hidden="false" customHeight="false" outlineLevel="0" collapsed="false">
      <c r="A48" s="16" t="s">
        <v>205</v>
      </c>
      <c r="D48" s="28" t="n">
        <v>0</v>
      </c>
      <c r="F48" s="20" t="s">
        <v>206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3"/>
    <col collapsed="false" customWidth="true" hidden="false" outlineLevel="0" max="3" min="3" style="0" width="15"/>
    <col collapsed="false" customWidth="true" hidden="false" outlineLevel="0" max="4" min="4" style="0" width="12"/>
    <col collapsed="false" customWidth="true" hidden="false" outlineLevel="0" max="6" min="5" style="0" width="13"/>
    <col collapsed="false" customWidth="true" hidden="false" outlineLevel="0" max="7" min="7" style="0" width="11"/>
    <col collapsed="false" customWidth="true" hidden="false" outlineLevel="0" max="8" min="8" style="0" width="20"/>
    <col collapsed="false" customWidth="true" hidden="false" outlineLevel="0" max="10" min="9" style="0" width="13"/>
    <col collapsed="false" customWidth="true" hidden="false" outlineLevel="0" max="11" min="11" style="0" width="10"/>
    <col collapsed="false" customWidth="true" hidden="false" outlineLevel="0" max="12" min="12" style="0" width="13"/>
    <col collapsed="false" customWidth="true" hidden="false" outlineLevel="0" max="14" min="13" style="0" width="9"/>
    <col collapsed="false" customWidth="true" hidden="false" outlineLevel="0" max="15" min="15" style="0" width="46"/>
    <col collapsed="false" customWidth="true" hidden="false" outlineLevel="0" max="16" min="16" style="0" width="17"/>
    <col collapsed="false" customWidth="true" hidden="false" outlineLevel="0" max="17" min="17" style="0" width="52"/>
  </cols>
  <sheetData>
    <row r="1" customFormat="false" ht="16.15" hidden="false" customHeight="false" outlineLevel="0" collapsed="false">
      <c r="A1" s="18" t="s">
        <v>424</v>
      </c>
    </row>
    <row r="2" customFormat="false" ht="15" hidden="false" customHeight="false" outlineLevel="0" collapsed="false">
      <c r="A2" s="19" t="s">
        <v>425</v>
      </c>
    </row>
    <row r="3" customFormat="false" ht="15" hidden="false" customHeight="false" outlineLevel="0" collapsed="false">
      <c r="A3" s="20" t="s">
        <v>426</v>
      </c>
    </row>
    <row r="5" customFormat="false" ht="32.8" hidden="false" customHeight="false" outlineLevel="0" collapsed="false">
      <c r="A5" s="4" t="s">
        <v>122</v>
      </c>
      <c r="B5" s="4" t="s">
        <v>123</v>
      </c>
      <c r="C5" s="4" t="s">
        <v>124</v>
      </c>
      <c r="D5" s="4" t="s">
        <v>125</v>
      </c>
      <c r="E5" s="4" t="s">
        <v>126</v>
      </c>
      <c r="F5" s="4" t="s">
        <v>12</v>
      </c>
      <c r="G5" s="4" t="s">
        <v>127</v>
      </c>
      <c r="H5" s="4" t="s">
        <v>128</v>
      </c>
      <c r="I5" s="4" t="s">
        <v>129</v>
      </c>
      <c r="J5" s="4" t="s">
        <v>130</v>
      </c>
      <c r="K5" s="4" t="s">
        <v>131</v>
      </c>
      <c r="L5" s="4" t="s">
        <v>132</v>
      </c>
      <c r="M5" s="4" t="s">
        <v>133</v>
      </c>
      <c r="N5" s="4" t="s">
        <v>134</v>
      </c>
      <c r="O5" s="4" t="s">
        <v>135</v>
      </c>
      <c r="P5" s="4" t="s">
        <v>136</v>
      </c>
      <c r="Q5" s="4" t="s">
        <v>137</v>
      </c>
    </row>
    <row r="6" customFormat="false" ht="32.8" hidden="false" customHeight="false" outlineLevel="0" collapsed="false">
      <c r="A6" s="9" t="s">
        <v>427</v>
      </c>
      <c r="B6" s="21" t="n">
        <v>1980</v>
      </c>
      <c r="C6" s="25" t="s">
        <v>154</v>
      </c>
      <c r="D6" s="8" t="n">
        <v>0</v>
      </c>
      <c r="E6" s="21" t="n">
        <f aca="false">ROUND(B6*D6,1)</f>
        <v>0</v>
      </c>
      <c r="F6" s="21" t="n">
        <f aca="false">B6-E6</f>
        <v>1980</v>
      </c>
      <c r="G6" s="30" t="n">
        <v>16</v>
      </c>
      <c r="H6" s="9" t="s">
        <v>215</v>
      </c>
      <c r="I6" s="24" t="n">
        <v>11</v>
      </c>
      <c r="J6" s="6" t="n">
        <f aca="false">ROUND(F6*I6,0)</f>
        <v>21780</v>
      </c>
      <c r="K6" s="5" t="s">
        <v>141</v>
      </c>
      <c r="L6" s="5" t="s">
        <v>174</v>
      </c>
      <c r="M6" s="8" t="n">
        <v>0</v>
      </c>
      <c r="N6" s="5" t="n">
        <v>6</v>
      </c>
      <c r="O6" s="9" t="s">
        <v>428</v>
      </c>
      <c r="P6" s="5" t="s">
        <v>144</v>
      </c>
      <c r="Q6" s="9" t="s">
        <v>429</v>
      </c>
    </row>
    <row r="7" customFormat="false" ht="32.8" hidden="false" customHeight="false" outlineLevel="0" collapsed="false">
      <c r="A7" s="9" t="s">
        <v>171</v>
      </c>
      <c r="B7" s="21" t="n">
        <v>511.5</v>
      </c>
      <c r="C7" s="22" t="s">
        <v>139</v>
      </c>
      <c r="D7" s="8" t="n">
        <v>1</v>
      </c>
      <c r="E7" s="21" t="n">
        <f aca="false">ROUND(B7*D7,1)</f>
        <v>511.5</v>
      </c>
      <c r="F7" s="21" t="n">
        <f aca="false">B7-E7</f>
        <v>0</v>
      </c>
      <c r="G7" s="23" t="n">
        <v>16</v>
      </c>
      <c r="H7" s="9" t="s">
        <v>211</v>
      </c>
      <c r="I7" s="24" t="n">
        <v>11</v>
      </c>
      <c r="J7" s="6" t="n">
        <f aca="false">ROUND(F7*I7,0)</f>
        <v>0</v>
      </c>
      <c r="K7" s="5" t="s">
        <v>314</v>
      </c>
      <c r="L7" s="5" t="s">
        <v>150</v>
      </c>
      <c r="M7" s="8" t="n">
        <v>0.5</v>
      </c>
      <c r="N7" s="5" t="n">
        <v>1</v>
      </c>
      <c r="O7" s="9" t="s">
        <v>151</v>
      </c>
      <c r="P7" s="5" t="s">
        <v>144</v>
      </c>
      <c r="Q7" s="9" t="s">
        <v>430</v>
      </c>
    </row>
    <row r="8" customFormat="false" ht="32.8" hidden="false" customHeight="false" outlineLevel="0" collapsed="false">
      <c r="A8" s="9" t="s">
        <v>138</v>
      </c>
      <c r="B8" s="21" t="n">
        <v>239.5</v>
      </c>
      <c r="C8" s="25" t="s">
        <v>154</v>
      </c>
      <c r="D8" s="8" t="n">
        <v>0</v>
      </c>
      <c r="E8" s="21" t="n">
        <f aca="false">ROUND(B8*D8,1)</f>
        <v>0</v>
      </c>
      <c r="F8" s="21" t="n">
        <f aca="false">B8-E8</f>
        <v>239.5</v>
      </c>
      <c r="G8" s="23" t="n">
        <v>16</v>
      </c>
      <c r="H8" s="9" t="s">
        <v>211</v>
      </c>
      <c r="I8" s="24" t="n">
        <v>11</v>
      </c>
      <c r="J8" s="6" t="n">
        <f aca="false">ROUND(F8*I8,0)</f>
        <v>2635</v>
      </c>
      <c r="K8" s="5" t="s">
        <v>141</v>
      </c>
      <c r="L8" s="5" t="s">
        <v>174</v>
      </c>
      <c r="M8" s="8" t="n">
        <v>0</v>
      </c>
      <c r="N8" s="5" t="n">
        <v>1</v>
      </c>
      <c r="O8" s="9" t="s">
        <v>155</v>
      </c>
      <c r="P8" s="5" t="s">
        <v>144</v>
      </c>
      <c r="Q8" s="9" t="s">
        <v>431</v>
      </c>
    </row>
    <row r="9" customFormat="false" ht="32.8" hidden="false" customHeight="false" outlineLevel="0" collapsed="false">
      <c r="A9" s="9" t="s">
        <v>432</v>
      </c>
      <c r="B9" s="21" t="n">
        <v>126</v>
      </c>
      <c r="C9" s="25" t="s">
        <v>154</v>
      </c>
      <c r="D9" s="8" t="n">
        <v>0</v>
      </c>
      <c r="E9" s="21" t="n">
        <f aca="false">ROUND(B9*D9,1)</f>
        <v>0</v>
      </c>
      <c r="F9" s="21" t="n">
        <f aca="false">B9-E9</f>
        <v>126</v>
      </c>
      <c r="G9" s="23" t="n">
        <v>16</v>
      </c>
      <c r="H9" s="9" t="s">
        <v>211</v>
      </c>
      <c r="I9" s="24" t="n">
        <v>11</v>
      </c>
      <c r="J9" s="6" t="n">
        <f aca="false">ROUND(F9*I9,0)</f>
        <v>1386</v>
      </c>
      <c r="K9" s="5" t="s">
        <v>216</v>
      </c>
      <c r="L9" s="5" t="s">
        <v>217</v>
      </c>
      <c r="M9" s="8" t="s">
        <v>218</v>
      </c>
      <c r="N9" s="5" t="n">
        <v>0</v>
      </c>
      <c r="O9" s="9" t="s">
        <v>219</v>
      </c>
      <c r="P9" s="5" t="s">
        <v>220</v>
      </c>
      <c r="Q9" s="9" t="s">
        <v>433</v>
      </c>
    </row>
    <row r="10" customFormat="false" ht="32.8" hidden="false" customHeight="false" outlineLevel="0" collapsed="false">
      <c r="A10" s="9" t="s">
        <v>434</v>
      </c>
      <c r="B10" s="21" t="n">
        <v>126</v>
      </c>
      <c r="C10" s="25" t="s">
        <v>154</v>
      </c>
      <c r="D10" s="8" t="n">
        <v>0</v>
      </c>
      <c r="E10" s="21" t="n">
        <f aca="false">ROUND(B10*D10,1)</f>
        <v>0</v>
      </c>
      <c r="F10" s="21" t="n">
        <f aca="false">B10-E10</f>
        <v>126</v>
      </c>
      <c r="G10" s="23" t="n">
        <v>16</v>
      </c>
      <c r="H10" s="9" t="s">
        <v>211</v>
      </c>
      <c r="I10" s="24" t="n">
        <v>11</v>
      </c>
      <c r="J10" s="6" t="n">
        <f aca="false">ROUND(F10*I10,0)</f>
        <v>1386</v>
      </c>
      <c r="K10" s="5" t="s">
        <v>216</v>
      </c>
      <c r="L10" s="5" t="s">
        <v>217</v>
      </c>
      <c r="M10" s="8" t="s">
        <v>218</v>
      </c>
      <c r="N10" s="5" t="n">
        <v>0</v>
      </c>
      <c r="O10" s="9" t="s">
        <v>219</v>
      </c>
      <c r="P10" s="5" t="s">
        <v>220</v>
      </c>
      <c r="Q10" s="9" t="s">
        <v>433</v>
      </c>
    </row>
    <row r="11" customFormat="false" ht="32.8" hidden="false" customHeight="false" outlineLevel="0" collapsed="false">
      <c r="A11" s="9" t="s">
        <v>435</v>
      </c>
      <c r="B11" s="21" t="n">
        <v>126</v>
      </c>
      <c r="C11" s="25" t="s">
        <v>154</v>
      </c>
      <c r="D11" s="8" t="n">
        <v>0</v>
      </c>
      <c r="E11" s="21" t="n">
        <f aca="false">ROUND(B11*D11,1)</f>
        <v>0</v>
      </c>
      <c r="F11" s="21" t="n">
        <f aca="false">B11-E11</f>
        <v>126</v>
      </c>
      <c r="G11" s="23" t="n">
        <v>16</v>
      </c>
      <c r="H11" s="9" t="s">
        <v>211</v>
      </c>
      <c r="I11" s="24" t="n">
        <v>11</v>
      </c>
      <c r="J11" s="6" t="n">
        <f aca="false">ROUND(F11*I11,0)</f>
        <v>1386</v>
      </c>
      <c r="K11" s="5" t="s">
        <v>216</v>
      </c>
      <c r="L11" s="5" t="s">
        <v>217</v>
      </c>
      <c r="M11" s="8" t="s">
        <v>218</v>
      </c>
      <c r="N11" s="5" t="n">
        <v>0</v>
      </c>
      <c r="O11" s="9" t="s">
        <v>219</v>
      </c>
      <c r="P11" s="5" t="s">
        <v>220</v>
      </c>
      <c r="Q11" s="9" t="s">
        <v>433</v>
      </c>
    </row>
    <row r="12" customFormat="false" ht="32.8" hidden="false" customHeight="false" outlineLevel="0" collapsed="false">
      <c r="A12" s="9" t="s">
        <v>436</v>
      </c>
      <c r="B12" s="21" t="n">
        <v>126</v>
      </c>
      <c r="C12" s="25" t="s">
        <v>154</v>
      </c>
      <c r="D12" s="8" t="n">
        <v>0</v>
      </c>
      <c r="E12" s="21" t="n">
        <f aca="false">ROUND(B12*D12,1)</f>
        <v>0</v>
      </c>
      <c r="F12" s="21" t="n">
        <f aca="false">B12-E12</f>
        <v>126</v>
      </c>
      <c r="G12" s="23" t="n">
        <v>16</v>
      </c>
      <c r="H12" s="9" t="s">
        <v>211</v>
      </c>
      <c r="I12" s="24" t="n">
        <v>11</v>
      </c>
      <c r="J12" s="6" t="n">
        <f aca="false">ROUND(F12*I12,0)</f>
        <v>1386</v>
      </c>
      <c r="K12" s="5" t="s">
        <v>216</v>
      </c>
      <c r="L12" s="5" t="s">
        <v>217</v>
      </c>
      <c r="M12" s="8" t="s">
        <v>218</v>
      </c>
      <c r="N12" s="5" t="n">
        <v>0</v>
      </c>
      <c r="O12" s="9" t="s">
        <v>219</v>
      </c>
      <c r="P12" s="5" t="s">
        <v>220</v>
      </c>
      <c r="Q12" s="9" t="s">
        <v>433</v>
      </c>
    </row>
    <row r="13" customFormat="false" ht="32.8" hidden="false" customHeight="false" outlineLevel="0" collapsed="false">
      <c r="A13" s="9" t="s">
        <v>437</v>
      </c>
      <c r="B13" s="21" t="n">
        <v>126</v>
      </c>
      <c r="C13" s="25" t="s">
        <v>154</v>
      </c>
      <c r="D13" s="8" t="n">
        <v>0</v>
      </c>
      <c r="E13" s="21" t="n">
        <f aca="false">ROUND(B13*D13,1)</f>
        <v>0</v>
      </c>
      <c r="F13" s="21" t="n">
        <f aca="false">B13-E13</f>
        <v>126</v>
      </c>
      <c r="G13" s="23" t="n">
        <v>16</v>
      </c>
      <c r="H13" s="9" t="s">
        <v>211</v>
      </c>
      <c r="I13" s="24" t="n">
        <v>11</v>
      </c>
      <c r="J13" s="6" t="n">
        <f aca="false">ROUND(F13*I13,0)</f>
        <v>1386</v>
      </c>
      <c r="K13" s="5" t="s">
        <v>216</v>
      </c>
      <c r="L13" s="5" t="s">
        <v>217</v>
      </c>
      <c r="M13" s="8" t="s">
        <v>218</v>
      </c>
      <c r="N13" s="5" t="n">
        <v>0</v>
      </c>
      <c r="O13" s="9" t="s">
        <v>219</v>
      </c>
      <c r="P13" s="5" t="s">
        <v>220</v>
      </c>
      <c r="Q13" s="9" t="s">
        <v>433</v>
      </c>
    </row>
    <row r="14" customFormat="false" ht="32.8" hidden="false" customHeight="false" outlineLevel="0" collapsed="false">
      <c r="A14" s="9" t="s">
        <v>438</v>
      </c>
      <c r="B14" s="21" t="n">
        <v>126</v>
      </c>
      <c r="C14" s="25" t="s">
        <v>154</v>
      </c>
      <c r="D14" s="8" t="n">
        <v>0</v>
      </c>
      <c r="E14" s="21" t="n">
        <f aca="false">ROUND(B14*D14,1)</f>
        <v>0</v>
      </c>
      <c r="F14" s="21" t="n">
        <f aca="false">B14-E14</f>
        <v>126</v>
      </c>
      <c r="G14" s="23" t="n">
        <v>16</v>
      </c>
      <c r="H14" s="9" t="s">
        <v>211</v>
      </c>
      <c r="I14" s="24" t="n">
        <v>11</v>
      </c>
      <c r="J14" s="6" t="n">
        <f aca="false">ROUND(F14*I14,0)</f>
        <v>1386</v>
      </c>
      <c r="K14" s="5" t="s">
        <v>216</v>
      </c>
      <c r="L14" s="5" t="s">
        <v>217</v>
      </c>
      <c r="M14" s="8" t="s">
        <v>218</v>
      </c>
      <c r="N14" s="5" t="n">
        <v>0</v>
      </c>
      <c r="O14" s="9" t="s">
        <v>219</v>
      </c>
      <c r="P14" s="5" t="s">
        <v>220</v>
      </c>
      <c r="Q14" s="9" t="s">
        <v>433</v>
      </c>
    </row>
    <row r="15" customFormat="false" ht="32.8" hidden="false" customHeight="false" outlineLevel="0" collapsed="false">
      <c r="A15" s="9" t="s">
        <v>439</v>
      </c>
      <c r="B15" s="21" t="n">
        <v>126</v>
      </c>
      <c r="C15" s="25" t="s">
        <v>154</v>
      </c>
      <c r="D15" s="8" t="n">
        <v>0</v>
      </c>
      <c r="E15" s="21" t="n">
        <f aca="false">ROUND(B15*D15,1)</f>
        <v>0</v>
      </c>
      <c r="F15" s="21" t="n">
        <f aca="false">B15-E15</f>
        <v>126</v>
      </c>
      <c r="G15" s="23" t="n">
        <v>16</v>
      </c>
      <c r="H15" s="9" t="s">
        <v>211</v>
      </c>
      <c r="I15" s="24" t="n">
        <v>11</v>
      </c>
      <c r="J15" s="6" t="n">
        <f aca="false">ROUND(F15*I15,0)</f>
        <v>1386</v>
      </c>
      <c r="K15" s="5" t="s">
        <v>216</v>
      </c>
      <c r="L15" s="5" t="s">
        <v>217</v>
      </c>
      <c r="M15" s="8" t="s">
        <v>218</v>
      </c>
      <c r="N15" s="5" t="n">
        <v>0</v>
      </c>
      <c r="O15" s="9" t="s">
        <v>219</v>
      </c>
      <c r="P15" s="5" t="s">
        <v>220</v>
      </c>
      <c r="Q15" s="9" t="s">
        <v>433</v>
      </c>
    </row>
    <row r="16" customFormat="false" ht="32.8" hidden="false" customHeight="false" outlineLevel="0" collapsed="false">
      <c r="A16" s="9" t="s">
        <v>440</v>
      </c>
      <c r="B16" s="21" t="n">
        <v>126</v>
      </c>
      <c r="C16" s="25" t="s">
        <v>154</v>
      </c>
      <c r="D16" s="8" t="n">
        <v>0</v>
      </c>
      <c r="E16" s="21" t="n">
        <f aca="false">ROUND(B16*D16,1)</f>
        <v>0</v>
      </c>
      <c r="F16" s="21" t="n">
        <f aca="false">B16-E16</f>
        <v>126</v>
      </c>
      <c r="G16" s="23" t="n">
        <v>16</v>
      </c>
      <c r="H16" s="9" t="s">
        <v>211</v>
      </c>
      <c r="I16" s="24" t="n">
        <v>11</v>
      </c>
      <c r="J16" s="6" t="n">
        <f aca="false">ROUND(F16*I16,0)</f>
        <v>1386</v>
      </c>
      <c r="K16" s="5" t="s">
        <v>216</v>
      </c>
      <c r="L16" s="5" t="s">
        <v>217</v>
      </c>
      <c r="M16" s="8" t="s">
        <v>218</v>
      </c>
      <c r="N16" s="5" t="n">
        <v>0</v>
      </c>
      <c r="O16" s="9" t="s">
        <v>219</v>
      </c>
      <c r="P16" s="5" t="s">
        <v>220</v>
      </c>
      <c r="Q16" s="9" t="s">
        <v>433</v>
      </c>
    </row>
    <row r="17" customFormat="false" ht="32.8" hidden="false" customHeight="false" outlineLevel="0" collapsed="false">
      <c r="A17" s="9" t="s">
        <v>441</v>
      </c>
      <c r="B17" s="21" t="n">
        <v>126</v>
      </c>
      <c r="C17" s="25" t="s">
        <v>154</v>
      </c>
      <c r="D17" s="8" t="n">
        <v>0</v>
      </c>
      <c r="E17" s="21" t="n">
        <f aca="false">ROUND(B17*D17,1)</f>
        <v>0</v>
      </c>
      <c r="F17" s="21" t="n">
        <f aca="false">B17-E17</f>
        <v>126</v>
      </c>
      <c r="G17" s="23" t="n">
        <v>16</v>
      </c>
      <c r="H17" s="9" t="s">
        <v>211</v>
      </c>
      <c r="I17" s="24" t="n">
        <v>11</v>
      </c>
      <c r="J17" s="6" t="n">
        <f aca="false">ROUND(F17*I17,0)</f>
        <v>1386</v>
      </c>
      <c r="K17" s="5" t="s">
        <v>216</v>
      </c>
      <c r="L17" s="5" t="s">
        <v>217</v>
      </c>
      <c r="M17" s="8" t="s">
        <v>218</v>
      </c>
      <c r="N17" s="5" t="n">
        <v>0</v>
      </c>
      <c r="O17" s="9" t="s">
        <v>219</v>
      </c>
      <c r="P17" s="5" t="s">
        <v>220</v>
      </c>
      <c r="Q17" s="9" t="s">
        <v>433</v>
      </c>
    </row>
    <row r="18" customFormat="false" ht="32.8" hidden="false" customHeight="false" outlineLevel="0" collapsed="false">
      <c r="A18" s="9" t="s">
        <v>442</v>
      </c>
      <c r="B18" s="21" t="n">
        <v>126</v>
      </c>
      <c r="C18" s="25" t="s">
        <v>154</v>
      </c>
      <c r="D18" s="8" t="n">
        <v>0</v>
      </c>
      <c r="E18" s="21" t="n">
        <f aca="false">ROUND(B18*D18,1)</f>
        <v>0</v>
      </c>
      <c r="F18" s="21" t="n">
        <f aca="false">B18-E18</f>
        <v>126</v>
      </c>
      <c r="G18" s="23" t="n">
        <v>16</v>
      </c>
      <c r="H18" s="9" t="s">
        <v>211</v>
      </c>
      <c r="I18" s="24" t="n">
        <v>11</v>
      </c>
      <c r="J18" s="6" t="n">
        <f aca="false">ROUND(F18*I18,0)</f>
        <v>1386</v>
      </c>
      <c r="K18" s="5" t="s">
        <v>216</v>
      </c>
      <c r="L18" s="5" t="s">
        <v>217</v>
      </c>
      <c r="M18" s="8" t="s">
        <v>218</v>
      </c>
      <c r="N18" s="5" t="n">
        <v>0</v>
      </c>
      <c r="O18" s="9" t="s">
        <v>219</v>
      </c>
      <c r="P18" s="5" t="s">
        <v>220</v>
      </c>
      <c r="Q18" s="9" t="s">
        <v>433</v>
      </c>
    </row>
    <row r="19" customFormat="false" ht="22.35" hidden="false" customHeight="false" outlineLevel="0" collapsed="false">
      <c r="A19" s="9" t="s">
        <v>443</v>
      </c>
      <c r="B19" s="21" t="n">
        <v>126</v>
      </c>
      <c r="C19" s="25" t="s">
        <v>154</v>
      </c>
      <c r="D19" s="8" t="n">
        <v>0</v>
      </c>
      <c r="E19" s="21" t="n">
        <f aca="false">ROUND(B19*D19,1)</f>
        <v>0</v>
      </c>
      <c r="F19" s="21" t="n">
        <f aca="false">B19-E19</f>
        <v>126</v>
      </c>
      <c r="G19" s="23" t="n">
        <v>16</v>
      </c>
      <c r="H19" s="9" t="s">
        <v>211</v>
      </c>
      <c r="I19" s="24" t="n">
        <v>11</v>
      </c>
      <c r="J19" s="6" t="n">
        <f aca="false">ROUND(F19*I19,0)</f>
        <v>1386</v>
      </c>
      <c r="K19" s="5" t="s">
        <v>216</v>
      </c>
      <c r="L19" s="5" t="s">
        <v>217</v>
      </c>
      <c r="M19" s="8" t="s">
        <v>218</v>
      </c>
      <c r="N19" s="5" t="n">
        <v>0</v>
      </c>
      <c r="O19" s="9" t="s">
        <v>219</v>
      </c>
      <c r="P19" s="5" t="s">
        <v>220</v>
      </c>
      <c r="Q19" s="9" t="s">
        <v>444</v>
      </c>
    </row>
    <row r="20" customFormat="false" ht="22.35" hidden="false" customHeight="false" outlineLevel="0" collapsed="false">
      <c r="A20" s="9" t="s">
        <v>445</v>
      </c>
      <c r="B20" s="21" t="n">
        <v>126</v>
      </c>
      <c r="C20" s="25" t="s">
        <v>154</v>
      </c>
      <c r="D20" s="8" t="n">
        <v>0</v>
      </c>
      <c r="E20" s="21" t="n">
        <f aca="false">ROUND(B20*D20,1)</f>
        <v>0</v>
      </c>
      <c r="F20" s="21" t="n">
        <f aca="false">B20-E20</f>
        <v>126</v>
      </c>
      <c r="G20" s="23" t="n">
        <v>16</v>
      </c>
      <c r="H20" s="9" t="s">
        <v>211</v>
      </c>
      <c r="I20" s="24" t="n">
        <v>11</v>
      </c>
      <c r="J20" s="6" t="n">
        <f aca="false">ROUND(F20*I20,0)</f>
        <v>1386</v>
      </c>
      <c r="K20" s="5" t="s">
        <v>216</v>
      </c>
      <c r="L20" s="5" t="s">
        <v>217</v>
      </c>
      <c r="M20" s="8" t="s">
        <v>218</v>
      </c>
      <c r="N20" s="5" t="n">
        <v>0</v>
      </c>
      <c r="O20" s="9" t="s">
        <v>219</v>
      </c>
      <c r="P20" s="5" t="s">
        <v>220</v>
      </c>
      <c r="Q20" s="9" t="s">
        <v>444</v>
      </c>
    </row>
    <row r="21" customFormat="false" ht="22.35" hidden="false" customHeight="false" outlineLevel="0" collapsed="false">
      <c r="A21" s="9" t="s">
        <v>446</v>
      </c>
      <c r="B21" s="21" t="n">
        <v>126</v>
      </c>
      <c r="C21" s="25" t="s">
        <v>154</v>
      </c>
      <c r="D21" s="8" t="n">
        <v>0</v>
      </c>
      <c r="E21" s="21" t="n">
        <f aca="false">ROUND(B21*D21,1)</f>
        <v>0</v>
      </c>
      <c r="F21" s="21" t="n">
        <f aca="false">B21-E21</f>
        <v>126</v>
      </c>
      <c r="G21" s="23" t="n">
        <v>16</v>
      </c>
      <c r="H21" s="9" t="s">
        <v>211</v>
      </c>
      <c r="I21" s="24" t="n">
        <v>11</v>
      </c>
      <c r="J21" s="6" t="n">
        <f aca="false">ROUND(F21*I21,0)</f>
        <v>1386</v>
      </c>
      <c r="K21" s="5" t="s">
        <v>216</v>
      </c>
      <c r="L21" s="5" t="s">
        <v>217</v>
      </c>
      <c r="M21" s="8" t="s">
        <v>218</v>
      </c>
      <c r="N21" s="5" t="n">
        <v>0</v>
      </c>
      <c r="O21" s="9" t="s">
        <v>219</v>
      </c>
      <c r="P21" s="5" t="s">
        <v>220</v>
      </c>
      <c r="Q21" s="9" t="s">
        <v>444</v>
      </c>
    </row>
    <row r="22" customFormat="false" ht="32.8" hidden="false" customHeight="false" outlineLevel="0" collapsed="false">
      <c r="A22" s="9" t="s">
        <v>447</v>
      </c>
      <c r="B22" s="21" t="n">
        <v>126</v>
      </c>
      <c r="C22" s="25" t="s">
        <v>154</v>
      </c>
      <c r="D22" s="8" t="n">
        <v>0</v>
      </c>
      <c r="E22" s="21" t="n">
        <f aca="false">ROUND(B22*D22,1)</f>
        <v>0</v>
      </c>
      <c r="F22" s="21" t="n">
        <f aca="false">B22-E22</f>
        <v>126</v>
      </c>
      <c r="G22" s="23" t="n">
        <v>16</v>
      </c>
      <c r="H22" s="9" t="s">
        <v>211</v>
      </c>
      <c r="I22" s="24" t="n">
        <v>11</v>
      </c>
      <c r="J22" s="6" t="n">
        <f aca="false">ROUND(F22*I22,0)</f>
        <v>1386</v>
      </c>
      <c r="K22" s="5" t="s">
        <v>216</v>
      </c>
      <c r="L22" s="5" t="s">
        <v>217</v>
      </c>
      <c r="M22" s="8" t="s">
        <v>218</v>
      </c>
      <c r="N22" s="5" t="n">
        <v>0</v>
      </c>
      <c r="O22" s="9" t="s">
        <v>219</v>
      </c>
      <c r="P22" s="5" t="s">
        <v>220</v>
      </c>
      <c r="Q22" s="9" t="s">
        <v>448</v>
      </c>
    </row>
    <row r="23" customFormat="false" ht="32.8" hidden="false" customHeight="false" outlineLevel="0" collapsed="false">
      <c r="A23" s="9" t="s">
        <v>449</v>
      </c>
      <c r="B23" s="21" t="n">
        <v>126</v>
      </c>
      <c r="C23" s="25" t="s">
        <v>154</v>
      </c>
      <c r="D23" s="8" t="n">
        <v>0</v>
      </c>
      <c r="E23" s="21" t="n">
        <f aca="false">ROUND(B23*D23,1)</f>
        <v>0</v>
      </c>
      <c r="F23" s="21" t="n">
        <f aca="false">B23-E23</f>
        <v>126</v>
      </c>
      <c r="G23" s="23" t="n">
        <v>16</v>
      </c>
      <c r="H23" s="9" t="s">
        <v>211</v>
      </c>
      <c r="I23" s="24" t="n">
        <v>11</v>
      </c>
      <c r="J23" s="6" t="n">
        <f aca="false">ROUND(F23*I23,0)</f>
        <v>1386</v>
      </c>
      <c r="K23" s="5" t="s">
        <v>216</v>
      </c>
      <c r="L23" s="5" t="s">
        <v>217</v>
      </c>
      <c r="M23" s="8" t="s">
        <v>218</v>
      </c>
      <c r="N23" s="5" t="n">
        <v>0</v>
      </c>
      <c r="O23" s="9" t="s">
        <v>219</v>
      </c>
      <c r="P23" s="5" t="s">
        <v>220</v>
      </c>
      <c r="Q23" s="9" t="s">
        <v>448</v>
      </c>
    </row>
    <row r="24" customFormat="false" ht="32.8" hidden="false" customHeight="false" outlineLevel="0" collapsed="false">
      <c r="A24" s="9" t="s">
        <v>450</v>
      </c>
      <c r="B24" s="21" t="n">
        <v>126</v>
      </c>
      <c r="C24" s="25" t="s">
        <v>154</v>
      </c>
      <c r="D24" s="8" t="n">
        <v>0</v>
      </c>
      <c r="E24" s="21" t="n">
        <f aca="false">ROUND(B24*D24,1)</f>
        <v>0</v>
      </c>
      <c r="F24" s="21" t="n">
        <f aca="false">B24-E24</f>
        <v>126</v>
      </c>
      <c r="G24" s="23" t="n">
        <v>16</v>
      </c>
      <c r="H24" s="9" t="s">
        <v>211</v>
      </c>
      <c r="I24" s="24" t="n">
        <v>11</v>
      </c>
      <c r="J24" s="6" t="n">
        <f aca="false">ROUND(F24*I24,0)</f>
        <v>1386</v>
      </c>
      <c r="K24" s="5" t="s">
        <v>216</v>
      </c>
      <c r="L24" s="5" t="s">
        <v>217</v>
      </c>
      <c r="M24" s="8" t="s">
        <v>218</v>
      </c>
      <c r="N24" s="5" t="n">
        <v>0</v>
      </c>
      <c r="O24" s="9" t="s">
        <v>219</v>
      </c>
      <c r="P24" s="5" t="s">
        <v>220</v>
      </c>
      <c r="Q24" s="9" t="s">
        <v>448</v>
      </c>
    </row>
    <row r="25" customFormat="false" ht="32.8" hidden="false" customHeight="false" outlineLevel="0" collapsed="false">
      <c r="A25" s="9" t="s">
        <v>451</v>
      </c>
      <c r="B25" s="21" t="n">
        <v>126</v>
      </c>
      <c r="C25" s="25" t="s">
        <v>154</v>
      </c>
      <c r="D25" s="8" t="n">
        <v>0</v>
      </c>
      <c r="E25" s="21" t="n">
        <f aca="false">ROUND(B25*D25,1)</f>
        <v>0</v>
      </c>
      <c r="F25" s="21" t="n">
        <f aca="false">B25-E25</f>
        <v>126</v>
      </c>
      <c r="G25" s="23" t="n">
        <v>16</v>
      </c>
      <c r="H25" s="9" t="s">
        <v>211</v>
      </c>
      <c r="I25" s="24" t="n">
        <v>11</v>
      </c>
      <c r="J25" s="6" t="n">
        <f aca="false">ROUND(F25*I25,0)</f>
        <v>1386</v>
      </c>
      <c r="K25" s="5" t="s">
        <v>216</v>
      </c>
      <c r="L25" s="5" t="s">
        <v>217</v>
      </c>
      <c r="M25" s="8" t="s">
        <v>218</v>
      </c>
      <c r="N25" s="5" t="n">
        <v>0</v>
      </c>
      <c r="O25" s="9" t="s">
        <v>219</v>
      </c>
      <c r="P25" s="5" t="s">
        <v>220</v>
      </c>
      <c r="Q25" s="9" t="s">
        <v>448</v>
      </c>
    </row>
    <row r="26" customFormat="false" ht="32.8" hidden="false" customHeight="false" outlineLevel="0" collapsed="false">
      <c r="A26" s="9" t="s">
        <v>452</v>
      </c>
      <c r="B26" s="21" t="n">
        <v>126</v>
      </c>
      <c r="C26" s="25" t="s">
        <v>154</v>
      </c>
      <c r="D26" s="8" t="n">
        <v>0</v>
      </c>
      <c r="E26" s="21" t="n">
        <f aca="false">ROUND(B26*D26,1)</f>
        <v>0</v>
      </c>
      <c r="F26" s="21" t="n">
        <f aca="false">B26-E26</f>
        <v>126</v>
      </c>
      <c r="G26" s="23" t="n">
        <v>16</v>
      </c>
      <c r="H26" s="9" t="s">
        <v>211</v>
      </c>
      <c r="I26" s="24" t="n">
        <v>11</v>
      </c>
      <c r="J26" s="6" t="n">
        <f aca="false">ROUND(F26*I26,0)</f>
        <v>1386</v>
      </c>
      <c r="K26" s="5" t="s">
        <v>216</v>
      </c>
      <c r="L26" s="5" t="s">
        <v>217</v>
      </c>
      <c r="M26" s="8" t="s">
        <v>218</v>
      </c>
      <c r="N26" s="5" t="n">
        <v>0</v>
      </c>
      <c r="O26" s="9" t="s">
        <v>219</v>
      </c>
      <c r="P26" s="5" t="s">
        <v>220</v>
      </c>
      <c r="Q26" s="9" t="s">
        <v>453</v>
      </c>
    </row>
    <row r="27" customFormat="false" ht="32.8" hidden="false" customHeight="false" outlineLevel="0" collapsed="false">
      <c r="A27" s="9" t="s">
        <v>454</v>
      </c>
      <c r="B27" s="21" t="n">
        <v>126</v>
      </c>
      <c r="C27" s="25" t="s">
        <v>154</v>
      </c>
      <c r="D27" s="8" t="n">
        <v>0</v>
      </c>
      <c r="E27" s="21" t="n">
        <f aca="false">ROUND(B27*D27,1)</f>
        <v>0</v>
      </c>
      <c r="F27" s="21" t="n">
        <f aca="false">B27-E27</f>
        <v>126</v>
      </c>
      <c r="G27" s="23" t="n">
        <v>16</v>
      </c>
      <c r="H27" s="9" t="s">
        <v>211</v>
      </c>
      <c r="I27" s="24" t="n">
        <v>11</v>
      </c>
      <c r="J27" s="6" t="n">
        <f aca="false">ROUND(F27*I27,0)</f>
        <v>1386</v>
      </c>
      <c r="K27" s="5" t="s">
        <v>314</v>
      </c>
      <c r="L27" s="5" t="s">
        <v>217</v>
      </c>
      <c r="M27" s="8" t="s">
        <v>218</v>
      </c>
      <c r="N27" s="5" t="n">
        <v>0</v>
      </c>
      <c r="O27" s="9" t="s">
        <v>455</v>
      </c>
      <c r="P27" s="5" t="s">
        <v>220</v>
      </c>
      <c r="Q27" s="9" t="s">
        <v>453</v>
      </c>
    </row>
    <row r="28" customFormat="false" ht="32.8" hidden="false" customHeight="false" outlineLevel="0" collapsed="false">
      <c r="A28" s="9" t="s">
        <v>456</v>
      </c>
      <c r="B28" s="21" t="n">
        <v>126</v>
      </c>
      <c r="C28" s="25" t="s">
        <v>154</v>
      </c>
      <c r="D28" s="8" t="n">
        <v>0</v>
      </c>
      <c r="E28" s="21" t="n">
        <f aca="false">ROUND(B28*D28,1)</f>
        <v>0</v>
      </c>
      <c r="F28" s="21" t="n">
        <f aca="false">B28-E28</f>
        <v>126</v>
      </c>
      <c r="G28" s="23" t="n">
        <v>16</v>
      </c>
      <c r="H28" s="9" t="s">
        <v>211</v>
      </c>
      <c r="I28" s="24" t="n">
        <v>11</v>
      </c>
      <c r="J28" s="6" t="n">
        <f aca="false">ROUND(F28*I28,0)</f>
        <v>1386</v>
      </c>
      <c r="K28" s="5" t="s">
        <v>216</v>
      </c>
      <c r="L28" s="5" t="s">
        <v>217</v>
      </c>
      <c r="M28" s="8" t="s">
        <v>218</v>
      </c>
      <c r="N28" s="5" t="n">
        <v>0</v>
      </c>
      <c r="O28" s="9" t="s">
        <v>219</v>
      </c>
      <c r="P28" s="5" t="s">
        <v>220</v>
      </c>
      <c r="Q28" s="9" t="s">
        <v>453</v>
      </c>
    </row>
    <row r="29" customFormat="false" ht="32.8" hidden="false" customHeight="false" outlineLevel="0" collapsed="false">
      <c r="A29" s="9" t="s">
        <v>457</v>
      </c>
      <c r="B29" s="21" t="n">
        <v>126</v>
      </c>
      <c r="C29" s="25" t="s">
        <v>154</v>
      </c>
      <c r="D29" s="8" t="n">
        <v>0</v>
      </c>
      <c r="E29" s="21" t="n">
        <f aca="false">ROUND(B29*D29,1)</f>
        <v>0</v>
      </c>
      <c r="F29" s="21" t="n">
        <f aca="false">B29-E29</f>
        <v>126</v>
      </c>
      <c r="G29" s="23" t="n">
        <v>16</v>
      </c>
      <c r="H29" s="9" t="s">
        <v>211</v>
      </c>
      <c r="I29" s="24" t="n">
        <v>11</v>
      </c>
      <c r="J29" s="6" t="n">
        <f aca="false">ROUND(F29*I29,0)</f>
        <v>1386</v>
      </c>
      <c r="K29" s="5" t="s">
        <v>314</v>
      </c>
      <c r="L29" s="5" t="s">
        <v>217</v>
      </c>
      <c r="M29" s="8" t="s">
        <v>218</v>
      </c>
      <c r="N29" s="5" t="n">
        <v>0</v>
      </c>
      <c r="O29" s="9" t="s">
        <v>455</v>
      </c>
      <c r="P29" s="5" t="s">
        <v>220</v>
      </c>
      <c r="Q29" s="9" t="s">
        <v>453</v>
      </c>
    </row>
    <row r="30" customFormat="false" ht="32.8" hidden="false" customHeight="false" outlineLevel="0" collapsed="false">
      <c r="A30" s="9" t="s">
        <v>458</v>
      </c>
      <c r="B30" s="21" t="n">
        <v>126</v>
      </c>
      <c r="C30" s="25" t="s">
        <v>154</v>
      </c>
      <c r="D30" s="8" t="n">
        <v>0</v>
      </c>
      <c r="E30" s="21" t="n">
        <f aca="false">ROUND(B30*D30,1)</f>
        <v>0</v>
      </c>
      <c r="F30" s="21" t="n">
        <f aca="false">B30-E30</f>
        <v>126</v>
      </c>
      <c r="G30" s="23" t="n">
        <v>16</v>
      </c>
      <c r="H30" s="9" t="s">
        <v>211</v>
      </c>
      <c r="I30" s="24" t="n">
        <v>11</v>
      </c>
      <c r="J30" s="6" t="n">
        <f aca="false">ROUND(F30*I30,0)</f>
        <v>1386</v>
      </c>
      <c r="K30" s="5" t="s">
        <v>216</v>
      </c>
      <c r="L30" s="5" t="s">
        <v>217</v>
      </c>
      <c r="M30" s="8" t="s">
        <v>218</v>
      </c>
      <c r="N30" s="5" t="n">
        <v>0</v>
      </c>
      <c r="O30" s="9" t="s">
        <v>219</v>
      </c>
      <c r="P30" s="5" t="s">
        <v>220</v>
      </c>
      <c r="Q30" s="9" t="s">
        <v>453</v>
      </c>
    </row>
    <row r="31" customFormat="false" ht="32.8" hidden="false" customHeight="false" outlineLevel="0" collapsed="false">
      <c r="A31" s="9" t="s">
        <v>459</v>
      </c>
      <c r="B31" s="21" t="n">
        <v>126</v>
      </c>
      <c r="C31" s="25" t="s">
        <v>154</v>
      </c>
      <c r="D31" s="8" t="n">
        <v>0</v>
      </c>
      <c r="E31" s="21" t="n">
        <f aca="false">ROUND(B31*D31,1)</f>
        <v>0</v>
      </c>
      <c r="F31" s="21" t="n">
        <f aca="false">B31-E31</f>
        <v>126</v>
      </c>
      <c r="G31" s="23" t="n">
        <v>16</v>
      </c>
      <c r="H31" s="9" t="s">
        <v>211</v>
      </c>
      <c r="I31" s="24" t="n">
        <v>11</v>
      </c>
      <c r="J31" s="6" t="n">
        <f aca="false">ROUND(F31*I31,0)</f>
        <v>1386</v>
      </c>
      <c r="K31" s="5" t="s">
        <v>216</v>
      </c>
      <c r="L31" s="5" t="s">
        <v>217</v>
      </c>
      <c r="M31" s="8" t="s">
        <v>218</v>
      </c>
      <c r="N31" s="5" t="n">
        <v>0</v>
      </c>
      <c r="O31" s="9" t="s">
        <v>219</v>
      </c>
      <c r="P31" s="5" t="s">
        <v>220</v>
      </c>
      <c r="Q31" s="9" t="s">
        <v>453</v>
      </c>
    </row>
    <row r="32" customFormat="false" ht="32.8" hidden="false" customHeight="false" outlineLevel="0" collapsed="false">
      <c r="A32" s="9" t="s">
        <v>460</v>
      </c>
      <c r="B32" s="21" t="n">
        <v>126</v>
      </c>
      <c r="C32" s="25" t="s">
        <v>154</v>
      </c>
      <c r="D32" s="8" t="n">
        <v>0</v>
      </c>
      <c r="E32" s="21" t="n">
        <f aca="false">ROUND(B32*D32,1)</f>
        <v>0</v>
      </c>
      <c r="F32" s="21" t="n">
        <f aca="false">B32-E32</f>
        <v>126</v>
      </c>
      <c r="G32" s="23" t="n">
        <v>16</v>
      </c>
      <c r="H32" s="9" t="s">
        <v>211</v>
      </c>
      <c r="I32" s="24" t="n">
        <v>11</v>
      </c>
      <c r="J32" s="6" t="n">
        <f aca="false">ROUND(F32*I32,0)</f>
        <v>1386</v>
      </c>
      <c r="K32" s="5" t="s">
        <v>314</v>
      </c>
      <c r="L32" s="5" t="s">
        <v>217</v>
      </c>
      <c r="M32" s="8" t="s">
        <v>218</v>
      </c>
      <c r="N32" s="5" t="n">
        <v>0</v>
      </c>
      <c r="O32" s="9" t="s">
        <v>455</v>
      </c>
      <c r="P32" s="5" t="s">
        <v>220</v>
      </c>
      <c r="Q32" s="9" t="s">
        <v>453</v>
      </c>
    </row>
    <row r="33" customFormat="false" ht="32.8" hidden="false" customHeight="false" outlineLevel="0" collapsed="false">
      <c r="A33" s="9" t="s">
        <v>461</v>
      </c>
      <c r="B33" s="21" t="n">
        <v>126</v>
      </c>
      <c r="C33" s="25" t="s">
        <v>154</v>
      </c>
      <c r="D33" s="8" t="n">
        <v>0</v>
      </c>
      <c r="E33" s="21" t="n">
        <f aca="false">ROUND(B33*D33,1)</f>
        <v>0</v>
      </c>
      <c r="F33" s="21" t="n">
        <f aca="false">B33-E33</f>
        <v>126</v>
      </c>
      <c r="G33" s="23" t="n">
        <v>16</v>
      </c>
      <c r="H33" s="9" t="s">
        <v>211</v>
      </c>
      <c r="I33" s="24" t="n">
        <v>11</v>
      </c>
      <c r="J33" s="6" t="n">
        <f aca="false">ROUND(F33*I33,0)</f>
        <v>1386</v>
      </c>
      <c r="K33" s="5" t="s">
        <v>314</v>
      </c>
      <c r="L33" s="5" t="s">
        <v>217</v>
      </c>
      <c r="M33" s="8" t="s">
        <v>218</v>
      </c>
      <c r="N33" s="5" t="n">
        <v>0</v>
      </c>
      <c r="O33" s="9" t="s">
        <v>462</v>
      </c>
      <c r="P33" s="5" t="s">
        <v>220</v>
      </c>
      <c r="Q33" s="9" t="s">
        <v>453</v>
      </c>
    </row>
    <row r="34" customFormat="false" ht="32.8" hidden="false" customHeight="false" outlineLevel="0" collapsed="false">
      <c r="A34" s="9" t="s">
        <v>463</v>
      </c>
      <c r="B34" s="21" t="n">
        <v>126</v>
      </c>
      <c r="C34" s="25" t="s">
        <v>154</v>
      </c>
      <c r="D34" s="8" t="n">
        <v>0</v>
      </c>
      <c r="E34" s="21" t="n">
        <f aca="false">ROUND(B34*D34,1)</f>
        <v>0</v>
      </c>
      <c r="F34" s="21" t="n">
        <f aca="false">B34-E34</f>
        <v>126</v>
      </c>
      <c r="G34" s="23" t="n">
        <v>16</v>
      </c>
      <c r="H34" s="9" t="s">
        <v>211</v>
      </c>
      <c r="I34" s="24" t="n">
        <v>11</v>
      </c>
      <c r="J34" s="6" t="n">
        <f aca="false">ROUND(F34*I34,0)</f>
        <v>1386</v>
      </c>
      <c r="K34" s="5" t="s">
        <v>216</v>
      </c>
      <c r="L34" s="5" t="s">
        <v>217</v>
      </c>
      <c r="M34" s="8" t="s">
        <v>218</v>
      </c>
      <c r="N34" s="5" t="n">
        <v>0</v>
      </c>
      <c r="O34" s="9" t="s">
        <v>219</v>
      </c>
      <c r="P34" s="5" t="s">
        <v>220</v>
      </c>
      <c r="Q34" s="9" t="s">
        <v>453</v>
      </c>
    </row>
    <row r="35" customFormat="false" ht="32.8" hidden="false" customHeight="false" outlineLevel="0" collapsed="false">
      <c r="A35" s="9" t="s">
        <v>464</v>
      </c>
      <c r="B35" s="21" t="n">
        <v>126</v>
      </c>
      <c r="C35" s="25" t="s">
        <v>154</v>
      </c>
      <c r="D35" s="8" t="n">
        <v>0</v>
      </c>
      <c r="E35" s="21" t="n">
        <f aca="false">ROUND(B35*D35,1)</f>
        <v>0</v>
      </c>
      <c r="F35" s="21" t="n">
        <f aca="false">B35-E35</f>
        <v>126</v>
      </c>
      <c r="G35" s="23" t="n">
        <v>16</v>
      </c>
      <c r="H35" s="9" t="s">
        <v>211</v>
      </c>
      <c r="I35" s="24" t="n">
        <v>11</v>
      </c>
      <c r="J35" s="6" t="n">
        <f aca="false">ROUND(F35*I35,0)</f>
        <v>1386</v>
      </c>
      <c r="K35" s="5" t="s">
        <v>314</v>
      </c>
      <c r="L35" s="5" t="s">
        <v>217</v>
      </c>
      <c r="M35" s="8" t="s">
        <v>218</v>
      </c>
      <c r="N35" s="5" t="n">
        <v>0</v>
      </c>
      <c r="O35" s="9" t="s">
        <v>465</v>
      </c>
      <c r="P35" s="5" t="s">
        <v>220</v>
      </c>
      <c r="Q35" s="9" t="s">
        <v>453</v>
      </c>
    </row>
    <row r="36" customFormat="false" ht="32.8" hidden="false" customHeight="false" outlineLevel="0" collapsed="false">
      <c r="A36" s="9" t="s">
        <v>466</v>
      </c>
      <c r="B36" s="21" t="n">
        <v>126</v>
      </c>
      <c r="C36" s="25" t="s">
        <v>154</v>
      </c>
      <c r="D36" s="8" t="n">
        <v>0</v>
      </c>
      <c r="E36" s="21" t="n">
        <f aca="false">ROUND(B36*D36,1)</f>
        <v>0</v>
      </c>
      <c r="F36" s="21" t="n">
        <f aca="false">B36-E36</f>
        <v>126</v>
      </c>
      <c r="G36" s="23" t="n">
        <v>16</v>
      </c>
      <c r="H36" s="9" t="s">
        <v>211</v>
      </c>
      <c r="I36" s="24" t="n">
        <v>11</v>
      </c>
      <c r="J36" s="6" t="n">
        <f aca="false">ROUND(F36*I36,0)</f>
        <v>1386</v>
      </c>
      <c r="K36" s="5" t="s">
        <v>314</v>
      </c>
      <c r="L36" s="5" t="s">
        <v>217</v>
      </c>
      <c r="M36" s="8" t="s">
        <v>218</v>
      </c>
      <c r="N36" s="5" t="n">
        <v>0</v>
      </c>
      <c r="O36" s="9" t="s">
        <v>467</v>
      </c>
      <c r="P36" s="5" t="s">
        <v>220</v>
      </c>
      <c r="Q36" s="9" t="s">
        <v>468</v>
      </c>
    </row>
    <row r="37" customFormat="false" ht="32.8" hidden="false" customHeight="false" outlineLevel="0" collapsed="false">
      <c r="A37" s="9" t="s">
        <v>469</v>
      </c>
      <c r="B37" s="21" t="n">
        <v>126</v>
      </c>
      <c r="C37" s="25" t="s">
        <v>154</v>
      </c>
      <c r="D37" s="8" t="n">
        <v>0</v>
      </c>
      <c r="E37" s="21" t="n">
        <f aca="false">ROUND(B37*D37,1)</f>
        <v>0</v>
      </c>
      <c r="F37" s="21" t="n">
        <f aca="false">B37-E37</f>
        <v>126</v>
      </c>
      <c r="G37" s="23" t="n">
        <v>16</v>
      </c>
      <c r="H37" s="9" t="s">
        <v>211</v>
      </c>
      <c r="I37" s="24" t="n">
        <v>11</v>
      </c>
      <c r="J37" s="6" t="n">
        <f aca="false">ROUND(F37*I37,0)</f>
        <v>1386</v>
      </c>
      <c r="K37" s="5" t="s">
        <v>314</v>
      </c>
      <c r="L37" s="5" t="s">
        <v>217</v>
      </c>
      <c r="M37" s="8" t="s">
        <v>218</v>
      </c>
      <c r="N37" s="5" t="n">
        <v>0</v>
      </c>
      <c r="O37" s="9" t="s">
        <v>467</v>
      </c>
      <c r="P37" s="5" t="s">
        <v>220</v>
      </c>
      <c r="Q37" s="9" t="s">
        <v>468</v>
      </c>
    </row>
    <row r="38" customFormat="false" ht="32.8" hidden="false" customHeight="false" outlineLevel="0" collapsed="false">
      <c r="A38" s="9" t="s">
        <v>470</v>
      </c>
      <c r="B38" s="21" t="n">
        <v>126</v>
      </c>
      <c r="C38" s="25" t="s">
        <v>154</v>
      </c>
      <c r="D38" s="8" t="n">
        <v>0</v>
      </c>
      <c r="E38" s="21" t="n">
        <f aca="false">ROUND(B38*D38,1)</f>
        <v>0</v>
      </c>
      <c r="F38" s="21" t="n">
        <f aca="false">B38-E38</f>
        <v>126</v>
      </c>
      <c r="G38" s="23" t="n">
        <v>16</v>
      </c>
      <c r="H38" s="9" t="s">
        <v>211</v>
      </c>
      <c r="I38" s="24" t="n">
        <v>11</v>
      </c>
      <c r="J38" s="6" t="n">
        <f aca="false">ROUND(F38*I38,0)</f>
        <v>1386</v>
      </c>
      <c r="K38" s="5" t="s">
        <v>314</v>
      </c>
      <c r="L38" s="5" t="s">
        <v>217</v>
      </c>
      <c r="M38" s="8" t="s">
        <v>218</v>
      </c>
      <c r="N38" s="5" t="n">
        <v>0</v>
      </c>
      <c r="O38" s="9" t="s">
        <v>467</v>
      </c>
      <c r="P38" s="5" t="s">
        <v>220</v>
      </c>
      <c r="Q38" s="9" t="s">
        <v>468</v>
      </c>
    </row>
    <row r="39" customFormat="false" ht="32.8" hidden="false" customHeight="false" outlineLevel="0" collapsed="false">
      <c r="A39" s="9" t="s">
        <v>471</v>
      </c>
      <c r="B39" s="21" t="n">
        <v>126</v>
      </c>
      <c r="C39" s="26" t="s">
        <v>150</v>
      </c>
      <c r="D39" s="8" t="n">
        <v>0.91</v>
      </c>
      <c r="E39" s="21" t="n">
        <f aca="false">ROUND(B39*D39,1)</f>
        <v>114.7</v>
      </c>
      <c r="F39" s="21" t="n">
        <f aca="false">B39-E39</f>
        <v>11.3</v>
      </c>
      <c r="G39" s="23" t="n">
        <v>16</v>
      </c>
      <c r="H39" s="9" t="s">
        <v>211</v>
      </c>
      <c r="I39" s="24" t="n">
        <v>11</v>
      </c>
      <c r="J39" s="6" t="n">
        <f aca="false">ROUND(F39*I39,0)</f>
        <v>124</v>
      </c>
      <c r="K39" s="5" t="s">
        <v>216</v>
      </c>
      <c r="L39" s="5" t="s">
        <v>217</v>
      </c>
      <c r="M39" s="8" t="s">
        <v>218</v>
      </c>
      <c r="N39" s="5" t="n">
        <v>0</v>
      </c>
      <c r="O39" s="9" t="s">
        <v>472</v>
      </c>
      <c r="P39" s="5" t="s">
        <v>220</v>
      </c>
      <c r="Q39" s="9" t="s">
        <v>468</v>
      </c>
    </row>
    <row r="40" customFormat="false" ht="32.8" hidden="false" customHeight="false" outlineLevel="0" collapsed="false">
      <c r="A40" s="9" t="s">
        <v>473</v>
      </c>
      <c r="B40" s="21" t="n">
        <v>202</v>
      </c>
      <c r="C40" s="25" t="s">
        <v>154</v>
      </c>
      <c r="D40" s="8" t="n">
        <v>0</v>
      </c>
      <c r="E40" s="21" t="n">
        <f aca="false">ROUND(B40*D40,1)</f>
        <v>0</v>
      </c>
      <c r="F40" s="21" t="n">
        <f aca="false">B40-E40</f>
        <v>202</v>
      </c>
      <c r="G40" s="23" t="n">
        <v>16</v>
      </c>
      <c r="H40" s="9" t="s">
        <v>211</v>
      </c>
      <c r="I40" s="24" t="n">
        <v>11</v>
      </c>
      <c r="J40" s="6" t="n">
        <f aca="false">ROUND(F40*I40,0)</f>
        <v>2222</v>
      </c>
      <c r="K40" s="5" t="s">
        <v>216</v>
      </c>
      <c r="L40" s="5" t="s">
        <v>217</v>
      </c>
      <c r="M40" s="8" t="s">
        <v>218</v>
      </c>
      <c r="N40" s="5" t="n">
        <v>0</v>
      </c>
      <c r="O40" s="9" t="s">
        <v>219</v>
      </c>
      <c r="P40" s="5" t="s">
        <v>220</v>
      </c>
      <c r="Q40" s="9" t="s">
        <v>474</v>
      </c>
    </row>
    <row r="41" customFormat="false" ht="15" hidden="false" customHeight="false" outlineLevel="0" collapsed="false">
      <c r="A41" s="12" t="s">
        <v>189</v>
      </c>
      <c r="B41" s="13" t="n">
        <f aca="false">SUM(B6:B40)</f>
        <v>6839</v>
      </c>
      <c r="C41" s="12"/>
      <c r="D41" s="14" t="n">
        <f aca="false">IF(B41=0,0,E41/B41)</f>
        <v>0.0915630940195935</v>
      </c>
      <c r="E41" s="13" t="n">
        <f aca="false">SUM(E6:E40)</f>
        <v>626.2</v>
      </c>
      <c r="F41" s="13" t="n">
        <f aca="false">SUM(F6:F40)</f>
        <v>6212.8</v>
      </c>
      <c r="G41" s="12"/>
      <c r="H41" s="12"/>
      <c r="I41" s="12"/>
      <c r="J41" s="13" t="n">
        <f aca="false">SUM(J6:J40)</f>
        <v>68341</v>
      </c>
      <c r="K41" s="12"/>
      <c r="L41" s="12"/>
      <c r="M41" s="12"/>
      <c r="N41" s="12"/>
      <c r="O41" s="12"/>
      <c r="P41" s="12"/>
      <c r="Q41" s="12"/>
    </row>
    <row r="43" customFormat="false" ht="15" hidden="false" customHeight="false" outlineLevel="0" collapsed="false">
      <c r="A43" s="16" t="s">
        <v>190</v>
      </c>
      <c r="D43" s="27" t="n">
        <f aca="false">J41</f>
        <v>68341</v>
      </c>
      <c r="F43" s="20" t="s">
        <v>191</v>
      </c>
    </row>
    <row r="44" customFormat="false" ht="15" hidden="false" customHeight="false" outlineLevel="0" collapsed="false">
      <c r="A44" s="16" t="s">
        <v>192</v>
      </c>
      <c r="D44" s="27" t="n">
        <f aca="false">F41*8</f>
        <v>49702.4</v>
      </c>
      <c r="F44" s="20" t="s">
        <v>193</v>
      </c>
    </row>
    <row r="45" customFormat="false" ht="15" hidden="false" customHeight="false" outlineLevel="0" collapsed="false">
      <c r="A45" s="16" t="s">
        <v>194</v>
      </c>
      <c r="D45" s="28" t="n">
        <v>0</v>
      </c>
      <c r="F45" s="20" t="s">
        <v>195</v>
      </c>
    </row>
    <row r="46" customFormat="false" ht="15" hidden="false" customHeight="false" outlineLevel="0" collapsed="false">
      <c r="A46" s="16" t="s">
        <v>196</v>
      </c>
      <c r="D46" s="29" t="n">
        <v>0.02</v>
      </c>
      <c r="F46" s="20" t="s">
        <v>57</v>
      </c>
    </row>
    <row r="47" customFormat="false" ht="15" hidden="false" customHeight="false" outlineLevel="0" collapsed="false">
      <c r="A47" s="16" t="s">
        <v>197</v>
      </c>
      <c r="D47" s="27" t="n">
        <f aca="false">(B41-D45)*(1-D46)</f>
        <v>6702.22</v>
      </c>
      <c r="F47" s="20" t="s">
        <v>198</v>
      </c>
    </row>
    <row r="48" customFormat="false" ht="15" hidden="false" customHeight="false" outlineLevel="0" collapsed="false">
      <c r="A48" s="16" t="s">
        <v>199</v>
      </c>
      <c r="D48" s="27" t="n">
        <f aca="false">ROUND(D47*5,0)</f>
        <v>33511</v>
      </c>
      <c r="F48" s="20" t="s">
        <v>475</v>
      </c>
    </row>
    <row r="49" customFormat="false" ht="15" hidden="false" customHeight="false" outlineLevel="0" collapsed="false">
      <c r="A49" s="16" t="s">
        <v>201</v>
      </c>
      <c r="D49" s="28" t="n">
        <v>8</v>
      </c>
    </row>
    <row r="50" customFormat="false" ht="15" hidden="false" customHeight="false" outlineLevel="0" collapsed="false">
      <c r="A50" s="16" t="s">
        <v>202</v>
      </c>
      <c r="D50" s="28" t="n">
        <v>25</v>
      </c>
      <c r="F50" s="20" t="s">
        <v>203</v>
      </c>
    </row>
    <row r="51" customFormat="false" ht="15" hidden="false" customHeight="false" outlineLevel="0" collapsed="false">
      <c r="A51" s="16" t="s">
        <v>204</v>
      </c>
      <c r="D51" s="28" t="n">
        <v>512</v>
      </c>
    </row>
    <row r="52" customFormat="false" ht="15" hidden="false" customHeight="false" outlineLevel="0" collapsed="false">
      <c r="A52" s="16" t="s">
        <v>205</v>
      </c>
      <c r="D52" s="28" t="n">
        <v>115</v>
      </c>
      <c r="F52" s="20" t="s">
        <v>206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3"/>
    <col collapsed="false" customWidth="true" hidden="false" outlineLevel="0" max="3" min="3" style="0" width="15"/>
    <col collapsed="false" customWidth="true" hidden="false" outlineLevel="0" max="4" min="4" style="0" width="12"/>
    <col collapsed="false" customWidth="true" hidden="false" outlineLevel="0" max="6" min="5" style="0" width="13"/>
    <col collapsed="false" customWidth="true" hidden="false" outlineLevel="0" max="7" min="7" style="0" width="11"/>
    <col collapsed="false" customWidth="true" hidden="false" outlineLevel="0" max="8" min="8" style="0" width="20"/>
    <col collapsed="false" customWidth="true" hidden="false" outlineLevel="0" max="10" min="9" style="0" width="13"/>
    <col collapsed="false" customWidth="true" hidden="false" outlineLevel="0" max="11" min="11" style="0" width="10"/>
    <col collapsed="false" customWidth="true" hidden="false" outlineLevel="0" max="12" min="12" style="0" width="13"/>
    <col collapsed="false" customWidth="true" hidden="false" outlineLevel="0" max="14" min="13" style="0" width="9"/>
    <col collapsed="false" customWidth="true" hidden="false" outlineLevel="0" max="15" min="15" style="0" width="46"/>
    <col collapsed="false" customWidth="true" hidden="false" outlineLevel="0" max="16" min="16" style="0" width="17"/>
    <col collapsed="false" customWidth="true" hidden="false" outlineLevel="0" max="17" min="17" style="0" width="52"/>
  </cols>
  <sheetData>
    <row r="1" customFormat="false" ht="16.15" hidden="false" customHeight="false" outlineLevel="0" collapsed="false">
      <c r="A1" s="18" t="s">
        <v>476</v>
      </c>
    </row>
    <row r="2" customFormat="false" ht="15" hidden="false" customHeight="false" outlineLevel="0" collapsed="false">
      <c r="A2" s="19" t="s">
        <v>477</v>
      </c>
    </row>
    <row r="3" customFormat="false" ht="15" hidden="false" customHeight="false" outlineLevel="0" collapsed="false">
      <c r="A3" s="20" t="s">
        <v>478</v>
      </c>
    </row>
    <row r="5" customFormat="false" ht="32.8" hidden="false" customHeight="false" outlineLevel="0" collapsed="false">
      <c r="A5" s="4" t="s">
        <v>122</v>
      </c>
      <c r="B5" s="4" t="s">
        <v>123</v>
      </c>
      <c r="C5" s="4" t="s">
        <v>124</v>
      </c>
      <c r="D5" s="4" t="s">
        <v>125</v>
      </c>
      <c r="E5" s="4" t="s">
        <v>126</v>
      </c>
      <c r="F5" s="4" t="s">
        <v>12</v>
      </c>
      <c r="G5" s="4" t="s">
        <v>127</v>
      </c>
      <c r="H5" s="4" t="s">
        <v>128</v>
      </c>
      <c r="I5" s="4" t="s">
        <v>129</v>
      </c>
      <c r="J5" s="4" t="s">
        <v>130</v>
      </c>
      <c r="K5" s="4" t="s">
        <v>131</v>
      </c>
      <c r="L5" s="4" t="s">
        <v>132</v>
      </c>
      <c r="M5" s="4" t="s">
        <v>133</v>
      </c>
      <c r="N5" s="4" t="s">
        <v>134</v>
      </c>
      <c r="O5" s="4" t="s">
        <v>135</v>
      </c>
      <c r="P5" s="4" t="s">
        <v>136</v>
      </c>
      <c r="Q5" s="4" t="s">
        <v>137</v>
      </c>
    </row>
    <row r="6" customFormat="false" ht="15" hidden="false" customHeight="false" outlineLevel="0" collapsed="false">
      <c r="A6" s="9" t="s">
        <v>149</v>
      </c>
      <c r="B6" s="21" t="n">
        <v>92.4</v>
      </c>
      <c r="C6" s="22" t="s">
        <v>139</v>
      </c>
      <c r="D6" s="8" t="n">
        <v>1</v>
      </c>
      <c r="E6" s="21" t="n">
        <f aca="false">ROUND(B6*D6,1)</f>
        <v>92.4</v>
      </c>
      <c r="F6" s="21" t="n">
        <f aca="false">B6-E6</f>
        <v>0</v>
      </c>
      <c r="G6" s="23" t="n">
        <v>12</v>
      </c>
      <c r="H6" s="9" t="s">
        <v>211</v>
      </c>
      <c r="I6" s="24" t="n">
        <v>8</v>
      </c>
      <c r="J6" s="6" t="n">
        <f aca="false">ROUND(F6*I6,0)</f>
        <v>0</v>
      </c>
      <c r="K6" s="5" t="s">
        <v>141</v>
      </c>
      <c r="L6" s="5" t="s">
        <v>150</v>
      </c>
      <c r="M6" s="8" t="n">
        <v>0.5</v>
      </c>
      <c r="N6" s="5" t="n">
        <v>1</v>
      </c>
      <c r="O6" s="9" t="s">
        <v>151</v>
      </c>
      <c r="P6" s="5" t="s">
        <v>144</v>
      </c>
      <c r="Q6" s="9" t="s">
        <v>479</v>
      </c>
    </row>
    <row r="7" customFormat="false" ht="15" hidden="false" customHeight="false" outlineLevel="0" collapsed="false">
      <c r="A7" s="9" t="s">
        <v>290</v>
      </c>
      <c r="B7" s="21" t="n">
        <v>151.2</v>
      </c>
      <c r="C7" s="25" t="s">
        <v>154</v>
      </c>
      <c r="D7" s="8" t="n">
        <v>0</v>
      </c>
      <c r="E7" s="21" t="n">
        <f aca="false">ROUND(B7*D7,1)</f>
        <v>0</v>
      </c>
      <c r="F7" s="21" t="n">
        <f aca="false">B7-E7</f>
        <v>151.2</v>
      </c>
      <c r="G7" s="23" t="n">
        <v>12</v>
      </c>
      <c r="H7" s="9" t="s">
        <v>211</v>
      </c>
      <c r="I7" s="24" t="n">
        <v>8</v>
      </c>
      <c r="J7" s="6" t="n">
        <f aca="false">ROUND(F7*I7,0)</f>
        <v>1210</v>
      </c>
      <c r="K7" s="5" t="s">
        <v>141</v>
      </c>
      <c r="L7" s="5" t="s">
        <v>150</v>
      </c>
      <c r="M7" s="8" t="n">
        <v>0.5</v>
      </c>
      <c r="N7" s="5" t="n">
        <v>1</v>
      </c>
      <c r="O7" s="9" t="s">
        <v>175</v>
      </c>
      <c r="P7" s="5" t="s">
        <v>144</v>
      </c>
      <c r="Q7" s="9" t="s">
        <v>480</v>
      </c>
    </row>
    <row r="8" customFormat="false" ht="15" hidden="false" customHeight="false" outlineLevel="0" collapsed="false">
      <c r="A8" s="9" t="s">
        <v>294</v>
      </c>
      <c r="B8" s="21" t="n">
        <v>155.1</v>
      </c>
      <c r="C8" s="25" t="s">
        <v>154</v>
      </c>
      <c r="D8" s="8" t="n">
        <v>0</v>
      </c>
      <c r="E8" s="21" t="n">
        <f aca="false">ROUND(B8*D8,1)</f>
        <v>0</v>
      </c>
      <c r="F8" s="21" t="n">
        <f aca="false">B8-E8</f>
        <v>155.1</v>
      </c>
      <c r="G8" s="23" t="n">
        <v>12</v>
      </c>
      <c r="H8" s="9" t="s">
        <v>211</v>
      </c>
      <c r="I8" s="24" t="n">
        <v>8</v>
      </c>
      <c r="J8" s="6" t="n">
        <f aca="false">ROUND(F8*I8,0)</f>
        <v>1241</v>
      </c>
      <c r="K8" s="5" t="s">
        <v>141</v>
      </c>
      <c r="L8" s="5" t="s">
        <v>174</v>
      </c>
      <c r="M8" s="8" t="n">
        <v>0</v>
      </c>
      <c r="N8" s="5" t="n">
        <v>1</v>
      </c>
      <c r="O8" s="9" t="s">
        <v>175</v>
      </c>
      <c r="P8" s="5" t="s">
        <v>144</v>
      </c>
      <c r="Q8" s="9" t="s">
        <v>480</v>
      </c>
    </row>
    <row r="9" customFormat="false" ht="15" hidden="false" customHeight="false" outlineLevel="0" collapsed="false">
      <c r="A9" s="9" t="s">
        <v>303</v>
      </c>
      <c r="B9" s="21" t="n">
        <v>160.6</v>
      </c>
      <c r="C9" s="25" t="s">
        <v>154</v>
      </c>
      <c r="D9" s="8" t="n">
        <v>0</v>
      </c>
      <c r="E9" s="21" t="n">
        <f aca="false">ROUND(B9*D9,1)</f>
        <v>0</v>
      </c>
      <c r="F9" s="21" t="n">
        <f aca="false">B9-E9</f>
        <v>160.6</v>
      </c>
      <c r="G9" s="23" t="n">
        <v>12</v>
      </c>
      <c r="H9" s="9" t="s">
        <v>211</v>
      </c>
      <c r="I9" s="24" t="n">
        <v>8</v>
      </c>
      <c r="J9" s="6" t="n">
        <f aca="false">ROUND(F9*I9,0)</f>
        <v>1285</v>
      </c>
      <c r="K9" s="5" t="s">
        <v>141</v>
      </c>
      <c r="L9" s="5" t="s">
        <v>150</v>
      </c>
      <c r="M9" s="8" t="n">
        <v>0.5</v>
      </c>
      <c r="N9" s="5" t="n">
        <v>1</v>
      </c>
      <c r="O9" s="9" t="s">
        <v>175</v>
      </c>
      <c r="P9" s="5" t="s">
        <v>144</v>
      </c>
      <c r="Q9" s="9" t="s">
        <v>480</v>
      </c>
    </row>
    <row r="10" customFormat="false" ht="15" hidden="false" customHeight="false" outlineLevel="0" collapsed="false">
      <c r="A10" s="9" t="s">
        <v>418</v>
      </c>
      <c r="B10" s="21" t="n">
        <v>159.4</v>
      </c>
      <c r="C10" s="25" t="s">
        <v>154</v>
      </c>
      <c r="D10" s="8" t="n">
        <v>0</v>
      </c>
      <c r="E10" s="21" t="n">
        <f aca="false">ROUND(B10*D10,1)</f>
        <v>0</v>
      </c>
      <c r="F10" s="21" t="n">
        <f aca="false">B10-E10</f>
        <v>159.4</v>
      </c>
      <c r="G10" s="23" t="n">
        <v>12</v>
      </c>
      <c r="H10" s="9" t="s">
        <v>211</v>
      </c>
      <c r="I10" s="24" t="n">
        <v>8</v>
      </c>
      <c r="J10" s="6" t="n">
        <f aca="false">ROUND(F10*I10,0)</f>
        <v>1275</v>
      </c>
      <c r="K10" s="5" t="s">
        <v>141</v>
      </c>
      <c r="L10" s="5" t="s">
        <v>142</v>
      </c>
      <c r="M10" s="8" t="n">
        <v>1</v>
      </c>
      <c r="N10" s="5" t="n">
        <v>1</v>
      </c>
      <c r="O10" s="9" t="s">
        <v>175</v>
      </c>
      <c r="P10" s="5" t="s">
        <v>144</v>
      </c>
      <c r="Q10" s="9" t="s">
        <v>480</v>
      </c>
    </row>
    <row r="11" customFormat="false" ht="15" hidden="false" customHeight="false" outlineLevel="0" collapsed="false">
      <c r="A11" s="9" t="s">
        <v>297</v>
      </c>
      <c r="B11" s="21" t="n">
        <v>158.3</v>
      </c>
      <c r="C11" s="25" t="s">
        <v>154</v>
      </c>
      <c r="D11" s="8" t="n">
        <v>0</v>
      </c>
      <c r="E11" s="21" t="n">
        <f aca="false">ROUND(B11*D11,1)</f>
        <v>0</v>
      </c>
      <c r="F11" s="21" t="n">
        <f aca="false">B11-E11</f>
        <v>158.3</v>
      </c>
      <c r="G11" s="23" t="n">
        <v>12</v>
      </c>
      <c r="H11" s="9" t="s">
        <v>211</v>
      </c>
      <c r="I11" s="24" t="n">
        <v>8</v>
      </c>
      <c r="J11" s="6" t="n">
        <f aca="false">ROUND(F11*I11,0)</f>
        <v>1266</v>
      </c>
      <c r="K11" s="5" t="s">
        <v>141</v>
      </c>
      <c r="L11" s="5" t="s">
        <v>150</v>
      </c>
      <c r="M11" s="8" t="n">
        <v>0.5</v>
      </c>
      <c r="N11" s="5" t="n">
        <v>1</v>
      </c>
      <c r="O11" s="9" t="s">
        <v>175</v>
      </c>
      <c r="P11" s="5" t="s">
        <v>144</v>
      </c>
      <c r="Q11" s="9" t="s">
        <v>480</v>
      </c>
    </row>
    <row r="12" customFormat="false" ht="22.35" hidden="false" customHeight="false" outlineLevel="0" collapsed="false">
      <c r="A12" s="9" t="s">
        <v>390</v>
      </c>
      <c r="B12" s="21" t="n">
        <v>157.2</v>
      </c>
      <c r="C12" s="25" t="s">
        <v>154</v>
      </c>
      <c r="D12" s="8" t="n">
        <v>0</v>
      </c>
      <c r="E12" s="21" t="n">
        <f aca="false">ROUND(B12*D12,1)</f>
        <v>0</v>
      </c>
      <c r="F12" s="21" t="n">
        <f aca="false">B12-E12</f>
        <v>157.2</v>
      </c>
      <c r="G12" s="23" t="n">
        <v>12</v>
      </c>
      <c r="H12" s="9" t="s">
        <v>211</v>
      </c>
      <c r="I12" s="24" t="n">
        <v>8</v>
      </c>
      <c r="J12" s="6" t="n">
        <f aca="false">ROUND(F12*I12,0)</f>
        <v>1258</v>
      </c>
      <c r="K12" s="5" t="s">
        <v>141</v>
      </c>
      <c r="L12" s="5" t="s">
        <v>174</v>
      </c>
      <c r="M12" s="8" t="n">
        <v>0</v>
      </c>
      <c r="N12" s="5" t="n">
        <v>1</v>
      </c>
      <c r="O12" s="9" t="s">
        <v>175</v>
      </c>
      <c r="P12" s="5" t="s">
        <v>144</v>
      </c>
      <c r="Q12" s="9" t="s">
        <v>481</v>
      </c>
    </row>
    <row r="13" customFormat="false" ht="15" hidden="false" customHeight="false" outlineLevel="0" collapsed="false">
      <c r="A13" s="9" t="s">
        <v>295</v>
      </c>
      <c r="B13" s="21" t="n">
        <v>157.3</v>
      </c>
      <c r="C13" s="25" t="s">
        <v>154</v>
      </c>
      <c r="D13" s="8" t="n">
        <v>0</v>
      </c>
      <c r="E13" s="21" t="n">
        <f aca="false">ROUND(B13*D13,1)</f>
        <v>0</v>
      </c>
      <c r="F13" s="21" t="n">
        <f aca="false">B13-E13</f>
        <v>157.3</v>
      </c>
      <c r="G13" s="30" t="n">
        <v>12</v>
      </c>
      <c r="H13" s="9" t="s">
        <v>215</v>
      </c>
      <c r="I13" s="24" t="n">
        <v>8</v>
      </c>
      <c r="J13" s="6" t="n">
        <f aca="false">ROUND(F13*I13,0)</f>
        <v>1258</v>
      </c>
      <c r="K13" s="5" t="s">
        <v>141</v>
      </c>
      <c r="L13" s="5" t="s">
        <v>174</v>
      </c>
      <c r="M13" s="8" t="n">
        <v>0</v>
      </c>
      <c r="N13" s="5" t="n">
        <v>1</v>
      </c>
      <c r="O13" s="9" t="s">
        <v>175</v>
      </c>
      <c r="P13" s="5" t="s">
        <v>144</v>
      </c>
      <c r="Q13" s="9" t="s">
        <v>480</v>
      </c>
    </row>
    <row r="14" customFormat="false" ht="15" hidden="false" customHeight="false" outlineLevel="0" collapsed="false">
      <c r="A14" s="9" t="s">
        <v>417</v>
      </c>
      <c r="B14" s="21" t="n">
        <v>82.5</v>
      </c>
      <c r="C14" s="25" t="s">
        <v>154</v>
      </c>
      <c r="D14" s="8" t="n">
        <v>0</v>
      </c>
      <c r="E14" s="21" t="n">
        <f aca="false">ROUND(B14*D14,1)</f>
        <v>0</v>
      </c>
      <c r="F14" s="21" t="n">
        <f aca="false">B14-E14</f>
        <v>82.5</v>
      </c>
      <c r="G14" s="23" t="n">
        <v>12</v>
      </c>
      <c r="H14" s="9" t="s">
        <v>211</v>
      </c>
      <c r="I14" s="24" t="n">
        <v>8</v>
      </c>
      <c r="J14" s="6" t="n">
        <f aca="false">ROUND(F14*I14,0)</f>
        <v>660</v>
      </c>
      <c r="K14" s="5" t="s">
        <v>141</v>
      </c>
      <c r="L14" s="5" t="s">
        <v>150</v>
      </c>
      <c r="M14" s="8" t="n">
        <v>0.5</v>
      </c>
      <c r="N14" s="5" t="n">
        <v>1</v>
      </c>
      <c r="O14" s="9" t="s">
        <v>175</v>
      </c>
      <c r="P14" s="5" t="s">
        <v>144</v>
      </c>
      <c r="Q14" s="9" t="s">
        <v>480</v>
      </c>
    </row>
    <row r="15" customFormat="false" ht="15" hidden="false" customHeight="false" outlineLevel="0" collapsed="false">
      <c r="A15" s="9" t="s">
        <v>178</v>
      </c>
      <c r="B15" s="21" t="n">
        <v>246.9</v>
      </c>
      <c r="C15" s="22" t="s">
        <v>139</v>
      </c>
      <c r="D15" s="8" t="n">
        <v>1</v>
      </c>
      <c r="E15" s="21" t="n">
        <f aca="false">ROUND(B15*D15,1)</f>
        <v>246.9</v>
      </c>
      <c r="F15" s="21" t="n">
        <f aca="false">B15-E15</f>
        <v>0</v>
      </c>
      <c r="G15" s="23" t="n">
        <v>12</v>
      </c>
      <c r="H15" s="9" t="s">
        <v>211</v>
      </c>
      <c r="I15" s="24" t="n">
        <v>8</v>
      </c>
      <c r="J15" s="6" t="n">
        <f aca="false">ROUND(F15*I15,0)</f>
        <v>0</v>
      </c>
      <c r="K15" s="5" t="s">
        <v>141</v>
      </c>
      <c r="L15" s="5" t="s">
        <v>174</v>
      </c>
      <c r="M15" s="8" t="n">
        <v>0</v>
      </c>
      <c r="N15" s="5" t="n">
        <v>1</v>
      </c>
      <c r="O15" s="9" t="s">
        <v>151</v>
      </c>
      <c r="P15" s="5" t="s">
        <v>144</v>
      </c>
      <c r="Q15" s="9" t="s">
        <v>482</v>
      </c>
    </row>
    <row r="16" customFormat="false" ht="15" hidden="false" customHeight="false" outlineLevel="0" collapsed="false">
      <c r="A16" s="12" t="s">
        <v>189</v>
      </c>
      <c r="B16" s="13" t="n">
        <f aca="false">SUM(B6:B15)</f>
        <v>1520.9</v>
      </c>
      <c r="C16" s="12"/>
      <c r="D16" s="14" t="n">
        <f aca="false">IF(B16=0,0,E16/B16)</f>
        <v>0.223091590505622</v>
      </c>
      <c r="E16" s="13" t="n">
        <f aca="false">SUM(E6:E15)</f>
        <v>339.3</v>
      </c>
      <c r="F16" s="13" t="n">
        <f aca="false">SUM(F6:F15)</f>
        <v>1181.6</v>
      </c>
      <c r="G16" s="12"/>
      <c r="H16" s="12"/>
      <c r="I16" s="12"/>
      <c r="J16" s="13" t="n">
        <f aca="false">SUM(J6:J15)</f>
        <v>9453</v>
      </c>
      <c r="K16" s="12"/>
      <c r="L16" s="12"/>
      <c r="M16" s="12"/>
      <c r="N16" s="12"/>
      <c r="O16" s="12"/>
      <c r="P16" s="12"/>
      <c r="Q16" s="12"/>
    </row>
    <row r="18" customFormat="false" ht="15" hidden="false" customHeight="false" outlineLevel="0" collapsed="false">
      <c r="A18" s="16" t="s">
        <v>190</v>
      </c>
      <c r="D18" s="27" t="n">
        <f aca="false">J16</f>
        <v>9453</v>
      </c>
      <c r="F18" s="20" t="s">
        <v>191</v>
      </c>
    </row>
    <row r="19" customFormat="false" ht="15" hidden="false" customHeight="false" outlineLevel="0" collapsed="false">
      <c r="A19" s="16" t="s">
        <v>192</v>
      </c>
      <c r="D19" s="27" t="n">
        <f aca="false">F16*8</f>
        <v>9452.8</v>
      </c>
      <c r="F19" s="20" t="s">
        <v>193</v>
      </c>
    </row>
    <row r="20" customFormat="false" ht="15" hidden="false" customHeight="false" outlineLevel="0" collapsed="false">
      <c r="A20" s="16" t="s">
        <v>194</v>
      </c>
      <c r="D20" s="28" t="n">
        <v>0</v>
      </c>
      <c r="F20" s="20" t="s">
        <v>195</v>
      </c>
    </row>
    <row r="21" customFormat="false" ht="15" hidden="false" customHeight="false" outlineLevel="0" collapsed="false">
      <c r="A21" s="16" t="s">
        <v>196</v>
      </c>
      <c r="D21" s="29" t="n">
        <v>0.29</v>
      </c>
      <c r="F21" s="20" t="s">
        <v>61</v>
      </c>
    </row>
    <row r="22" customFormat="false" ht="15" hidden="false" customHeight="false" outlineLevel="0" collapsed="false">
      <c r="A22" s="16" t="s">
        <v>197</v>
      </c>
      <c r="D22" s="27" t="n">
        <f aca="false">(B16-D20)*(1-D21)</f>
        <v>1079.839</v>
      </c>
      <c r="F22" s="20" t="s">
        <v>198</v>
      </c>
    </row>
    <row r="23" customFormat="false" ht="15" hidden="false" customHeight="false" outlineLevel="0" collapsed="false">
      <c r="A23" s="16" t="s">
        <v>199</v>
      </c>
      <c r="D23" s="27" t="n">
        <f aca="false">ROUND(D22*4,0)</f>
        <v>4319</v>
      </c>
      <c r="F23" s="20" t="s">
        <v>200</v>
      </c>
    </row>
    <row r="24" customFormat="false" ht="15" hidden="false" customHeight="false" outlineLevel="0" collapsed="false">
      <c r="A24" s="16" t="s">
        <v>201</v>
      </c>
      <c r="D24" s="28" t="n">
        <v>10</v>
      </c>
    </row>
    <row r="25" customFormat="false" ht="15" hidden="false" customHeight="false" outlineLevel="0" collapsed="false">
      <c r="A25" s="16" t="s">
        <v>202</v>
      </c>
      <c r="D25" s="28" t="n">
        <v>0</v>
      </c>
      <c r="F25" s="20" t="s">
        <v>203</v>
      </c>
    </row>
    <row r="26" customFormat="false" ht="15" hidden="false" customHeight="false" outlineLevel="0" collapsed="false">
      <c r="A26" s="16" t="s">
        <v>204</v>
      </c>
      <c r="D26" s="28" t="n">
        <v>339</v>
      </c>
    </row>
    <row r="27" customFormat="false" ht="15" hidden="false" customHeight="false" outlineLevel="0" collapsed="false">
      <c r="A27" s="16" t="s">
        <v>205</v>
      </c>
      <c r="D27" s="28" t="n">
        <v>0</v>
      </c>
      <c r="F27" s="20" t="s">
        <v>206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3"/>
    <col collapsed="false" customWidth="true" hidden="false" outlineLevel="0" max="3" min="3" style="0" width="15"/>
    <col collapsed="false" customWidth="true" hidden="false" outlineLevel="0" max="4" min="4" style="0" width="12"/>
    <col collapsed="false" customWidth="true" hidden="false" outlineLevel="0" max="6" min="5" style="0" width="13"/>
    <col collapsed="false" customWidth="true" hidden="false" outlineLevel="0" max="7" min="7" style="0" width="11"/>
    <col collapsed="false" customWidth="true" hidden="false" outlineLevel="0" max="8" min="8" style="0" width="20"/>
    <col collapsed="false" customWidth="true" hidden="false" outlineLevel="0" max="10" min="9" style="0" width="13"/>
    <col collapsed="false" customWidth="true" hidden="false" outlineLevel="0" max="11" min="11" style="0" width="10"/>
    <col collapsed="false" customWidth="true" hidden="false" outlineLevel="0" max="12" min="12" style="0" width="13"/>
    <col collapsed="false" customWidth="true" hidden="false" outlineLevel="0" max="14" min="13" style="0" width="9"/>
    <col collapsed="false" customWidth="true" hidden="false" outlineLevel="0" max="15" min="15" style="0" width="46"/>
    <col collapsed="false" customWidth="true" hidden="false" outlineLevel="0" max="16" min="16" style="0" width="17"/>
    <col collapsed="false" customWidth="true" hidden="false" outlineLevel="0" max="17" min="17" style="0" width="52"/>
  </cols>
  <sheetData>
    <row r="1" customFormat="false" ht="16.15" hidden="false" customHeight="false" outlineLevel="0" collapsed="false">
      <c r="A1" s="18" t="s">
        <v>483</v>
      </c>
    </row>
    <row r="2" customFormat="false" ht="15" hidden="false" customHeight="false" outlineLevel="0" collapsed="false">
      <c r="A2" s="19" t="s">
        <v>484</v>
      </c>
    </row>
    <row r="3" customFormat="false" ht="15" hidden="false" customHeight="false" outlineLevel="0" collapsed="false">
      <c r="A3" s="20" t="s">
        <v>485</v>
      </c>
    </row>
    <row r="5" customFormat="false" ht="32.8" hidden="false" customHeight="false" outlineLevel="0" collapsed="false">
      <c r="A5" s="4" t="s">
        <v>122</v>
      </c>
      <c r="B5" s="4" t="s">
        <v>123</v>
      </c>
      <c r="C5" s="4" t="s">
        <v>124</v>
      </c>
      <c r="D5" s="4" t="s">
        <v>125</v>
      </c>
      <c r="E5" s="4" t="s">
        <v>126</v>
      </c>
      <c r="F5" s="4" t="s">
        <v>12</v>
      </c>
      <c r="G5" s="4" t="s">
        <v>127</v>
      </c>
      <c r="H5" s="4" t="s">
        <v>128</v>
      </c>
      <c r="I5" s="4" t="s">
        <v>129</v>
      </c>
      <c r="J5" s="4" t="s">
        <v>130</v>
      </c>
      <c r="K5" s="4" t="s">
        <v>131</v>
      </c>
      <c r="L5" s="4" t="s">
        <v>132</v>
      </c>
      <c r="M5" s="4" t="s">
        <v>133</v>
      </c>
      <c r="N5" s="4" t="s">
        <v>134</v>
      </c>
      <c r="O5" s="4" t="s">
        <v>135</v>
      </c>
      <c r="P5" s="4" t="s">
        <v>136</v>
      </c>
      <c r="Q5" s="4" t="s">
        <v>137</v>
      </c>
    </row>
    <row r="6" customFormat="false" ht="22.35" hidden="false" customHeight="false" outlineLevel="0" collapsed="false">
      <c r="A6" s="9" t="s">
        <v>210</v>
      </c>
      <c r="B6" s="21" t="n">
        <v>51.9</v>
      </c>
      <c r="C6" s="25" t="s">
        <v>154</v>
      </c>
      <c r="D6" s="8" t="n">
        <v>0</v>
      </c>
      <c r="E6" s="21" t="n">
        <f aca="false">ROUND(B6*D6,1)</f>
        <v>0</v>
      </c>
      <c r="F6" s="21" t="n">
        <f aca="false">B6-E6</f>
        <v>51.9</v>
      </c>
      <c r="G6" s="23" t="n">
        <v>12</v>
      </c>
      <c r="H6" s="9" t="s">
        <v>211</v>
      </c>
      <c r="I6" s="24" t="n">
        <v>8</v>
      </c>
      <c r="J6" s="6" t="n">
        <f aca="false">ROUND(F6*I6,0)</f>
        <v>415</v>
      </c>
      <c r="K6" s="5" t="s">
        <v>141</v>
      </c>
      <c r="L6" s="5" t="s">
        <v>174</v>
      </c>
      <c r="M6" s="8" t="n">
        <v>0</v>
      </c>
      <c r="N6" s="5" t="n">
        <v>1</v>
      </c>
      <c r="O6" s="9" t="s">
        <v>155</v>
      </c>
      <c r="P6" s="5" t="s">
        <v>144</v>
      </c>
      <c r="Q6" s="9" t="s">
        <v>486</v>
      </c>
    </row>
    <row r="7" customFormat="false" ht="32.8" hidden="false" customHeight="false" outlineLevel="0" collapsed="false">
      <c r="A7" s="9" t="s">
        <v>487</v>
      </c>
      <c r="B7" s="21" t="n">
        <v>2162.6</v>
      </c>
      <c r="C7" s="25" t="s">
        <v>154</v>
      </c>
      <c r="D7" s="8" t="n">
        <v>0</v>
      </c>
      <c r="E7" s="21" t="n">
        <f aca="false">ROUND(B7*D7,1)</f>
        <v>0</v>
      </c>
      <c r="F7" s="21" t="n">
        <f aca="false">B7-E7</f>
        <v>2162.6</v>
      </c>
      <c r="G7" s="23" t="n">
        <v>12</v>
      </c>
      <c r="H7" s="9" t="s">
        <v>211</v>
      </c>
      <c r="I7" s="24" t="n">
        <v>8</v>
      </c>
      <c r="J7" s="6" t="n">
        <f aca="false">ROUND(F7*I7,0)</f>
        <v>17301</v>
      </c>
      <c r="K7" s="5" t="s">
        <v>141</v>
      </c>
      <c r="L7" s="5" t="s">
        <v>174</v>
      </c>
      <c r="M7" s="8" t="n">
        <v>0</v>
      </c>
      <c r="N7" s="5" t="n">
        <v>6</v>
      </c>
      <c r="O7" s="9" t="s">
        <v>488</v>
      </c>
      <c r="P7" s="5" t="s">
        <v>144</v>
      </c>
      <c r="Q7" s="9" t="s">
        <v>489</v>
      </c>
    </row>
    <row r="8" customFormat="false" ht="22.35" hidden="false" customHeight="false" outlineLevel="0" collapsed="false">
      <c r="A8" s="9" t="s">
        <v>171</v>
      </c>
      <c r="B8" s="21" t="n">
        <v>425.3</v>
      </c>
      <c r="C8" s="22" t="s">
        <v>139</v>
      </c>
      <c r="D8" s="8" t="n">
        <v>1</v>
      </c>
      <c r="E8" s="21" t="n">
        <f aca="false">ROUND(B8*D8,1)</f>
        <v>425.3</v>
      </c>
      <c r="F8" s="21" t="n">
        <f aca="false">B8-E8</f>
        <v>0</v>
      </c>
      <c r="G8" s="30" t="n">
        <v>22</v>
      </c>
      <c r="H8" s="9" t="s">
        <v>215</v>
      </c>
      <c r="I8" s="24" t="n">
        <v>14</v>
      </c>
      <c r="J8" s="6" t="n">
        <f aca="false">ROUND(F8*I8,0)</f>
        <v>0</v>
      </c>
      <c r="K8" s="5" t="s">
        <v>141</v>
      </c>
      <c r="L8" s="5" t="s">
        <v>150</v>
      </c>
      <c r="M8" s="8" t="n">
        <v>0.5</v>
      </c>
      <c r="N8" s="5" t="n">
        <v>1</v>
      </c>
      <c r="O8" s="9" t="s">
        <v>151</v>
      </c>
      <c r="P8" s="5" t="s">
        <v>144</v>
      </c>
      <c r="Q8" s="9" t="s">
        <v>490</v>
      </c>
    </row>
    <row r="9" customFormat="false" ht="32.8" hidden="false" customHeight="false" outlineLevel="0" collapsed="false">
      <c r="A9" s="9" t="s">
        <v>138</v>
      </c>
      <c r="B9" s="21" t="n">
        <v>132.3</v>
      </c>
      <c r="C9" s="25" t="s">
        <v>154</v>
      </c>
      <c r="D9" s="8" t="n">
        <v>0</v>
      </c>
      <c r="E9" s="21" t="n">
        <f aca="false">ROUND(B9*D9,1)</f>
        <v>0</v>
      </c>
      <c r="F9" s="21" t="n">
        <f aca="false">B9-E9</f>
        <v>132.3</v>
      </c>
      <c r="G9" s="30" t="n">
        <v>25</v>
      </c>
      <c r="H9" s="9" t="s">
        <v>215</v>
      </c>
      <c r="I9" s="24" t="n">
        <v>17</v>
      </c>
      <c r="J9" s="6" t="n">
        <f aca="false">ROUND(F9*I9,0)</f>
        <v>2249</v>
      </c>
      <c r="K9" s="5" t="s">
        <v>314</v>
      </c>
      <c r="L9" s="5" t="s">
        <v>217</v>
      </c>
      <c r="M9" s="8" t="s">
        <v>218</v>
      </c>
      <c r="N9" s="5" t="n">
        <v>1</v>
      </c>
      <c r="O9" s="9" t="s">
        <v>491</v>
      </c>
      <c r="P9" s="5" t="s">
        <v>144</v>
      </c>
      <c r="Q9" s="9" t="s">
        <v>492</v>
      </c>
    </row>
    <row r="10" customFormat="false" ht="22.35" hidden="false" customHeight="false" outlineLevel="0" collapsed="false">
      <c r="A10" s="9" t="s">
        <v>493</v>
      </c>
      <c r="B10" s="21" t="n">
        <v>2160</v>
      </c>
      <c r="C10" s="25" t="s">
        <v>154</v>
      </c>
      <c r="D10" s="8" t="n">
        <v>0</v>
      </c>
      <c r="E10" s="21" t="n">
        <f aca="false">ROUND(B10*D10,1)</f>
        <v>0</v>
      </c>
      <c r="F10" s="21" t="n">
        <f aca="false">B10-E10</f>
        <v>2160</v>
      </c>
      <c r="G10" s="30" t="n">
        <v>10</v>
      </c>
      <c r="H10" s="9" t="s">
        <v>215</v>
      </c>
      <c r="I10" s="24" t="n">
        <v>6</v>
      </c>
      <c r="J10" s="6" t="n">
        <f aca="false">ROUND(F10*I10,0)</f>
        <v>12960</v>
      </c>
      <c r="K10" s="5" t="s">
        <v>216</v>
      </c>
      <c r="L10" s="5" t="s">
        <v>217</v>
      </c>
      <c r="M10" s="8" t="s">
        <v>218</v>
      </c>
      <c r="N10" s="5" t="n">
        <v>0</v>
      </c>
      <c r="O10" s="9" t="s">
        <v>219</v>
      </c>
      <c r="P10" s="5" t="s">
        <v>220</v>
      </c>
      <c r="Q10" s="9" t="s">
        <v>494</v>
      </c>
    </row>
    <row r="11" customFormat="false" ht="32.8" hidden="false" customHeight="false" outlineLevel="0" collapsed="false">
      <c r="A11" s="9" t="s">
        <v>469</v>
      </c>
      <c r="B11" s="21" t="n">
        <v>154</v>
      </c>
      <c r="C11" s="25" t="s">
        <v>154</v>
      </c>
      <c r="D11" s="8" t="n">
        <v>0</v>
      </c>
      <c r="E11" s="21" t="n">
        <f aca="false">ROUND(B11*D11,1)</f>
        <v>0</v>
      </c>
      <c r="F11" s="21" t="n">
        <f aca="false">B11-E11</f>
        <v>154</v>
      </c>
      <c r="G11" s="30" t="n">
        <v>12</v>
      </c>
      <c r="H11" s="9" t="s">
        <v>215</v>
      </c>
      <c r="I11" s="24" t="n">
        <v>8</v>
      </c>
      <c r="J11" s="6" t="n">
        <f aca="false">ROUND(F11*I11,0)</f>
        <v>1232</v>
      </c>
      <c r="K11" s="5" t="s">
        <v>216</v>
      </c>
      <c r="L11" s="5" t="s">
        <v>217</v>
      </c>
      <c r="M11" s="8" t="s">
        <v>218</v>
      </c>
      <c r="N11" s="5" t="n">
        <v>0</v>
      </c>
      <c r="O11" s="9" t="s">
        <v>219</v>
      </c>
      <c r="P11" s="5" t="s">
        <v>220</v>
      </c>
      <c r="Q11" s="9" t="s">
        <v>495</v>
      </c>
    </row>
    <row r="12" customFormat="false" ht="32.8" hidden="false" customHeight="false" outlineLevel="0" collapsed="false">
      <c r="A12" s="9" t="s">
        <v>466</v>
      </c>
      <c r="B12" s="21" t="n">
        <v>154</v>
      </c>
      <c r="C12" s="25" t="s">
        <v>154</v>
      </c>
      <c r="D12" s="8" t="n">
        <v>0</v>
      </c>
      <c r="E12" s="21" t="n">
        <f aca="false">ROUND(B12*D12,1)</f>
        <v>0</v>
      </c>
      <c r="F12" s="21" t="n">
        <f aca="false">B12-E12</f>
        <v>154</v>
      </c>
      <c r="G12" s="30" t="n">
        <v>12</v>
      </c>
      <c r="H12" s="9" t="s">
        <v>215</v>
      </c>
      <c r="I12" s="24" t="n">
        <v>8</v>
      </c>
      <c r="J12" s="6" t="n">
        <f aca="false">ROUND(F12*I12,0)</f>
        <v>1232</v>
      </c>
      <c r="K12" s="5" t="s">
        <v>216</v>
      </c>
      <c r="L12" s="5" t="s">
        <v>217</v>
      </c>
      <c r="M12" s="8" t="s">
        <v>218</v>
      </c>
      <c r="N12" s="5" t="n">
        <v>0</v>
      </c>
      <c r="O12" s="9" t="s">
        <v>219</v>
      </c>
      <c r="P12" s="5" t="s">
        <v>220</v>
      </c>
      <c r="Q12" s="9" t="s">
        <v>495</v>
      </c>
    </row>
    <row r="13" customFormat="false" ht="32.8" hidden="false" customHeight="false" outlineLevel="0" collapsed="false">
      <c r="A13" s="9" t="s">
        <v>464</v>
      </c>
      <c r="B13" s="21" t="n">
        <v>154</v>
      </c>
      <c r="C13" s="25" t="s">
        <v>154</v>
      </c>
      <c r="D13" s="8" t="n">
        <v>0</v>
      </c>
      <c r="E13" s="21" t="n">
        <f aca="false">ROUND(B13*D13,1)</f>
        <v>0</v>
      </c>
      <c r="F13" s="21" t="n">
        <f aca="false">B13-E13</f>
        <v>154</v>
      </c>
      <c r="G13" s="30" t="n">
        <v>12</v>
      </c>
      <c r="H13" s="9" t="s">
        <v>215</v>
      </c>
      <c r="I13" s="24" t="n">
        <v>8</v>
      </c>
      <c r="J13" s="6" t="n">
        <f aca="false">ROUND(F13*I13,0)</f>
        <v>1232</v>
      </c>
      <c r="K13" s="5" t="s">
        <v>216</v>
      </c>
      <c r="L13" s="5" t="s">
        <v>217</v>
      </c>
      <c r="M13" s="8" t="s">
        <v>218</v>
      </c>
      <c r="N13" s="5" t="n">
        <v>0</v>
      </c>
      <c r="O13" s="9" t="s">
        <v>219</v>
      </c>
      <c r="P13" s="5" t="s">
        <v>220</v>
      </c>
      <c r="Q13" s="9" t="s">
        <v>496</v>
      </c>
    </row>
    <row r="14" customFormat="false" ht="32.8" hidden="false" customHeight="false" outlineLevel="0" collapsed="false">
      <c r="A14" s="9" t="s">
        <v>497</v>
      </c>
      <c r="B14" s="21" t="n">
        <v>154</v>
      </c>
      <c r="C14" s="25" t="s">
        <v>154</v>
      </c>
      <c r="D14" s="8" t="n">
        <v>0</v>
      </c>
      <c r="E14" s="21" t="n">
        <f aca="false">ROUND(B14*D14,1)</f>
        <v>0</v>
      </c>
      <c r="F14" s="21" t="n">
        <f aca="false">B14-E14</f>
        <v>154</v>
      </c>
      <c r="G14" s="30" t="n">
        <v>12</v>
      </c>
      <c r="H14" s="9" t="s">
        <v>215</v>
      </c>
      <c r="I14" s="24" t="n">
        <v>8</v>
      </c>
      <c r="J14" s="6" t="n">
        <f aca="false">ROUND(F14*I14,0)</f>
        <v>1232</v>
      </c>
      <c r="K14" s="5" t="s">
        <v>216</v>
      </c>
      <c r="L14" s="5" t="s">
        <v>217</v>
      </c>
      <c r="M14" s="8" t="s">
        <v>218</v>
      </c>
      <c r="N14" s="5" t="n">
        <v>0</v>
      </c>
      <c r="O14" s="9" t="s">
        <v>219</v>
      </c>
      <c r="P14" s="5" t="s">
        <v>220</v>
      </c>
      <c r="Q14" s="9" t="s">
        <v>496</v>
      </c>
    </row>
    <row r="15" customFormat="false" ht="32.8" hidden="false" customHeight="false" outlineLevel="0" collapsed="false">
      <c r="A15" s="9" t="s">
        <v>461</v>
      </c>
      <c r="B15" s="21" t="n">
        <v>154</v>
      </c>
      <c r="C15" s="25" t="s">
        <v>154</v>
      </c>
      <c r="D15" s="8" t="n">
        <v>0</v>
      </c>
      <c r="E15" s="21" t="n">
        <f aca="false">ROUND(B15*D15,1)</f>
        <v>0</v>
      </c>
      <c r="F15" s="21" t="n">
        <f aca="false">B15-E15</f>
        <v>154</v>
      </c>
      <c r="G15" s="30" t="n">
        <v>12</v>
      </c>
      <c r="H15" s="9" t="s">
        <v>215</v>
      </c>
      <c r="I15" s="24" t="n">
        <v>8</v>
      </c>
      <c r="J15" s="6" t="n">
        <f aca="false">ROUND(F15*I15,0)</f>
        <v>1232</v>
      </c>
      <c r="K15" s="5" t="s">
        <v>216</v>
      </c>
      <c r="L15" s="5" t="s">
        <v>217</v>
      </c>
      <c r="M15" s="8" t="s">
        <v>218</v>
      </c>
      <c r="N15" s="5" t="n">
        <v>0</v>
      </c>
      <c r="O15" s="9" t="s">
        <v>219</v>
      </c>
      <c r="P15" s="5" t="s">
        <v>220</v>
      </c>
      <c r="Q15" s="9" t="s">
        <v>496</v>
      </c>
    </row>
    <row r="16" customFormat="false" ht="32.8" hidden="false" customHeight="false" outlineLevel="0" collapsed="false">
      <c r="A16" s="9" t="s">
        <v>498</v>
      </c>
      <c r="B16" s="21" t="n">
        <v>154</v>
      </c>
      <c r="C16" s="25" t="s">
        <v>154</v>
      </c>
      <c r="D16" s="8" t="n">
        <v>0</v>
      </c>
      <c r="E16" s="21" t="n">
        <f aca="false">ROUND(B16*D16,1)</f>
        <v>0</v>
      </c>
      <c r="F16" s="21" t="n">
        <f aca="false">B16-E16</f>
        <v>154</v>
      </c>
      <c r="G16" s="30" t="n">
        <v>12</v>
      </c>
      <c r="H16" s="9" t="s">
        <v>215</v>
      </c>
      <c r="I16" s="24" t="n">
        <v>8</v>
      </c>
      <c r="J16" s="6" t="n">
        <f aca="false">ROUND(F16*I16,0)</f>
        <v>1232</v>
      </c>
      <c r="K16" s="5" t="s">
        <v>216</v>
      </c>
      <c r="L16" s="5" t="s">
        <v>217</v>
      </c>
      <c r="M16" s="8" t="s">
        <v>218</v>
      </c>
      <c r="N16" s="5" t="n">
        <v>0</v>
      </c>
      <c r="O16" s="9" t="s">
        <v>219</v>
      </c>
      <c r="P16" s="5" t="s">
        <v>220</v>
      </c>
      <c r="Q16" s="9" t="s">
        <v>496</v>
      </c>
    </row>
    <row r="17" customFormat="false" ht="32.8" hidden="false" customHeight="false" outlineLevel="0" collapsed="false">
      <c r="A17" s="9" t="s">
        <v>459</v>
      </c>
      <c r="B17" s="21" t="n">
        <v>154</v>
      </c>
      <c r="C17" s="25" t="s">
        <v>154</v>
      </c>
      <c r="D17" s="8" t="n">
        <v>0</v>
      </c>
      <c r="E17" s="21" t="n">
        <f aca="false">ROUND(B17*D17,1)</f>
        <v>0</v>
      </c>
      <c r="F17" s="21" t="n">
        <f aca="false">B17-E17</f>
        <v>154</v>
      </c>
      <c r="G17" s="30" t="n">
        <v>12</v>
      </c>
      <c r="H17" s="9" t="s">
        <v>215</v>
      </c>
      <c r="I17" s="24" t="n">
        <v>8</v>
      </c>
      <c r="J17" s="6" t="n">
        <f aca="false">ROUND(F17*I17,0)</f>
        <v>1232</v>
      </c>
      <c r="K17" s="5" t="s">
        <v>216</v>
      </c>
      <c r="L17" s="5" t="s">
        <v>217</v>
      </c>
      <c r="M17" s="8" t="s">
        <v>218</v>
      </c>
      <c r="N17" s="5" t="n">
        <v>0</v>
      </c>
      <c r="O17" s="9" t="s">
        <v>219</v>
      </c>
      <c r="P17" s="5" t="s">
        <v>220</v>
      </c>
      <c r="Q17" s="9" t="s">
        <v>496</v>
      </c>
    </row>
    <row r="18" customFormat="false" ht="32.8" hidden="false" customHeight="false" outlineLevel="0" collapsed="false">
      <c r="A18" s="9" t="s">
        <v>499</v>
      </c>
      <c r="B18" s="21" t="n">
        <v>154</v>
      </c>
      <c r="C18" s="25" t="s">
        <v>154</v>
      </c>
      <c r="D18" s="8" t="n">
        <v>0</v>
      </c>
      <c r="E18" s="21" t="n">
        <f aca="false">ROUND(B18*D18,1)</f>
        <v>0</v>
      </c>
      <c r="F18" s="21" t="n">
        <f aca="false">B18-E18</f>
        <v>154</v>
      </c>
      <c r="G18" s="30" t="n">
        <v>12</v>
      </c>
      <c r="H18" s="9" t="s">
        <v>215</v>
      </c>
      <c r="I18" s="24" t="n">
        <v>8</v>
      </c>
      <c r="J18" s="6" t="n">
        <f aca="false">ROUND(F18*I18,0)</f>
        <v>1232</v>
      </c>
      <c r="K18" s="5" t="s">
        <v>216</v>
      </c>
      <c r="L18" s="5" t="s">
        <v>217</v>
      </c>
      <c r="M18" s="8" t="s">
        <v>218</v>
      </c>
      <c r="N18" s="5" t="n">
        <v>0</v>
      </c>
      <c r="O18" s="9" t="s">
        <v>219</v>
      </c>
      <c r="P18" s="5" t="s">
        <v>220</v>
      </c>
      <c r="Q18" s="9" t="s">
        <v>496</v>
      </c>
    </row>
    <row r="19" customFormat="false" ht="32.8" hidden="false" customHeight="false" outlineLevel="0" collapsed="false">
      <c r="A19" s="9" t="s">
        <v>500</v>
      </c>
      <c r="B19" s="21" t="n">
        <v>154</v>
      </c>
      <c r="C19" s="25" t="s">
        <v>154</v>
      </c>
      <c r="D19" s="8" t="n">
        <v>0</v>
      </c>
      <c r="E19" s="21" t="n">
        <f aca="false">ROUND(B19*D19,1)</f>
        <v>0</v>
      </c>
      <c r="F19" s="21" t="n">
        <f aca="false">B19-E19</f>
        <v>154</v>
      </c>
      <c r="G19" s="30" t="n">
        <v>12</v>
      </c>
      <c r="H19" s="9" t="s">
        <v>215</v>
      </c>
      <c r="I19" s="24" t="n">
        <v>8</v>
      </c>
      <c r="J19" s="6" t="n">
        <f aca="false">ROUND(F19*I19,0)</f>
        <v>1232</v>
      </c>
      <c r="K19" s="5" t="s">
        <v>216</v>
      </c>
      <c r="L19" s="5" t="s">
        <v>217</v>
      </c>
      <c r="M19" s="8" t="s">
        <v>218</v>
      </c>
      <c r="N19" s="5" t="n">
        <v>0</v>
      </c>
      <c r="O19" s="9" t="s">
        <v>219</v>
      </c>
      <c r="P19" s="5" t="s">
        <v>220</v>
      </c>
      <c r="Q19" s="9" t="s">
        <v>496</v>
      </c>
    </row>
    <row r="20" customFormat="false" ht="32.8" hidden="false" customHeight="false" outlineLevel="0" collapsed="false">
      <c r="A20" s="9" t="s">
        <v>501</v>
      </c>
      <c r="B20" s="21" t="n">
        <v>154</v>
      </c>
      <c r="C20" s="25" t="s">
        <v>154</v>
      </c>
      <c r="D20" s="8" t="n">
        <v>0</v>
      </c>
      <c r="E20" s="21" t="n">
        <f aca="false">ROUND(B20*D20,1)</f>
        <v>0</v>
      </c>
      <c r="F20" s="21" t="n">
        <f aca="false">B20-E20</f>
        <v>154</v>
      </c>
      <c r="G20" s="30" t="n">
        <v>12</v>
      </c>
      <c r="H20" s="9" t="s">
        <v>215</v>
      </c>
      <c r="I20" s="24" t="n">
        <v>8</v>
      </c>
      <c r="J20" s="6" t="n">
        <f aca="false">ROUND(F20*I20,0)</f>
        <v>1232</v>
      </c>
      <c r="K20" s="5" t="s">
        <v>216</v>
      </c>
      <c r="L20" s="5" t="s">
        <v>217</v>
      </c>
      <c r="M20" s="8" t="s">
        <v>218</v>
      </c>
      <c r="N20" s="5" t="n">
        <v>0</v>
      </c>
      <c r="O20" s="9" t="s">
        <v>219</v>
      </c>
      <c r="P20" s="5" t="s">
        <v>220</v>
      </c>
      <c r="Q20" s="9" t="s">
        <v>496</v>
      </c>
    </row>
    <row r="21" customFormat="false" ht="32.8" hidden="false" customHeight="false" outlineLevel="0" collapsed="false">
      <c r="A21" s="9" t="s">
        <v>502</v>
      </c>
      <c r="B21" s="21" t="n">
        <v>154</v>
      </c>
      <c r="C21" s="25" t="s">
        <v>154</v>
      </c>
      <c r="D21" s="8" t="n">
        <v>0</v>
      </c>
      <c r="E21" s="21" t="n">
        <f aca="false">ROUND(B21*D21,1)</f>
        <v>0</v>
      </c>
      <c r="F21" s="21" t="n">
        <f aca="false">B21-E21</f>
        <v>154</v>
      </c>
      <c r="G21" s="30" t="n">
        <v>12</v>
      </c>
      <c r="H21" s="9" t="s">
        <v>215</v>
      </c>
      <c r="I21" s="24" t="n">
        <v>8</v>
      </c>
      <c r="J21" s="6" t="n">
        <f aca="false">ROUND(F21*I21,0)</f>
        <v>1232</v>
      </c>
      <c r="K21" s="5" t="s">
        <v>216</v>
      </c>
      <c r="L21" s="5" t="s">
        <v>217</v>
      </c>
      <c r="M21" s="8" t="s">
        <v>218</v>
      </c>
      <c r="N21" s="5" t="n">
        <v>0</v>
      </c>
      <c r="O21" s="9" t="s">
        <v>219</v>
      </c>
      <c r="P21" s="5" t="s">
        <v>220</v>
      </c>
      <c r="Q21" s="9" t="s">
        <v>496</v>
      </c>
    </row>
    <row r="22" customFormat="false" ht="32.8" hidden="false" customHeight="false" outlineLevel="0" collapsed="false">
      <c r="A22" s="9" t="s">
        <v>503</v>
      </c>
      <c r="B22" s="21" t="n">
        <v>154</v>
      </c>
      <c r="C22" s="25" t="s">
        <v>154</v>
      </c>
      <c r="D22" s="8" t="n">
        <v>0</v>
      </c>
      <c r="E22" s="21" t="n">
        <f aca="false">ROUND(B22*D22,1)</f>
        <v>0</v>
      </c>
      <c r="F22" s="21" t="n">
        <f aca="false">B22-E22</f>
        <v>154</v>
      </c>
      <c r="G22" s="30" t="n">
        <v>12</v>
      </c>
      <c r="H22" s="9" t="s">
        <v>215</v>
      </c>
      <c r="I22" s="24" t="n">
        <v>8</v>
      </c>
      <c r="J22" s="6" t="n">
        <f aca="false">ROUND(F22*I22,0)</f>
        <v>1232</v>
      </c>
      <c r="K22" s="5" t="s">
        <v>216</v>
      </c>
      <c r="L22" s="5" t="s">
        <v>217</v>
      </c>
      <c r="M22" s="8" t="s">
        <v>218</v>
      </c>
      <c r="N22" s="5" t="n">
        <v>0</v>
      </c>
      <c r="O22" s="9" t="s">
        <v>219</v>
      </c>
      <c r="P22" s="5" t="s">
        <v>220</v>
      </c>
      <c r="Q22" s="9" t="s">
        <v>496</v>
      </c>
    </row>
    <row r="23" customFormat="false" ht="32.8" hidden="false" customHeight="false" outlineLevel="0" collapsed="false">
      <c r="A23" s="9" t="s">
        <v>504</v>
      </c>
      <c r="B23" s="21" t="n">
        <v>154</v>
      </c>
      <c r="C23" s="25" t="s">
        <v>154</v>
      </c>
      <c r="D23" s="8" t="n">
        <v>0</v>
      </c>
      <c r="E23" s="21" t="n">
        <f aca="false">ROUND(B23*D23,1)</f>
        <v>0</v>
      </c>
      <c r="F23" s="21" t="n">
        <f aca="false">B23-E23</f>
        <v>154</v>
      </c>
      <c r="G23" s="30" t="n">
        <v>12</v>
      </c>
      <c r="H23" s="9" t="s">
        <v>215</v>
      </c>
      <c r="I23" s="24" t="n">
        <v>8</v>
      </c>
      <c r="J23" s="6" t="n">
        <f aca="false">ROUND(F23*I23,0)</f>
        <v>1232</v>
      </c>
      <c r="K23" s="5" t="s">
        <v>216</v>
      </c>
      <c r="L23" s="5" t="s">
        <v>217</v>
      </c>
      <c r="M23" s="8" t="s">
        <v>218</v>
      </c>
      <c r="N23" s="5" t="n">
        <v>0</v>
      </c>
      <c r="O23" s="9" t="s">
        <v>219</v>
      </c>
      <c r="P23" s="5" t="s">
        <v>220</v>
      </c>
      <c r="Q23" s="9" t="s">
        <v>496</v>
      </c>
    </row>
    <row r="24" customFormat="false" ht="32.8" hidden="false" customHeight="false" outlineLevel="0" collapsed="false">
      <c r="A24" s="9" t="s">
        <v>505</v>
      </c>
      <c r="B24" s="21" t="n">
        <v>154</v>
      </c>
      <c r="C24" s="25" t="s">
        <v>154</v>
      </c>
      <c r="D24" s="8" t="n">
        <v>0</v>
      </c>
      <c r="E24" s="21" t="n">
        <f aca="false">ROUND(B24*D24,1)</f>
        <v>0</v>
      </c>
      <c r="F24" s="21" t="n">
        <f aca="false">B24-E24</f>
        <v>154</v>
      </c>
      <c r="G24" s="30" t="n">
        <v>12</v>
      </c>
      <c r="H24" s="9" t="s">
        <v>215</v>
      </c>
      <c r="I24" s="24" t="n">
        <v>8</v>
      </c>
      <c r="J24" s="6" t="n">
        <f aca="false">ROUND(F24*I24,0)</f>
        <v>1232</v>
      </c>
      <c r="K24" s="5" t="s">
        <v>216</v>
      </c>
      <c r="L24" s="5" t="s">
        <v>217</v>
      </c>
      <c r="M24" s="8" t="s">
        <v>218</v>
      </c>
      <c r="N24" s="5" t="n">
        <v>0</v>
      </c>
      <c r="O24" s="9" t="s">
        <v>219</v>
      </c>
      <c r="P24" s="5" t="s">
        <v>220</v>
      </c>
      <c r="Q24" s="9" t="s">
        <v>496</v>
      </c>
    </row>
    <row r="25" customFormat="false" ht="22.35" hidden="false" customHeight="false" outlineLevel="0" collapsed="false">
      <c r="A25" s="9" t="s">
        <v>506</v>
      </c>
      <c r="B25" s="21" t="n">
        <v>154</v>
      </c>
      <c r="C25" s="25" t="s">
        <v>154</v>
      </c>
      <c r="D25" s="8" t="n">
        <v>0</v>
      </c>
      <c r="E25" s="21" t="n">
        <f aca="false">ROUND(B25*D25,1)</f>
        <v>0</v>
      </c>
      <c r="F25" s="21" t="n">
        <f aca="false">B25-E25</f>
        <v>154</v>
      </c>
      <c r="G25" s="30" t="n">
        <v>12</v>
      </c>
      <c r="H25" s="9" t="s">
        <v>215</v>
      </c>
      <c r="I25" s="24" t="n">
        <v>8</v>
      </c>
      <c r="J25" s="6" t="n">
        <f aca="false">ROUND(F25*I25,0)</f>
        <v>1232</v>
      </c>
      <c r="K25" s="5" t="s">
        <v>216</v>
      </c>
      <c r="L25" s="5" t="s">
        <v>217</v>
      </c>
      <c r="M25" s="8" t="s">
        <v>218</v>
      </c>
      <c r="N25" s="5" t="n">
        <v>0</v>
      </c>
      <c r="O25" s="9" t="s">
        <v>219</v>
      </c>
      <c r="P25" s="5" t="s">
        <v>220</v>
      </c>
      <c r="Q25" s="9" t="s">
        <v>507</v>
      </c>
    </row>
    <row r="26" customFormat="false" ht="22.35" hidden="false" customHeight="false" outlineLevel="0" collapsed="false">
      <c r="A26" s="9" t="s">
        <v>447</v>
      </c>
      <c r="B26" s="21" t="n">
        <v>240</v>
      </c>
      <c r="C26" s="31" t="s">
        <v>259</v>
      </c>
      <c r="D26" s="8" t="n">
        <v>0</v>
      </c>
      <c r="E26" s="21" t="n">
        <f aca="false">ROUND(B26*D26,1)</f>
        <v>0</v>
      </c>
      <c r="F26" s="21" t="n">
        <f aca="false">B26-E26</f>
        <v>240</v>
      </c>
      <c r="G26" s="30" t="n">
        <v>12</v>
      </c>
      <c r="H26" s="9" t="s">
        <v>215</v>
      </c>
      <c r="I26" s="24" t="n">
        <v>8</v>
      </c>
      <c r="J26" s="6" t="n">
        <f aca="false">ROUND(F26*I26,0)</f>
        <v>1920</v>
      </c>
      <c r="K26" s="5" t="s">
        <v>216</v>
      </c>
      <c r="L26" s="5" t="s">
        <v>218</v>
      </c>
      <c r="M26" s="8" t="s">
        <v>218</v>
      </c>
      <c r="N26" s="5" t="n">
        <v>0</v>
      </c>
      <c r="O26" s="9" t="s">
        <v>260</v>
      </c>
      <c r="P26" s="5" t="s">
        <v>220</v>
      </c>
      <c r="Q26" s="9" t="s">
        <v>508</v>
      </c>
    </row>
    <row r="27" customFormat="false" ht="22.35" hidden="false" customHeight="false" outlineLevel="0" collapsed="false">
      <c r="A27" s="9" t="s">
        <v>509</v>
      </c>
      <c r="B27" s="21" t="n">
        <v>240</v>
      </c>
      <c r="C27" s="31" t="s">
        <v>259</v>
      </c>
      <c r="D27" s="8" t="n">
        <v>0</v>
      </c>
      <c r="E27" s="21" t="n">
        <f aca="false">ROUND(B27*D27,1)</f>
        <v>0</v>
      </c>
      <c r="F27" s="21" t="n">
        <f aca="false">B27-E27</f>
        <v>240</v>
      </c>
      <c r="G27" s="30" t="n">
        <v>12</v>
      </c>
      <c r="H27" s="9" t="s">
        <v>215</v>
      </c>
      <c r="I27" s="24" t="n">
        <v>8</v>
      </c>
      <c r="J27" s="6" t="n">
        <f aca="false">ROUND(F27*I27,0)</f>
        <v>1920</v>
      </c>
      <c r="K27" s="5" t="s">
        <v>216</v>
      </c>
      <c r="L27" s="5" t="s">
        <v>218</v>
      </c>
      <c r="M27" s="8" t="s">
        <v>218</v>
      </c>
      <c r="N27" s="5" t="n">
        <v>0</v>
      </c>
      <c r="O27" s="9" t="s">
        <v>260</v>
      </c>
      <c r="P27" s="5" t="s">
        <v>220</v>
      </c>
      <c r="Q27" s="9" t="s">
        <v>508</v>
      </c>
    </row>
    <row r="28" customFormat="false" ht="22.35" hidden="false" customHeight="false" outlineLevel="0" collapsed="false">
      <c r="A28" s="9" t="s">
        <v>510</v>
      </c>
      <c r="B28" s="21" t="n">
        <v>240</v>
      </c>
      <c r="C28" s="31" t="s">
        <v>259</v>
      </c>
      <c r="D28" s="8" t="n">
        <v>0</v>
      </c>
      <c r="E28" s="21" t="n">
        <f aca="false">ROUND(B28*D28,1)</f>
        <v>0</v>
      </c>
      <c r="F28" s="21" t="n">
        <f aca="false">B28-E28</f>
        <v>240</v>
      </c>
      <c r="G28" s="30" t="n">
        <v>18.03</v>
      </c>
      <c r="H28" s="9" t="s">
        <v>215</v>
      </c>
      <c r="I28" s="24" t="n">
        <v>13.03</v>
      </c>
      <c r="J28" s="6" t="n">
        <f aca="false">ROUND(F28*I28,0)</f>
        <v>3127</v>
      </c>
      <c r="K28" s="5" t="s">
        <v>216</v>
      </c>
      <c r="L28" s="5" t="s">
        <v>218</v>
      </c>
      <c r="M28" s="8" t="s">
        <v>218</v>
      </c>
      <c r="N28" s="5" t="n">
        <v>0</v>
      </c>
      <c r="O28" s="9" t="s">
        <v>260</v>
      </c>
      <c r="P28" s="5" t="s">
        <v>220</v>
      </c>
      <c r="Q28" s="9" t="s">
        <v>508</v>
      </c>
    </row>
    <row r="29" customFormat="false" ht="22.35" hidden="false" customHeight="false" outlineLevel="0" collapsed="false">
      <c r="A29" s="9" t="s">
        <v>511</v>
      </c>
      <c r="B29" s="21" t="n">
        <v>240</v>
      </c>
      <c r="C29" s="31" t="s">
        <v>259</v>
      </c>
      <c r="D29" s="8" t="n">
        <v>0</v>
      </c>
      <c r="E29" s="21" t="n">
        <f aca="false">ROUND(B29*D29,1)</f>
        <v>0</v>
      </c>
      <c r="F29" s="21" t="n">
        <f aca="false">B29-E29</f>
        <v>240</v>
      </c>
      <c r="G29" s="30" t="n">
        <v>12</v>
      </c>
      <c r="H29" s="9" t="s">
        <v>215</v>
      </c>
      <c r="I29" s="24" t="n">
        <v>8</v>
      </c>
      <c r="J29" s="6" t="n">
        <f aca="false">ROUND(F29*I29,0)</f>
        <v>1920</v>
      </c>
      <c r="K29" s="5" t="s">
        <v>314</v>
      </c>
      <c r="L29" s="5" t="s">
        <v>218</v>
      </c>
      <c r="M29" s="8" t="s">
        <v>218</v>
      </c>
      <c r="N29" s="5" t="n">
        <v>0</v>
      </c>
      <c r="O29" s="9" t="s">
        <v>260</v>
      </c>
      <c r="P29" s="5" t="s">
        <v>220</v>
      </c>
      <c r="Q29" s="9" t="s">
        <v>512</v>
      </c>
    </row>
    <row r="30" customFormat="false" ht="22.35" hidden="false" customHeight="false" outlineLevel="0" collapsed="false">
      <c r="A30" s="9" t="s">
        <v>513</v>
      </c>
      <c r="B30" s="21" t="n">
        <v>240</v>
      </c>
      <c r="C30" s="31" t="s">
        <v>259</v>
      </c>
      <c r="D30" s="8" t="n">
        <v>0</v>
      </c>
      <c r="E30" s="21" t="n">
        <f aca="false">ROUND(B30*D30,1)</f>
        <v>0</v>
      </c>
      <c r="F30" s="21" t="n">
        <f aca="false">B30-E30</f>
        <v>240</v>
      </c>
      <c r="G30" s="23" t="n">
        <v>12</v>
      </c>
      <c r="H30" s="9" t="s">
        <v>211</v>
      </c>
      <c r="I30" s="24" t="n">
        <v>8</v>
      </c>
      <c r="J30" s="6" t="n">
        <f aca="false">ROUND(F30*I30,0)</f>
        <v>1920</v>
      </c>
      <c r="K30" s="5" t="s">
        <v>314</v>
      </c>
      <c r="L30" s="5" t="s">
        <v>218</v>
      </c>
      <c r="M30" s="8" t="s">
        <v>218</v>
      </c>
      <c r="N30" s="5" t="n">
        <v>0</v>
      </c>
      <c r="O30" s="9" t="s">
        <v>260</v>
      </c>
      <c r="P30" s="5" t="s">
        <v>220</v>
      </c>
      <c r="Q30" s="9" t="s">
        <v>512</v>
      </c>
    </row>
    <row r="31" customFormat="false" ht="22.35" hidden="false" customHeight="false" outlineLevel="0" collapsed="false">
      <c r="A31" s="9" t="s">
        <v>514</v>
      </c>
      <c r="B31" s="21" t="n">
        <v>240</v>
      </c>
      <c r="C31" s="31" t="s">
        <v>259</v>
      </c>
      <c r="D31" s="8" t="n">
        <v>0</v>
      </c>
      <c r="E31" s="21" t="n">
        <f aca="false">ROUND(B31*D31,1)</f>
        <v>0</v>
      </c>
      <c r="F31" s="21" t="n">
        <f aca="false">B31-E31</f>
        <v>240</v>
      </c>
      <c r="G31" s="23" t="n">
        <v>12</v>
      </c>
      <c r="H31" s="9" t="s">
        <v>211</v>
      </c>
      <c r="I31" s="24" t="n">
        <v>8</v>
      </c>
      <c r="J31" s="6" t="n">
        <f aca="false">ROUND(F31*I31,0)</f>
        <v>1920</v>
      </c>
      <c r="K31" s="5" t="s">
        <v>314</v>
      </c>
      <c r="L31" s="5" t="s">
        <v>218</v>
      </c>
      <c r="M31" s="8" t="s">
        <v>218</v>
      </c>
      <c r="N31" s="5" t="n">
        <v>0</v>
      </c>
      <c r="O31" s="9" t="s">
        <v>260</v>
      </c>
      <c r="P31" s="5" t="s">
        <v>220</v>
      </c>
      <c r="Q31" s="9" t="s">
        <v>512</v>
      </c>
    </row>
    <row r="32" customFormat="false" ht="22.35" hidden="false" customHeight="false" outlineLevel="0" collapsed="false">
      <c r="A32" s="9" t="s">
        <v>515</v>
      </c>
      <c r="B32" s="21" t="n">
        <v>240</v>
      </c>
      <c r="C32" s="31" t="s">
        <v>259</v>
      </c>
      <c r="D32" s="8" t="n">
        <v>0</v>
      </c>
      <c r="E32" s="21" t="n">
        <f aca="false">ROUND(B32*D32,1)</f>
        <v>0</v>
      </c>
      <c r="F32" s="21" t="n">
        <f aca="false">B32-E32</f>
        <v>240</v>
      </c>
      <c r="G32" s="30" t="n">
        <v>12</v>
      </c>
      <c r="H32" s="9" t="s">
        <v>215</v>
      </c>
      <c r="I32" s="24" t="n">
        <v>8</v>
      </c>
      <c r="J32" s="6" t="n">
        <f aca="false">ROUND(F32*I32,0)</f>
        <v>1920</v>
      </c>
      <c r="K32" s="5" t="s">
        <v>314</v>
      </c>
      <c r="L32" s="5" t="s">
        <v>218</v>
      </c>
      <c r="M32" s="8" t="s">
        <v>218</v>
      </c>
      <c r="N32" s="5" t="n">
        <v>0</v>
      </c>
      <c r="O32" s="9" t="s">
        <v>260</v>
      </c>
      <c r="P32" s="5" t="s">
        <v>220</v>
      </c>
      <c r="Q32" s="9" t="s">
        <v>512</v>
      </c>
    </row>
    <row r="33" customFormat="false" ht="22.35" hidden="false" customHeight="false" outlineLevel="0" collapsed="false">
      <c r="A33" s="9" t="s">
        <v>516</v>
      </c>
      <c r="B33" s="21" t="n">
        <v>240</v>
      </c>
      <c r="C33" s="31" t="s">
        <v>259</v>
      </c>
      <c r="D33" s="8" t="n">
        <v>0</v>
      </c>
      <c r="E33" s="21" t="n">
        <f aca="false">ROUND(B33*D33,1)</f>
        <v>0</v>
      </c>
      <c r="F33" s="21" t="n">
        <f aca="false">B33-E33</f>
        <v>240</v>
      </c>
      <c r="G33" s="30" t="n">
        <v>12</v>
      </c>
      <c r="H33" s="9" t="s">
        <v>215</v>
      </c>
      <c r="I33" s="24" t="n">
        <v>8</v>
      </c>
      <c r="J33" s="6" t="n">
        <f aca="false">ROUND(F33*I33,0)</f>
        <v>1920</v>
      </c>
      <c r="K33" s="5" t="s">
        <v>314</v>
      </c>
      <c r="L33" s="5" t="s">
        <v>218</v>
      </c>
      <c r="M33" s="8" t="s">
        <v>218</v>
      </c>
      <c r="N33" s="5" t="n">
        <v>0</v>
      </c>
      <c r="O33" s="9" t="s">
        <v>260</v>
      </c>
      <c r="P33" s="5" t="s">
        <v>220</v>
      </c>
      <c r="Q33" s="9" t="s">
        <v>512</v>
      </c>
    </row>
    <row r="34" customFormat="false" ht="22.35" hidden="false" customHeight="false" outlineLevel="0" collapsed="false">
      <c r="A34" s="9" t="s">
        <v>517</v>
      </c>
      <c r="B34" s="21" t="n">
        <v>240</v>
      </c>
      <c r="C34" s="31" t="s">
        <v>259</v>
      </c>
      <c r="D34" s="8" t="n">
        <v>0</v>
      </c>
      <c r="E34" s="21" t="n">
        <f aca="false">ROUND(B34*D34,1)</f>
        <v>0</v>
      </c>
      <c r="F34" s="21" t="n">
        <f aca="false">B34-E34</f>
        <v>240</v>
      </c>
      <c r="G34" s="30" t="n">
        <v>12</v>
      </c>
      <c r="H34" s="9" t="s">
        <v>215</v>
      </c>
      <c r="I34" s="24" t="n">
        <v>8</v>
      </c>
      <c r="J34" s="6" t="n">
        <f aca="false">ROUND(F34*I34,0)</f>
        <v>1920</v>
      </c>
      <c r="K34" s="5" t="s">
        <v>314</v>
      </c>
      <c r="L34" s="5" t="s">
        <v>218</v>
      </c>
      <c r="M34" s="8" t="s">
        <v>218</v>
      </c>
      <c r="N34" s="5" t="n">
        <v>0</v>
      </c>
      <c r="O34" s="9" t="s">
        <v>260</v>
      </c>
      <c r="P34" s="5" t="s">
        <v>220</v>
      </c>
      <c r="Q34" s="9" t="s">
        <v>512</v>
      </c>
    </row>
    <row r="35" customFormat="false" ht="22.35" hidden="false" customHeight="false" outlineLevel="0" collapsed="false">
      <c r="A35" s="9" t="s">
        <v>518</v>
      </c>
      <c r="B35" s="21" t="n">
        <v>240</v>
      </c>
      <c r="C35" s="31" t="s">
        <v>259</v>
      </c>
      <c r="D35" s="8" t="n">
        <v>0</v>
      </c>
      <c r="E35" s="21" t="n">
        <f aca="false">ROUND(B35*D35,1)</f>
        <v>0</v>
      </c>
      <c r="F35" s="21" t="n">
        <f aca="false">B35-E35</f>
        <v>240</v>
      </c>
      <c r="G35" s="30" t="n">
        <v>12</v>
      </c>
      <c r="H35" s="9" t="s">
        <v>215</v>
      </c>
      <c r="I35" s="24" t="n">
        <v>8</v>
      </c>
      <c r="J35" s="6" t="n">
        <f aca="false">ROUND(F35*I35,0)</f>
        <v>1920</v>
      </c>
      <c r="K35" s="5" t="s">
        <v>314</v>
      </c>
      <c r="L35" s="5" t="s">
        <v>218</v>
      </c>
      <c r="M35" s="8" t="s">
        <v>218</v>
      </c>
      <c r="N35" s="5" t="n">
        <v>0</v>
      </c>
      <c r="O35" s="9" t="s">
        <v>260</v>
      </c>
      <c r="P35" s="5" t="s">
        <v>220</v>
      </c>
      <c r="Q35" s="9" t="s">
        <v>512</v>
      </c>
    </row>
    <row r="36" customFormat="false" ht="22.35" hidden="false" customHeight="false" outlineLevel="0" collapsed="false">
      <c r="A36" s="9" t="s">
        <v>519</v>
      </c>
      <c r="B36" s="21" t="n">
        <v>240</v>
      </c>
      <c r="C36" s="31" t="s">
        <v>259</v>
      </c>
      <c r="D36" s="8" t="n">
        <v>0</v>
      </c>
      <c r="E36" s="21" t="n">
        <f aca="false">ROUND(B36*D36,1)</f>
        <v>0</v>
      </c>
      <c r="F36" s="21" t="n">
        <f aca="false">B36-E36</f>
        <v>240</v>
      </c>
      <c r="G36" s="30" t="n">
        <v>12</v>
      </c>
      <c r="H36" s="9" t="s">
        <v>215</v>
      </c>
      <c r="I36" s="24" t="n">
        <v>8</v>
      </c>
      <c r="J36" s="6" t="n">
        <f aca="false">ROUND(F36*I36,0)</f>
        <v>1920</v>
      </c>
      <c r="K36" s="5" t="s">
        <v>314</v>
      </c>
      <c r="L36" s="5" t="s">
        <v>218</v>
      </c>
      <c r="M36" s="8" t="s">
        <v>218</v>
      </c>
      <c r="N36" s="5" t="n">
        <v>0</v>
      </c>
      <c r="O36" s="9" t="s">
        <v>260</v>
      </c>
      <c r="P36" s="5" t="s">
        <v>220</v>
      </c>
      <c r="Q36" s="9" t="s">
        <v>512</v>
      </c>
    </row>
    <row r="37" customFormat="false" ht="22.35" hidden="false" customHeight="false" outlineLevel="0" collapsed="false">
      <c r="A37" s="9" t="s">
        <v>520</v>
      </c>
      <c r="B37" s="21" t="n">
        <v>240</v>
      </c>
      <c r="C37" s="31" t="s">
        <v>259</v>
      </c>
      <c r="D37" s="8" t="n">
        <v>0</v>
      </c>
      <c r="E37" s="21" t="n">
        <f aca="false">ROUND(B37*D37,1)</f>
        <v>0</v>
      </c>
      <c r="F37" s="21" t="n">
        <f aca="false">B37-E37</f>
        <v>240</v>
      </c>
      <c r="G37" s="30" t="n">
        <v>12</v>
      </c>
      <c r="H37" s="9" t="s">
        <v>215</v>
      </c>
      <c r="I37" s="24" t="n">
        <v>8</v>
      </c>
      <c r="J37" s="6" t="n">
        <f aca="false">ROUND(F37*I37,0)</f>
        <v>1920</v>
      </c>
      <c r="K37" s="5" t="s">
        <v>314</v>
      </c>
      <c r="L37" s="5" t="s">
        <v>218</v>
      </c>
      <c r="M37" s="8" t="s">
        <v>218</v>
      </c>
      <c r="N37" s="5" t="n">
        <v>0</v>
      </c>
      <c r="O37" s="9" t="s">
        <v>260</v>
      </c>
      <c r="P37" s="5" t="s">
        <v>220</v>
      </c>
      <c r="Q37" s="9" t="s">
        <v>512</v>
      </c>
    </row>
    <row r="38" customFormat="false" ht="22.35" hidden="false" customHeight="false" outlineLevel="0" collapsed="false">
      <c r="A38" s="9" t="s">
        <v>521</v>
      </c>
      <c r="B38" s="21" t="n">
        <v>240</v>
      </c>
      <c r="C38" s="31" t="s">
        <v>259</v>
      </c>
      <c r="D38" s="8" t="n">
        <v>0</v>
      </c>
      <c r="E38" s="21" t="n">
        <f aca="false">ROUND(B38*D38,1)</f>
        <v>0</v>
      </c>
      <c r="F38" s="21" t="n">
        <f aca="false">B38-E38</f>
        <v>240</v>
      </c>
      <c r="G38" s="30" t="n">
        <v>12</v>
      </c>
      <c r="H38" s="9" t="s">
        <v>215</v>
      </c>
      <c r="I38" s="24" t="n">
        <v>8</v>
      </c>
      <c r="J38" s="6" t="n">
        <f aca="false">ROUND(F38*I38,0)</f>
        <v>1920</v>
      </c>
      <c r="K38" s="5" t="s">
        <v>314</v>
      </c>
      <c r="L38" s="5" t="s">
        <v>218</v>
      </c>
      <c r="M38" s="8" t="s">
        <v>218</v>
      </c>
      <c r="N38" s="5" t="n">
        <v>0</v>
      </c>
      <c r="O38" s="9" t="s">
        <v>260</v>
      </c>
      <c r="P38" s="5" t="s">
        <v>220</v>
      </c>
      <c r="Q38" s="9" t="s">
        <v>512</v>
      </c>
    </row>
    <row r="39" customFormat="false" ht="22.35" hidden="false" customHeight="false" outlineLevel="0" collapsed="false">
      <c r="A39" s="9" t="s">
        <v>522</v>
      </c>
      <c r="B39" s="21" t="n">
        <v>240</v>
      </c>
      <c r="C39" s="31" t="s">
        <v>259</v>
      </c>
      <c r="D39" s="8" t="n">
        <v>0</v>
      </c>
      <c r="E39" s="21" t="n">
        <f aca="false">ROUND(B39*D39,1)</f>
        <v>0</v>
      </c>
      <c r="F39" s="21" t="n">
        <f aca="false">B39-E39</f>
        <v>240</v>
      </c>
      <c r="G39" s="30" t="n">
        <v>12</v>
      </c>
      <c r="H39" s="9" t="s">
        <v>215</v>
      </c>
      <c r="I39" s="24" t="n">
        <v>8</v>
      </c>
      <c r="J39" s="6" t="n">
        <f aca="false">ROUND(F39*I39,0)</f>
        <v>1920</v>
      </c>
      <c r="K39" s="5" t="s">
        <v>314</v>
      </c>
      <c r="L39" s="5" t="s">
        <v>218</v>
      </c>
      <c r="M39" s="8" t="s">
        <v>218</v>
      </c>
      <c r="N39" s="5" t="n">
        <v>0</v>
      </c>
      <c r="O39" s="9" t="s">
        <v>260</v>
      </c>
      <c r="P39" s="5" t="s">
        <v>220</v>
      </c>
      <c r="Q39" s="9" t="s">
        <v>512</v>
      </c>
    </row>
    <row r="40" customFormat="false" ht="15" hidden="false" customHeight="false" outlineLevel="0" collapsed="false">
      <c r="A40" s="12" t="s">
        <v>189</v>
      </c>
      <c r="B40" s="13" t="n">
        <f aca="false">SUM(B6:B39)</f>
        <v>10602.1</v>
      </c>
      <c r="C40" s="12"/>
      <c r="D40" s="14" t="n">
        <f aca="false">IF(B40=0,0,E40/B40)</f>
        <v>0.0401146942586846</v>
      </c>
      <c r="E40" s="13" t="n">
        <f aca="false">SUM(E6:E39)</f>
        <v>425.3</v>
      </c>
      <c r="F40" s="13" t="n">
        <f aca="false">SUM(F6:F39)</f>
        <v>10176.8</v>
      </c>
      <c r="G40" s="12"/>
      <c r="H40" s="12"/>
      <c r="I40" s="12"/>
      <c r="J40" s="13" t="n">
        <f aca="false">SUM(J6:J39)</f>
        <v>79492</v>
      </c>
      <c r="K40" s="12"/>
      <c r="L40" s="12"/>
      <c r="M40" s="12"/>
      <c r="N40" s="12"/>
      <c r="O40" s="12"/>
      <c r="P40" s="12"/>
      <c r="Q40" s="12"/>
    </row>
    <row r="42" customFormat="false" ht="15" hidden="false" customHeight="false" outlineLevel="0" collapsed="false">
      <c r="A42" s="16" t="s">
        <v>190</v>
      </c>
      <c r="D42" s="27" t="n">
        <f aca="false">J40</f>
        <v>79492</v>
      </c>
      <c r="F42" s="20" t="s">
        <v>191</v>
      </c>
    </row>
    <row r="43" customFormat="false" ht="15" hidden="false" customHeight="false" outlineLevel="0" collapsed="false">
      <c r="A43" s="16" t="s">
        <v>192</v>
      </c>
      <c r="D43" s="27" t="n">
        <f aca="false">F40*8</f>
        <v>81414.4</v>
      </c>
      <c r="F43" s="20" t="s">
        <v>193</v>
      </c>
    </row>
    <row r="44" customFormat="false" ht="15" hidden="false" customHeight="false" outlineLevel="0" collapsed="false">
      <c r="A44" s="16" t="s">
        <v>194</v>
      </c>
      <c r="D44" s="28" t="n">
        <v>3360</v>
      </c>
      <c r="F44" s="20" t="s">
        <v>195</v>
      </c>
    </row>
    <row r="45" customFormat="false" ht="15" hidden="false" customHeight="false" outlineLevel="0" collapsed="false">
      <c r="A45" s="16" t="s">
        <v>196</v>
      </c>
      <c r="D45" s="29" t="n">
        <v>0.06</v>
      </c>
      <c r="F45" s="20" t="s">
        <v>65</v>
      </c>
    </row>
    <row r="46" customFormat="false" ht="15" hidden="false" customHeight="false" outlineLevel="0" collapsed="false">
      <c r="A46" s="16" t="s">
        <v>197</v>
      </c>
      <c r="D46" s="27" t="n">
        <f aca="false">(B40-D44)*(1-D45)</f>
        <v>6807.574</v>
      </c>
      <c r="F46" s="20" t="s">
        <v>198</v>
      </c>
    </row>
    <row r="47" customFormat="false" ht="15" hidden="false" customHeight="false" outlineLevel="0" collapsed="false">
      <c r="A47" s="16" t="s">
        <v>199</v>
      </c>
      <c r="D47" s="27" t="n">
        <f aca="false">ROUND(D46*4.075,0)</f>
        <v>27741</v>
      </c>
      <c r="F47" s="20" t="s">
        <v>423</v>
      </c>
    </row>
    <row r="48" customFormat="false" ht="15" hidden="false" customHeight="false" outlineLevel="0" collapsed="false">
      <c r="A48" s="16" t="s">
        <v>201</v>
      </c>
      <c r="D48" s="28" t="n">
        <v>9</v>
      </c>
    </row>
    <row r="49" customFormat="false" ht="15" hidden="false" customHeight="false" outlineLevel="0" collapsed="false">
      <c r="A49" s="16" t="s">
        <v>202</v>
      </c>
      <c r="D49" s="28" t="n">
        <v>28</v>
      </c>
      <c r="F49" s="20" t="s">
        <v>203</v>
      </c>
    </row>
    <row r="50" customFormat="false" ht="15" hidden="false" customHeight="false" outlineLevel="0" collapsed="false">
      <c r="A50" s="16" t="s">
        <v>204</v>
      </c>
      <c r="D50" s="28" t="n">
        <v>425</v>
      </c>
    </row>
    <row r="51" customFormat="false" ht="15" hidden="false" customHeight="false" outlineLevel="0" collapsed="false">
      <c r="A51" s="16" t="s">
        <v>205</v>
      </c>
      <c r="D51" s="28" t="n">
        <v>0</v>
      </c>
      <c r="F51" s="20" t="s">
        <v>206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3"/>
    <col collapsed="false" customWidth="true" hidden="false" outlineLevel="0" max="3" min="3" style="0" width="15"/>
    <col collapsed="false" customWidth="true" hidden="false" outlineLevel="0" max="4" min="4" style="0" width="12"/>
    <col collapsed="false" customWidth="true" hidden="false" outlineLevel="0" max="6" min="5" style="0" width="13"/>
    <col collapsed="false" customWidth="true" hidden="false" outlineLevel="0" max="7" min="7" style="0" width="11"/>
    <col collapsed="false" customWidth="true" hidden="false" outlineLevel="0" max="8" min="8" style="0" width="20"/>
    <col collapsed="false" customWidth="true" hidden="false" outlineLevel="0" max="10" min="9" style="0" width="13"/>
    <col collapsed="false" customWidth="true" hidden="false" outlineLevel="0" max="11" min="11" style="0" width="10"/>
    <col collapsed="false" customWidth="true" hidden="false" outlineLevel="0" max="12" min="12" style="0" width="13"/>
    <col collapsed="false" customWidth="true" hidden="false" outlineLevel="0" max="14" min="13" style="0" width="9"/>
    <col collapsed="false" customWidth="true" hidden="false" outlineLevel="0" max="15" min="15" style="0" width="46"/>
    <col collapsed="false" customWidth="true" hidden="false" outlineLevel="0" max="16" min="16" style="0" width="17"/>
    <col collapsed="false" customWidth="true" hidden="false" outlineLevel="0" max="17" min="17" style="0" width="52"/>
  </cols>
  <sheetData>
    <row r="1" customFormat="false" ht="16.15" hidden="false" customHeight="false" outlineLevel="0" collapsed="false">
      <c r="A1" s="18" t="s">
        <v>523</v>
      </c>
    </row>
    <row r="2" customFormat="false" ht="15" hidden="false" customHeight="false" outlineLevel="0" collapsed="false">
      <c r="A2" s="19" t="s">
        <v>524</v>
      </c>
    </row>
    <row r="3" customFormat="false" ht="15" hidden="false" customHeight="false" outlineLevel="0" collapsed="false">
      <c r="A3" s="20" t="s">
        <v>525</v>
      </c>
    </row>
    <row r="5" customFormat="false" ht="32.8" hidden="false" customHeight="false" outlineLevel="0" collapsed="false">
      <c r="A5" s="4" t="s">
        <v>122</v>
      </c>
      <c r="B5" s="4" t="s">
        <v>123</v>
      </c>
      <c r="C5" s="4" t="s">
        <v>124</v>
      </c>
      <c r="D5" s="4" t="s">
        <v>125</v>
      </c>
      <c r="E5" s="4" t="s">
        <v>126</v>
      </c>
      <c r="F5" s="4" t="s">
        <v>12</v>
      </c>
      <c r="G5" s="4" t="s">
        <v>127</v>
      </c>
      <c r="H5" s="4" t="s">
        <v>128</v>
      </c>
      <c r="I5" s="4" t="s">
        <v>129</v>
      </c>
      <c r="J5" s="4" t="s">
        <v>130</v>
      </c>
      <c r="K5" s="4" t="s">
        <v>131</v>
      </c>
      <c r="L5" s="4" t="s">
        <v>132</v>
      </c>
      <c r="M5" s="4" t="s">
        <v>133</v>
      </c>
      <c r="N5" s="4" t="s">
        <v>134</v>
      </c>
      <c r="O5" s="4" t="s">
        <v>135</v>
      </c>
      <c r="P5" s="4" t="s">
        <v>136</v>
      </c>
      <c r="Q5" s="4" t="s">
        <v>137</v>
      </c>
    </row>
    <row r="6" customFormat="false" ht="22.35" hidden="false" customHeight="false" outlineLevel="0" collapsed="false">
      <c r="A6" s="9" t="s">
        <v>210</v>
      </c>
      <c r="B6" s="21" t="n">
        <v>205.4</v>
      </c>
      <c r="C6" s="25" t="s">
        <v>154</v>
      </c>
      <c r="D6" s="8" t="n">
        <v>0</v>
      </c>
      <c r="E6" s="21" t="n">
        <f aca="false">ROUND(B6*D6,1)</f>
        <v>0</v>
      </c>
      <c r="F6" s="21" t="n">
        <f aca="false">B6-E6</f>
        <v>205.4</v>
      </c>
      <c r="G6" s="23" t="n">
        <v>12</v>
      </c>
      <c r="H6" s="9" t="s">
        <v>211</v>
      </c>
      <c r="I6" s="24" t="n">
        <v>8</v>
      </c>
      <c r="J6" s="6" t="n">
        <f aca="false">ROUND(F6*I6,0)</f>
        <v>1643</v>
      </c>
      <c r="K6" s="5" t="s">
        <v>141</v>
      </c>
      <c r="L6" s="5" t="s">
        <v>174</v>
      </c>
      <c r="M6" s="8" t="n">
        <v>0</v>
      </c>
      <c r="N6" s="5" t="n">
        <v>1</v>
      </c>
      <c r="O6" s="9" t="s">
        <v>155</v>
      </c>
      <c r="P6" s="5" t="s">
        <v>144</v>
      </c>
      <c r="Q6" s="9" t="s">
        <v>526</v>
      </c>
    </row>
    <row r="7" customFormat="false" ht="15" hidden="false" customHeight="false" outlineLevel="0" collapsed="false">
      <c r="A7" s="9" t="s">
        <v>527</v>
      </c>
      <c r="B7" s="21" t="n">
        <v>56.5</v>
      </c>
      <c r="C7" s="25" t="s">
        <v>154</v>
      </c>
      <c r="D7" s="8" t="n">
        <v>0</v>
      </c>
      <c r="E7" s="21" t="n">
        <f aca="false">ROUND(B7*D7,1)</f>
        <v>0</v>
      </c>
      <c r="F7" s="21" t="n">
        <f aca="false">B7-E7</f>
        <v>56.5</v>
      </c>
      <c r="G7" s="23" t="n">
        <v>12</v>
      </c>
      <c r="H7" s="9" t="s">
        <v>211</v>
      </c>
      <c r="I7" s="24" t="n">
        <v>8</v>
      </c>
      <c r="J7" s="6" t="n">
        <f aca="false">ROUND(F7*I7,0)</f>
        <v>452</v>
      </c>
      <c r="K7" s="5" t="s">
        <v>141</v>
      </c>
      <c r="L7" s="5" t="s">
        <v>142</v>
      </c>
      <c r="M7" s="8" t="n">
        <v>1</v>
      </c>
      <c r="N7" s="5" t="n">
        <v>1</v>
      </c>
      <c r="O7" s="9" t="s">
        <v>155</v>
      </c>
      <c r="P7" s="5" t="s">
        <v>144</v>
      </c>
      <c r="Q7" s="9" t="s">
        <v>528</v>
      </c>
    </row>
    <row r="8" customFormat="false" ht="15" hidden="false" customHeight="false" outlineLevel="0" collapsed="false">
      <c r="A8" s="9" t="s">
        <v>529</v>
      </c>
      <c r="B8" s="21" t="n">
        <v>154.7</v>
      </c>
      <c r="C8" s="25" t="s">
        <v>154</v>
      </c>
      <c r="D8" s="8" t="n">
        <v>0</v>
      </c>
      <c r="E8" s="21" t="n">
        <f aca="false">ROUND(B8*D8,1)</f>
        <v>0</v>
      </c>
      <c r="F8" s="21" t="n">
        <f aca="false">B8-E8</f>
        <v>154.7</v>
      </c>
      <c r="G8" s="23" t="n">
        <v>12</v>
      </c>
      <c r="H8" s="9" t="s">
        <v>211</v>
      </c>
      <c r="I8" s="24" t="n">
        <v>8</v>
      </c>
      <c r="J8" s="6" t="n">
        <f aca="false">ROUND(F8*I8,0)</f>
        <v>1238</v>
      </c>
      <c r="K8" s="5" t="s">
        <v>141</v>
      </c>
      <c r="L8" s="5" t="s">
        <v>150</v>
      </c>
      <c r="M8" s="8" t="n">
        <v>0.5</v>
      </c>
      <c r="N8" s="5" t="n">
        <v>1</v>
      </c>
      <c r="O8" s="9" t="s">
        <v>155</v>
      </c>
      <c r="P8" s="5" t="s">
        <v>144</v>
      </c>
      <c r="Q8" s="9" t="s">
        <v>528</v>
      </c>
    </row>
    <row r="9" customFormat="false" ht="15" hidden="false" customHeight="false" outlineLevel="0" collapsed="false">
      <c r="A9" s="9" t="s">
        <v>332</v>
      </c>
      <c r="B9" s="21" t="n">
        <v>198.5</v>
      </c>
      <c r="C9" s="25" t="s">
        <v>154</v>
      </c>
      <c r="D9" s="8" t="n">
        <v>0</v>
      </c>
      <c r="E9" s="21" t="n">
        <f aca="false">ROUND(B9*D9,1)</f>
        <v>0</v>
      </c>
      <c r="F9" s="21" t="n">
        <f aca="false">B9-E9</f>
        <v>198.5</v>
      </c>
      <c r="G9" s="23" t="n">
        <v>12</v>
      </c>
      <c r="H9" s="9" t="s">
        <v>211</v>
      </c>
      <c r="I9" s="24" t="n">
        <v>8</v>
      </c>
      <c r="J9" s="6" t="n">
        <f aca="false">ROUND(F9*I9,0)</f>
        <v>1588</v>
      </c>
      <c r="K9" s="5" t="s">
        <v>141</v>
      </c>
      <c r="L9" s="5" t="s">
        <v>217</v>
      </c>
      <c r="M9" s="8" t="s">
        <v>218</v>
      </c>
      <c r="N9" s="5" t="n">
        <v>1</v>
      </c>
      <c r="O9" s="9" t="s">
        <v>155</v>
      </c>
      <c r="P9" s="5" t="s">
        <v>144</v>
      </c>
      <c r="Q9" s="9" t="s">
        <v>528</v>
      </c>
    </row>
    <row r="10" customFormat="false" ht="15" hidden="false" customHeight="false" outlineLevel="0" collapsed="false">
      <c r="A10" s="9" t="s">
        <v>530</v>
      </c>
      <c r="B10" s="21" t="n">
        <v>350.9</v>
      </c>
      <c r="C10" s="25" t="s">
        <v>154</v>
      </c>
      <c r="D10" s="8" t="n">
        <v>0</v>
      </c>
      <c r="E10" s="21" t="n">
        <f aca="false">ROUND(B10*D10,1)</f>
        <v>0</v>
      </c>
      <c r="F10" s="21" t="n">
        <f aca="false">B10-E10</f>
        <v>350.9</v>
      </c>
      <c r="G10" s="23" t="n">
        <v>12</v>
      </c>
      <c r="H10" s="9" t="s">
        <v>211</v>
      </c>
      <c r="I10" s="24" t="n">
        <v>8</v>
      </c>
      <c r="J10" s="6" t="n">
        <f aca="false">ROUND(F10*I10,0)</f>
        <v>2807</v>
      </c>
      <c r="K10" s="5" t="s">
        <v>141</v>
      </c>
      <c r="L10" s="5" t="s">
        <v>174</v>
      </c>
      <c r="M10" s="8" t="n">
        <v>0</v>
      </c>
      <c r="N10" s="5" t="n">
        <v>1</v>
      </c>
      <c r="O10" s="9" t="s">
        <v>155</v>
      </c>
      <c r="P10" s="5" t="s">
        <v>144</v>
      </c>
      <c r="Q10" s="9" t="s">
        <v>531</v>
      </c>
    </row>
    <row r="11" customFormat="false" ht="22.35" hidden="false" customHeight="false" outlineLevel="0" collapsed="false">
      <c r="A11" s="9" t="s">
        <v>532</v>
      </c>
      <c r="B11" s="21" t="n">
        <v>287.2</v>
      </c>
      <c r="C11" s="25" t="s">
        <v>154</v>
      </c>
      <c r="D11" s="8" t="n">
        <v>0</v>
      </c>
      <c r="E11" s="21" t="n">
        <f aca="false">ROUND(B11*D11,1)</f>
        <v>0</v>
      </c>
      <c r="F11" s="21" t="n">
        <f aca="false">B11-E11</f>
        <v>287.2</v>
      </c>
      <c r="G11" s="23" t="n">
        <v>12</v>
      </c>
      <c r="H11" s="9" t="s">
        <v>211</v>
      </c>
      <c r="I11" s="24" t="n">
        <v>8</v>
      </c>
      <c r="J11" s="6" t="n">
        <f aca="false">ROUND(F11*I11,0)</f>
        <v>2298</v>
      </c>
      <c r="K11" s="5" t="s">
        <v>141</v>
      </c>
      <c r="L11" s="5" t="s">
        <v>174</v>
      </c>
      <c r="M11" s="8" t="n">
        <v>0</v>
      </c>
      <c r="N11" s="5" t="n">
        <v>1</v>
      </c>
      <c r="O11" s="9" t="s">
        <v>155</v>
      </c>
      <c r="P11" s="5" t="s">
        <v>144</v>
      </c>
      <c r="Q11" s="9" t="s">
        <v>533</v>
      </c>
    </row>
    <row r="12" customFormat="false" ht="15" hidden="false" customHeight="false" outlineLevel="0" collapsed="false">
      <c r="A12" s="9" t="s">
        <v>534</v>
      </c>
      <c r="B12" s="21" t="n">
        <v>530.2</v>
      </c>
      <c r="C12" s="25" t="s">
        <v>154</v>
      </c>
      <c r="D12" s="8" t="n">
        <v>0</v>
      </c>
      <c r="E12" s="21" t="n">
        <f aca="false">ROUND(B12*D12,1)</f>
        <v>0</v>
      </c>
      <c r="F12" s="21" t="n">
        <f aca="false">B12-E12</f>
        <v>530.2</v>
      </c>
      <c r="G12" s="23" t="n">
        <v>12</v>
      </c>
      <c r="H12" s="9" t="s">
        <v>211</v>
      </c>
      <c r="I12" s="24" t="n">
        <v>8</v>
      </c>
      <c r="J12" s="6" t="n">
        <f aca="false">ROUND(F12*I12,0)</f>
        <v>4242</v>
      </c>
      <c r="K12" s="5" t="s">
        <v>314</v>
      </c>
      <c r="L12" s="5" t="s">
        <v>150</v>
      </c>
      <c r="M12" s="8" t="n">
        <v>0.5</v>
      </c>
      <c r="N12" s="5" t="n">
        <v>1</v>
      </c>
      <c r="O12" s="9" t="s">
        <v>175</v>
      </c>
      <c r="P12" s="5" t="s">
        <v>144</v>
      </c>
      <c r="Q12" s="9" t="s">
        <v>535</v>
      </c>
    </row>
    <row r="13" customFormat="false" ht="15" hidden="false" customHeight="false" outlineLevel="0" collapsed="false">
      <c r="A13" s="9" t="s">
        <v>168</v>
      </c>
      <c r="B13" s="21" t="n">
        <v>108.3</v>
      </c>
      <c r="C13" s="25" t="s">
        <v>154</v>
      </c>
      <c r="D13" s="8" t="n">
        <v>0</v>
      </c>
      <c r="E13" s="21" t="n">
        <f aca="false">ROUND(B13*D13,1)</f>
        <v>0</v>
      </c>
      <c r="F13" s="21" t="n">
        <f aca="false">B13-E13</f>
        <v>108.3</v>
      </c>
      <c r="G13" s="23" t="n">
        <v>12</v>
      </c>
      <c r="H13" s="9" t="s">
        <v>211</v>
      </c>
      <c r="I13" s="24" t="n">
        <v>8</v>
      </c>
      <c r="J13" s="6" t="n">
        <f aca="false">ROUND(F13*I13,0)</f>
        <v>866</v>
      </c>
      <c r="K13" s="5" t="s">
        <v>141</v>
      </c>
      <c r="L13" s="5" t="s">
        <v>174</v>
      </c>
      <c r="M13" s="8" t="n">
        <v>0</v>
      </c>
      <c r="N13" s="5" t="n">
        <v>1</v>
      </c>
      <c r="O13" s="9" t="s">
        <v>175</v>
      </c>
      <c r="P13" s="5" t="s">
        <v>144</v>
      </c>
      <c r="Q13" s="9" t="s">
        <v>528</v>
      </c>
    </row>
    <row r="14" customFormat="false" ht="15" hidden="false" customHeight="false" outlineLevel="0" collapsed="false">
      <c r="A14" s="9" t="s">
        <v>536</v>
      </c>
      <c r="B14" s="21" t="n">
        <v>103.5</v>
      </c>
      <c r="C14" s="25" t="s">
        <v>154</v>
      </c>
      <c r="D14" s="8" t="n">
        <v>0</v>
      </c>
      <c r="E14" s="21" t="n">
        <f aca="false">ROUND(B14*D14,1)</f>
        <v>0</v>
      </c>
      <c r="F14" s="21" t="n">
        <f aca="false">B14-E14</f>
        <v>103.5</v>
      </c>
      <c r="G14" s="30" t="n">
        <v>12</v>
      </c>
      <c r="H14" s="9" t="s">
        <v>215</v>
      </c>
      <c r="I14" s="24" t="n">
        <v>8</v>
      </c>
      <c r="J14" s="6" t="n">
        <f aca="false">ROUND(F14*I14,0)</f>
        <v>828</v>
      </c>
      <c r="K14" s="5" t="s">
        <v>141</v>
      </c>
      <c r="L14" s="5" t="s">
        <v>174</v>
      </c>
      <c r="M14" s="8" t="n">
        <v>0</v>
      </c>
      <c r="N14" s="5" t="n">
        <v>1</v>
      </c>
      <c r="O14" s="9" t="s">
        <v>175</v>
      </c>
      <c r="P14" s="5" t="s">
        <v>144</v>
      </c>
      <c r="Q14" s="9" t="s">
        <v>528</v>
      </c>
    </row>
    <row r="15" customFormat="false" ht="15" hidden="false" customHeight="false" outlineLevel="0" collapsed="false">
      <c r="A15" s="12" t="s">
        <v>189</v>
      </c>
      <c r="B15" s="13" t="n">
        <f aca="false">SUM(B6:B14)</f>
        <v>1995.2</v>
      </c>
      <c r="C15" s="12"/>
      <c r="D15" s="14" t="n">
        <f aca="false">IF(B15=0,0,E15/B15)</f>
        <v>0</v>
      </c>
      <c r="E15" s="13" t="n">
        <f aca="false">SUM(E6:E14)</f>
        <v>0</v>
      </c>
      <c r="F15" s="13" t="n">
        <f aca="false">SUM(F6:F14)</f>
        <v>1995.2</v>
      </c>
      <c r="G15" s="12"/>
      <c r="H15" s="12"/>
      <c r="I15" s="12"/>
      <c r="J15" s="13" t="n">
        <f aca="false">SUM(J6:J14)</f>
        <v>15962</v>
      </c>
      <c r="K15" s="12"/>
      <c r="L15" s="12"/>
      <c r="M15" s="12"/>
      <c r="N15" s="12"/>
      <c r="O15" s="12"/>
      <c r="P15" s="12"/>
      <c r="Q15" s="12"/>
    </row>
    <row r="17" customFormat="false" ht="15" hidden="false" customHeight="false" outlineLevel="0" collapsed="false">
      <c r="A17" s="16" t="s">
        <v>190</v>
      </c>
      <c r="D17" s="27" t="n">
        <f aca="false">J15</f>
        <v>15962</v>
      </c>
      <c r="F17" s="20" t="s">
        <v>191</v>
      </c>
    </row>
    <row r="18" customFormat="false" ht="15" hidden="false" customHeight="false" outlineLevel="0" collapsed="false">
      <c r="A18" s="16" t="s">
        <v>192</v>
      </c>
      <c r="D18" s="27" t="n">
        <f aca="false">F15*8</f>
        <v>15961.6</v>
      </c>
      <c r="F18" s="20" t="s">
        <v>193</v>
      </c>
    </row>
    <row r="19" customFormat="false" ht="15" hidden="false" customHeight="false" outlineLevel="0" collapsed="false">
      <c r="A19" s="16" t="s">
        <v>194</v>
      </c>
      <c r="D19" s="28" t="n">
        <v>0</v>
      </c>
      <c r="F19" s="20" t="s">
        <v>195</v>
      </c>
    </row>
    <row r="20" customFormat="false" ht="15" hidden="false" customHeight="false" outlineLevel="0" collapsed="false">
      <c r="A20" s="16" t="s">
        <v>196</v>
      </c>
      <c r="D20" s="29" t="n">
        <v>0.22</v>
      </c>
      <c r="F20" s="20" t="s">
        <v>69</v>
      </c>
    </row>
    <row r="21" customFormat="false" ht="15" hidden="false" customHeight="false" outlineLevel="0" collapsed="false">
      <c r="A21" s="16" t="s">
        <v>197</v>
      </c>
      <c r="D21" s="27" t="n">
        <f aca="false">(B15-D19)*(1-D20)</f>
        <v>1556.256</v>
      </c>
      <c r="F21" s="20" t="s">
        <v>198</v>
      </c>
    </row>
    <row r="22" customFormat="false" ht="15" hidden="false" customHeight="false" outlineLevel="0" collapsed="false">
      <c r="A22" s="16" t="s">
        <v>199</v>
      </c>
      <c r="D22" s="27" t="n">
        <f aca="false">ROUND(D21*4,0)</f>
        <v>6225</v>
      </c>
      <c r="F22" s="20" t="s">
        <v>200</v>
      </c>
    </row>
    <row r="23" customFormat="false" ht="15" hidden="false" customHeight="false" outlineLevel="0" collapsed="false">
      <c r="A23" s="16" t="s">
        <v>201</v>
      </c>
      <c r="D23" s="28" t="n">
        <v>9</v>
      </c>
    </row>
    <row r="24" customFormat="false" ht="15" hidden="false" customHeight="false" outlineLevel="0" collapsed="false">
      <c r="A24" s="16" t="s">
        <v>202</v>
      </c>
      <c r="D24" s="28" t="n">
        <v>0</v>
      </c>
      <c r="F24" s="20" t="s">
        <v>203</v>
      </c>
    </row>
    <row r="25" customFormat="false" ht="15" hidden="false" customHeight="false" outlineLevel="0" collapsed="false">
      <c r="A25" s="16" t="s">
        <v>204</v>
      </c>
      <c r="D25" s="28" t="n">
        <v>0</v>
      </c>
    </row>
    <row r="26" customFormat="false" ht="15" hidden="false" customHeight="false" outlineLevel="0" collapsed="false">
      <c r="A26" s="16" t="s">
        <v>205</v>
      </c>
      <c r="D26" s="28" t="n">
        <v>0</v>
      </c>
      <c r="F26" s="20" t="s">
        <v>206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3"/>
    <col collapsed="false" customWidth="true" hidden="false" outlineLevel="0" max="3" min="3" style="0" width="15"/>
    <col collapsed="false" customWidth="true" hidden="false" outlineLevel="0" max="4" min="4" style="0" width="12"/>
    <col collapsed="false" customWidth="true" hidden="false" outlineLevel="0" max="6" min="5" style="0" width="13"/>
    <col collapsed="false" customWidth="true" hidden="false" outlineLevel="0" max="7" min="7" style="0" width="11"/>
    <col collapsed="false" customWidth="true" hidden="false" outlineLevel="0" max="8" min="8" style="0" width="20"/>
    <col collapsed="false" customWidth="true" hidden="false" outlineLevel="0" max="10" min="9" style="0" width="13"/>
    <col collapsed="false" customWidth="true" hidden="false" outlineLevel="0" max="11" min="11" style="0" width="10"/>
    <col collapsed="false" customWidth="true" hidden="false" outlineLevel="0" max="12" min="12" style="0" width="13"/>
    <col collapsed="false" customWidth="true" hidden="false" outlineLevel="0" max="14" min="13" style="0" width="9"/>
    <col collapsed="false" customWidth="true" hidden="false" outlineLevel="0" max="15" min="15" style="0" width="46"/>
    <col collapsed="false" customWidth="true" hidden="false" outlineLevel="0" max="16" min="16" style="0" width="17"/>
    <col collapsed="false" customWidth="true" hidden="false" outlineLevel="0" max="17" min="17" style="0" width="52"/>
  </cols>
  <sheetData>
    <row r="1" customFormat="false" ht="16.15" hidden="false" customHeight="false" outlineLevel="0" collapsed="false">
      <c r="A1" s="18" t="s">
        <v>537</v>
      </c>
    </row>
    <row r="2" customFormat="false" ht="15" hidden="false" customHeight="false" outlineLevel="0" collapsed="false">
      <c r="A2" s="19" t="s">
        <v>538</v>
      </c>
    </row>
    <row r="3" customFormat="false" ht="15" hidden="false" customHeight="false" outlineLevel="0" collapsed="false">
      <c r="A3" s="20" t="s">
        <v>539</v>
      </c>
    </row>
    <row r="5" customFormat="false" ht="32.8" hidden="false" customHeight="false" outlineLevel="0" collapsed="false">
      <c r="A5" s="4" t="s">
        <v>122</v>
      </c>
      <c r="B5" s="4" t="s">
        <v>123</v>
      </c>
      <c r="C5" s="4" t="s">
        <v>124</v>
      </c>
      <c r="D5" s="4" t="s">
        <v>125</v>
      </c>
      <c r="E5" s="4" t="s">
        <v>126</v>
      </c>
      <c r="F5" s="4" t="s">
        <v>12</v>
      </c>
      <c r="G5" s="4" t="s">
        <v>127</v>
      </c>
      <c r="H5" s="4" t="s">
        <v>128</v>
      </c>
      <c r="I5" s="4" t="s">
        <v>129</v>
      </c>
      <c r="J5" s="4" t="s">
        <v>130</v>
      </c>
      <c r="K5" s="4" t="s">
        <v>131</v>
      </c>
      <c r="L5" s="4" t="s">
        <v>132</v>
      </c>
      <c r="M5" s="4" t="s">
        <v>133</v>
      </c>
      <c r="N5" s="4" t="s">
        <v>134</v>
      </c>
      <c r="O5" s="4" t="s">
        <v>135</v>
      </c>
      <c r="P5" s="4" t="s">
        <v>136</v>
      </c>
      <c r="Q5" s="4" t="s">
        <v>137</v>
      </c>
    </row>
    <row r="6" customFormat="false" ht="22.35" hidden="false" customHeight="false" outlineLevel="0" collapsed="false">
      <c r="A6" s="9" t="s">
        <v>149</v>
      </c>
      <c r="B6" s="21" t="n">
        <v>294.6</v>
      </c>
      <c r="C6" s="22" t="s">
        <v>139</v>
      </c>
      <c r="D6" s="8" t="n">
        <v>1</v>
      </c>
      <c r="E6" s="21" t="n">
        <f aca="false">ROUND(B6*D6,1)</f>
        <v>294.6</v>
      </c>
      <c r="F6" s="21" t="n">
        <f aca="false">B6-E6</f>
        <v>0</v>
      </c>
      <c r="G6" s="23" t="n">
        <v>12</v>
      </c>
      <c r="H6" s="9" t="s">
        <v>140</v>
      </c>
      <c r="I6" s="24" t="n">
        <v>8</v>
      </c>
      <c r="J6" s="6" t="n">
        <f aca="false">ROUND(F6*I6,0)</f>
        <v>0</v>
      </c>
      <c r="K6" s="5" t="s">
        <v>141</v>
      </c>
      <c r="L6" s="5" t="s">
        <v>142</v>
      </c>
      <c r="M6" s="8" t="n">
        <v>1</v>
      </c>
      <c r="N6" s="5" t="n">
        <v>1</v>
      </c>
      <c r="O6" s="9" t="s">
        <v>151</v>
      </c>
      <c r="P6" s="5" t="s">
        <v>144</v>
      </c>
      <c r="Q6" s="9" t="s">
        <v>540</v>
      </c>
    </row>
    <row r="7" customFormat="false" ht="15" hidden="false" customHeight="false" outlineLevel="0" collapsed="false">
      <c r="A7" s="9" t="s">
        <v>290</v>
      </c>
      <c r="B7" s="21" t="n">
        <v>282.9</v>
      </c>
      <c r="C7" s="25" t="s">
        <v>154</v>
      </c>
      <c r="D7" s="8" t="n">
        <v>0</v>
      </c>
      <c r="E7" s="21" t="n">
        <f aca="false">ROUND(B7*D7,1)</f>
        <v>0</v>
      </c>
      <c r="F7" s="21" t="n">
        <f aca="false">B7-E7</f>
        <v>282.9</v>
      </c>
      <c r="G7" s="23" t="n">
        <v>12</v>
      </c>
      <c r="H7" s="9" t="s">
        <v>140</v>
      </c>
      <c r="I7" s="24" t="n">
        <v>8</v>
      </c>
      <c r="J7" s="6" t="n">
        <f aca="false">ROUND(F7*I7,0)</f>
        <v>2263</v>
      </c>
      <c r="K7" s="5" t="s">
        <v>141</v>
      </c>
      <c r="L7" s="5" t="s">
        <v>174</v>
      </c>
      <c r="M7" s="8" t="n">
        <v>0</v>
      </c>
      <c r="N7" s="5" t="n">
        <v>1</v>
      </c>
      <c r="O7" s="9" t="s">
        <v>175</v>
      </c>
      <c r="P7" s="5" t="s">
        <v>144</v>
      </c>
      <c r="Q7" s="9" t="s">
        <v>541</v>
      </c>
    </row>
    <row r="8" customFormat="false" ht="15" hidden="false" customHeight="false" outlineLevel="0" collapsed="false">
      <c r="A8" s="9" t="s">
        <v>294</v>
      </c>
      <c r="B8" s="21" t="n">
        <v>282.7</v>
      </c>
      <c r="C8" s="25" t="s">
        <v>154</v>
      </c>
      <c r="D8" s="8" t="n">
        <v>0</v>
      </c>
      <c r="E8" s="21" t="n">
        <f aca="false">ROUND(B8*D8,1)</f>
        <v>0</v>
      </c>
      <c r="F8" s="21" t="n">
        <f aca="false">B8-E8</f>
        <v>282.7</v>
      </c>
      <c r="G8" s="23" t="n">
        <v>12</v>
      </c>
      <c r="H8" s="9" t="s">
        <v>140</v>
      </c>
      <c r="I8" s="24" t="n">
        <v>8</v>
      </c>
      <c r="J8" s="6" t="n">
        <f aca="false">ROUND(F8*I8,0)</f>
        <v>2262</v>
      </c>
      <c r="K8" s="5" t="s">
        <v>141</v>
      </c>
      <c r="L8" s="5" t="s">
        <v>174</v>
      </c>
      <c r="M8" s="8" t="n">
        <v>0</v>
      </c>
      <c r="N8" s="5" t="n">
        <v>1</v>
      </c>
      <c r="O8" s="9" t="s">
        <v>175</v>
      </c>
      <c r="P8" s="5" t="s">
        <v>144</v>
      </c>
      <c r="Q8" s="9" t="s">
        <v>541</v>
      </c>
    </row>
    <row r="9" customFormat="false" ht="15" hidden="false" customHeight="false" outlineLevel="0" collapsed="false">
      <c r="A9" s="9" t="s">
        <v>303</v>
      </c>
      <c r="B9" s="21" t="n">
        <v>281.9</v>
      </c>
      <c r="C9" s="25" t="s">
        <v>154</v>
      </c>
      <c r="D9" s="8" t="n">
        <v>0</v>
      </c>
      <c r="E9" s="21" t="n">
        <f aca="false">ROUND(B9*D9,1)</f>
        <v>0</v>
      </c>
      <c r="F9" s="21" t="n">
        <f aca="false">B9-E9</f>
        <v>281.9</v>
      </c>
      <c r="G9" s="23" t="n">
        <v>12</v>
      </c>
      <c r="H9" s="9" t="s">
        <v>140</v>
      </c>
      <c r="I9" s="24" t="n">
        <v>8</v>
      </c>
      <c r="J9" s="6" t="n">
        <f aca="false">ROUND(F9*I9,0)</f>
        <v>2255</v>
      </c>
      <c r="K9" s="5" t="s">
        <v>141</v>
      </c>
      <c r="L9" s="5" t="s">
        <v>150</v>
      </c>
      <c r="M9" s="8" t="n">
        <v>0.5</v>
      </c>
      <c r="N9" s="5" t="n">
        <v>1</v>
      </c>
      <c r="O9" s="9" t="s">
        <v>175</v>
      </c>
      <c r="P9" s="5" t="s">
        <v>144</v>
      </c>
      <c r="Q9" s="9" t="s">
        <v>541</v>
      </c>
    </row>
    <row r="10" customFormat="false" ht="15" hidden="false" customHeight="false" outlineLevel="0" collapsed="false">
      <c r="A10" s="9" t="s">
        <v>418</v>
      </c>
      <c r="B10" s="21" t="n">
        <v>282.4</v>
      </c>
      <c r="C10" s="25" t="s">
        <v>154</v>
      </c>
      <c r="D10" s="8" t="n">
        <v>0</v>
      </c>
      <c r="E10" s="21" t="n">
        <f aca="false">ROUND(B10*D10,1)</f>
        <v>0</v>
      </c>
      <c r="F10" s="21" t="n">
        <f aca="false">B10-E10</f>
        <v>282.4</v>
      </c>
      <c r="G10" s="23" t="n">
        <v>12</v>
      </c>
      <c r="H10" s="9" t="s">
        <v>140</v>
      </c>
      <c r="I10" s="24" t="n">
        <v>8</v>
      </c>
      <c r="J10" s="6" t="n">
        <f aca="false">ROUND(F10*I10,0)</f>
        <v>2259</v>
      </c>
      <c r="K10" s="5" t="s">
        <v>141</v>
      </c>
      <c r="L10" s="5" t="s">
        <v>174</v>
      </c>
      <c r="M10" s="8" t="n">
        <v>0</v>
      </c>
      <c r="N10" s="5" t="n">
        <v>1</v>
      </c>
      <c r="O10" s="9" t="s">
        <v>175</v>
      </c>
      <c r="P10" s="5" t="s">
        <v>144</v>
      </c>
      <c r="Q10" s="9" t="s">
        <v>541</v>
      </c>
    </row>
    <row r="11" customFormat="false" ht="32.8" hidden="false" customHeight="false" outlineLevel="0" collapsed="false">
      <c r="A11" s="9" t="s">
        <v>297</v>
      </c>
      <c r="B11" s="21" t="n">
        <v>296.5</v>
      </c>
      <c r="C11" s="26" t="s">
        <v>150</v>
      </c>
      <c r="D11" s="8" t="n">
        <v>0.09</v>
      </c>
      <c r="E11" s="21" t="n">
        <f aca="false">ROUND(B11*D11,1)</f>
        <v>26.7</v>
      </c>
      <c r="F11" s="21" t="n">
        <f aca="false">B11-E11</f>
        <v>269.8</v>
      </c>
      <c r="G11" s="23" t="n">
        <v>12</v>
      </c>
      <c r="H11" s="9" t="s">
        <v>140</v>
      </c>
      <c r="I11" s="24" t="n">
        <v>8</v>
      </c>
      <c r="J11" s="6" t="n">
        <f aca="false">ROUND(F11*I11,0)</f>
        <v>2158</v>
      </c>
      <c r="K11" s="5" t="s">
        <v>216</v>
      </c>
      <c r="L11" s="5" t="s">
        <v>217</v>
      </c>
      <c r="M11" s="8" t="s">
        <v>218</v>
      </c>
      <c r="N11" s="5" t="n">
        <v>0</v>
      </c>
      <c r="O11" s="9" t="s">
        <v>542</v>
      </c>
      <c r="P11" s="5" t="s">
        <v>144</v>
      </c>
      <c r="Q11" s="9" t="s">
        <v>541</v>
      </c>
    </row>
    <row r="12" customFormat="false" ht="15" hidden="false" customHeight="false" outlineLevel="0" collapsed="false">
      <c r="A12" s="9" t="s">
        <v>390</v>
      </c>
      <c r="B12" s="21" t="n">
        <v>296.6</v>
      </c>
      <c r="C12" s="25" t="s">
        <v>154</v>
      </c>
      <c r="D12" s="8" t="n">
        <v>0</v>
      </c>
      <c r="E12" s="21" t="n">
        <f aca="false">ROUND(B12*D12,1)</f>
        <v>0</v>
      </c>
      <c r="F12" s="21" t="n">
        <f aca="false">B12-E12</f>
        <v>296.6</v>
      </c>
      <c r="G12" s="23" t="n">
        <v>12</v>
      </c>
      <c r="H12" s="9" t="s">
        <v>140</v>
      </c>
      <c r="I12" s="24" t="n">
        <v>8</v>
      </c>
      <c r="J12" s="6" t="n">
        <f aca="false">ROUND(F12*I12,0)</f>
        <v>2373</v>
      </c>
      <c r="K12" s="5" t="s">
        <v>141</v>
      </c>
      <c r="L12" s="5" t="s">
        <v>174</v>
      </c>
      <c r="M12" s="8" t="n">
        <v>0</v>
      </c>
      <c r="N12" s="5" t="n">
        <v>1</v>
      </c>
      <c r="O12" s="9" t="s">
        <v>175</v>
      </c>
      <c r="P12" s="5" t="s">
        <v>144</v>
      </c>
      <c r="Q12" s="9" t="s">
        <v>541</v>
      </c>
    </row>
    <row r="13" customFormat="false" ht="15" hidden="false" customHeight="false" outlineLevel="0" collapsed="false">
      <c r="A13" s="9" t="s">
        <v>295</v>
      </c>
      <c r="B13" s="21" t="n">
        <v>296.6</v>
      </c>
      <c r="C13" s="25" t="s">
        <v>154</v>
      </c>
      <c r="D13" s="8" t="n">
        <v>0</v>
      </c>
      <c r="E13" s="21" t="n">
        <f aca="false">ROUND(B13*D13,1)</f>
        <v>0</v>
      </c>
      <c r="F13" s="21" t="n">
        <f aca="false">B13-E13</f>
        <v>296.6</v>
      </c>
      <c r="G13" s="23" t="n">
        <v>12</v>
      </c>
      <c r="H13" s="9" t="s">
        <v>140</v>
      </c>
      <c r="I13" s="24" t="n">
        <v>8</v>
      </c>
      <c r="J13" s="6" t="n">
        <f aca="false">ROUND(F13*I13,0)</f>
        <v>2373</v>
      </c>
      <c r="K13" s="5" t="s">
        <v>141</v>
      </c>
      <c r="L13" s="5" t="s">
        <v>174</v>
      </c>
      <c r="M13" s="8" t="n">
        <v>0</v>
      </c>
      <c r="N13" s="5" t="n">
        <v>1</v>
      </c>
      <c r="O13" s="9" t="s">
        <v>175</v>
      </c>
      <c r="P13" s="5" t="s">
        <v>144</v>
      </c>
      <c r="Q13" s="9" t="s">
        <v>541</v>
      </c>
    </row>
    <row r="14" customFormat="false" ht="15" hidden="false" customHeight="false" outlineLevel="0" collapsed="false">
      <c r="A14" s="9" t="s">
        <v>417</v>
      </c>
      <c r="B14" s="21" t="n">
        <v>142.3</v>
      </c>
      <c r="C14" s="25" t="s">
        <v>154</v>
      </c>
      <c r="D14" s="8" t="n">
        <v>0</v>
      </c>
      <c r="E14" s="21" t="n">
        <f aca="false">ROUND(B14*D14,1)</f>
        <v>0</v>
      </c>
      <c r="F14" s="21" t="n">
        <f aca="false">B14-E14</f>
        <v>142.3</v>
      </c>
      <c r="G14" s="23" t="n">
        <v>12</v>
      </c>
      <c r="H14" s="9" t="s">
        <v>140</v>
      </c>
      <c r="I14" s="24" t="n">
        <v>8</v>
      </c>
      <c r="J14" s="6" t="n">
        <f aca="false">ROUND(F14*I14,0)</f>
        <v>1138</v>
      </c>
      <c r="K14" s="5" t="s">
        <v>141</v>
      </c>
      <c r="L14" s="5" t="s">
        <v>174</v>
      </c>
      <c r="M14" s="8" t="n">
        <v>0</v>
      </c>
      <c r="N14" s="5" t="n">
        <v>1</v>
      </c>
      <c r="O14" s="9" t="s">
        <v>175</v>
      </c>
      <c r="P14" s="5" t="s">
        <v>144</v>
      </c>
      <c r="Q14" s="9" t="s">
        <v>541</v>
      </c>
    </row>
    <row r="15" customFormat="false" ht="32.8" hidden="false" customHeight="false" outlineLevel="0" collapsed="false">
      <c r="A15" s="9" t="s">
        <v>178</v>
      </c>
      <c r="B15" s="21" t="n">
        <v>246.9</v>
      </c>
      <c r="C15" s="26" t="s">
        <v>150</v>
      </c>
      <c r="D15" s="8" t="n">
        <v>0.43</v>
      </c>
      <c r="E15" s="21" t="n">
        <f aca="false">ROUND(B15*D15,1)</f>
        <v>106.2</v>
      </c>
      <c r="F15" s="21" t="n">
        <f aca="false">B15-E15</f>
        <v>140.7</v>
      </c>
      <c r="G15" s="23" t="n">
        <v>12</v>
      </c>
      <c r="H15" s="9" t="s">
        <v>140</v>
      </c>
      <c r="I15" s="24" t="n">
        <v>8</v>
      </c>
      <c r="J15" s="6" t="n">
        <f aca="false">ROUND(F15*I15,0)</f>
        <v>1126</v>
      </c>
      <c r="K15" s="5" t="s">
        <v>216</v>
      </c>
      <c r="L15" s="5" t="s">
        <v>217</v>
      </c>
      <c r="M15" s="8" t="s">
        <v>218</v>
      </c>
      <c r="N15" s="5" t="n">
        <v>0</v>
      </c>
      <c r="O15" s="9" t="s">
        <v>543</v>
      </c>
      <c r="P15" s="5" t="s">
        <v>144</v>
      </c>
      <c r="Q15" s="9" t="s">
        <v>544</v>
      </c>
    </row>
    <row r="16" customFormat="false" ht="15" hidden="false" customHeight="false" outlineLevel="0" collapsed="false">
      <c r="A16" s="9" t="s">
        <v>167</v>
      </c>
      <c r="B16" s="21" t="n">
        <v>492.7</v>
      </c>
      <c r="C16" s="25" t="s">
        <v>154</v>
      </c>
      <c r="D16" s="8" t="n">
        <v>0</v>
      </c>
      <c r="E16" s="21" t="n">
        <f aca="false">ROUND(B16*D16,1)</f>
        <v>0</v>
      </c>
      <c r="F16" s="21" t="n">
        <f aca="false">B16-E16</f>
        <v>492.7</v>
      </c>
      <c r="G16" s="23" t="n">
        <v>12</v>
      </c>
      <c r="H16" s="9" t="s">
        <v>140</v>
      </c>
      <c r="I16" s="24" t="n">
        <v>8</v>
      </c>
      <c r="J16" s="6" t="n">
        <f aca="false">ROUND(F16*I16,0)</f>
        <v>3942</v>
      </c>
      <c r="K16" s="5" t="s">
        <v>314</v>
      </c>
      <c r="L16" s="5" t="s">
        <v>174</v>
      </c>
      <c r="M16" s="8" t="n">
        <v>0</v>
      </c>
      <c r="N16" s="5" t="n">
        <v>1</v>
      </c>
      <c r="O16" s="9" t="s">
        <v>175</v>
      </c>
      <c r="P16" s="5" t="s">
        <v>144</v>
      </c>
      <c r="Q16" s="9" t="s">
        <v>545</v>
      </c>
    </row>
    <row r="17" customFormat="false" ht="32.8" hidden="false" customHeight="false" outlineLevel="0" collapsed="false">
      <c r="A17" s="9" t="s">
        <v>406</v>
      </c>
      <c r="B17" s="21" t="n">
        <v>123.5</v>
      </c>
      <c r="C17" s="25" t="s">
        <v>154</v>
      </c>
      <c r="D17" s="8" t="n">
        <v>0</v>
      </c>
      <c r="E17" s="21" t="n">
        <f aca="false">ROUND(B17*D17,1)</f>
        <v>0</v>
      </c>
      <c r="F17" s="21" t="n">
        <f aca="false">B17-E17</f>
        <v>123.5</v>
      </c>
      <c r="G17" s="23" t="n">
        <v>12</v>
      </c>
      <c r="H17" s="9" t="s">
        <v>140</v>
      </c>
      <c r="I17" s="24" t="n">
        <v>8</v>
      </c>
      <c r="J17" s="6" t="n">
        <f aca="false">ROUND(F17*I17,0)</f>
        <v>988</v>
      </c>
      <c r="K17" s="5" t="s">
        <v>314</v>
      </c>
      <c r="L17" s="5" t="s">
        <v>217</v>
      </c>
      <c r="M17" s="8" t="s">
        <v>218</v>
      </c>
      <c r="N17" s="5" t="n">
        <v>0</v>
      </c>
      <c r="O17" s="9" t="s">
        <v>546</v>
      </c>
      <c r="P17" s="5" t="s">
        <v>144</v>
      </c>
      <c r="Q17" s="9" t="s">
        <v>547</v>
      </c>
    </row>
    <row r="18" customFormat="false" ht="22.35" hidden="false" customHeight="false" outlineLevel="0" collapsed="false">
      <c r="A18" s="9" t="s">
        <v>548</v>
      </c>
      <c r="B18" s="21" t="n">
        <v>371.4</v>
      </c>
      <c r="C18" s="25" t="s">
        <v>154</v>
      </c>
      <c r="D18" s="8" t="n">
        <v>0</v>
      </c>
      <c r="E18" s="21" t="n">
        <f aca="false">ROUND(B18*D18,1)</f>
        <v>0</v>
      </c>
      <c r="F18" s="21" t="n">
        <f aca="false">B18-E18</f>
        <v>371.4</v>
      </c>
      <c r="G18" s="23" t="n">
        <v>12</v>
      </c>
      <c r="H18" s="9" t="s">
        <v>140</v>
      </c>
      <c r="I18" s="24" t="n">
        <v>8</v>
      </c>
      <c r="J18" s="6" t="n">
        <f aca="false">ROUND(F18*I18,0)</f>
        <v>2971</v>
      </c>
      <c r="K18" s="5" t="s">
        <v>141</v>
      </c>
      <c r="L18" s="5" t="s">
        <v>150</v>
      </c>
      <c r="M18" s="8" t="n">
        <v>0.5</v>
      </c>
      <c r="N18" s="5" t="n">
        <v>1</v>
      </c>
      <c r="O18" s="9" t="s">
        <v>175</v>
      </c>
      <c r="P18" s="5" t="s">
        <v>144</v>
      </c>
      <c r="Q18" s="9" t="s">
        <v>549</v>
      </c>
    </row>
    <row r="19" customFormat="false" ht="32.8" hidden="false" customHeight="false" outlineLevel="0" collapsed="false">
      <c r="A19" s="9" t="s">
        <v>184</v>
      </c>
      <c r="B19" s="21" t="n">
        <v>5.3</v>
      </c>
      <c r="C19" s="22" t="s">
        <v>139</v>
      </c>
      <c r="D19" s="8" t="n">
        <v>1</v>
      </c>
      <c r="E19" s="21" t="n">
        <f aca="false">ROUND(B19*D19,1)</f>
        <v>5.3</v>
      </c>
      <c r="F19" s="21" t="n">
        <f aca="false">B19-E19</f>
        <v>0</v>
      </c>
      <c r="G19" s="23" t="n">
        <v>12</v>
      </c>
      <c r="H19" s="9" t="s">
        <v>140</v>
      </c>
      <c r="I19" s="24" t="n">
        <v>8</v>
      </c>
      <c r="J19" s="6" t="n">
        <f aca="false">ROUND(F19*I19,0)</f>
        <v>0</v>
      </c>
      <c r="K19" s="5" t="s">
        <v>314</v>
      </c>
      <c r="L19" s="5" t="s">
        <v>217</v>
      </c>
      <c r="M19" s="8" t="s">
        <v>218</v>
      </c>
      <c r="N19" s="5" t="n">
        <v>0</v>
      </c>
      <c r="O19" s="9" t="s">
        <v>550</v>
      </c>
      <c r="P19" s="5" t="s">
        <v>144</v>
      </c>
      <c r="Q19" s="9" t="s">
        <v>551</v>
      </c>
    </row>
    <row r="20" customFormat="false" ht="22.35" hidden="false" customHeight="false" outlineLevel="0" collapsed="false">
      <c r="A20" s="9" t="s">
        <v>168</v>
      </c>
      <c r="B20" s="21" t="n">
        <v>29</v>
      </c>
      <c r="C20" s="26" t="s">
        <v>150</v>
      </c>
      <c r="D20" s="8" t="n">
        <v>0.09</v>
      </c>
      <c r="E20" s="21" t="n">
        <f aca="false">ROUND(B20*D20,1)</f>
        <v>2.6</v>
      </c>
      <c r="F20" s="21" t="n">
        <f aca="false">B20-E20</f>
        <v>26.4</v>
      </c>
      <c r="G20" s="23" t="n">
        <v>12</v>
      </c>
      <c r="H20" s="9" t="s">
        <v>140</v>
      </c>
      <c r="I20" s="24" t="n">
        <v>8</v>
      </c>
      <c r="J20" s="6" t="n">
        <f aca="false">ROUND(F20*I20,0)</f>
        <v>211</v>
      </c>
      <c r="K20" s="5" t="s">
        <v>216</v>
      </c>
      <c r="L20" s="5" t="s">
        <v>217</v>
      </c>
      <c r="M20" s="8" t="s">
        <v>218</v>
      </c>
      <c r="N20" s="5" t="n">
        <v>0</v>
      </c>
      <c r="O20" s="9" t="s">
        <v>219</v>
      </c>
      <c r="P20" s="5" t="s">
        <v>144</v>
      </c>
      <c r="Q20" s="9" t="s">
        <v>552</v>
      </c>
    </row>
    <row r="21" customFormat="false" ht="15" hidden="false" customHeight="false" outlineLevel="0" collapsed="false">
      <c r="A21" s="12" t="s">
        <v>189</v>
      </c>
      <c r="B21" s="13" t="n">
        <f aca="false">SUM(B6:B20)</f>
        <v>3725.3</v>
      </c>
      <c r="C21" s="12"/>
      <c r="D21" s="14" t="n">
        <f aca="false">IF(B21=0,0,E21/B21)</f>
        <v>0.116876493168335</v>
      </c>
      <c r="E21" s="13" t="n">
        <f aca="false">SUM(E6:E20)</f>
        <v>435.4</v>
      </c>
      <c r="F21" s="13" t="n">
        <f aca="false">SUM(F6:F20)</f>
        <v>3289.9</v>
      </c>
      <c r="G21" s="12"/>
      <c r="H21" s="12"/>
      <c r="I21" s="12"/>
      <c r="J21" s="13" t="n">
        <f aca="false">SUM(J6:J20)</f>
        <v>26319</v>
      </c>
      <c r="K21" s="12"/>
      <c r="L21" s="12"/>
      <c r="M21" s="12"/>
      <c r="N21" s="12"/>
      <c r="O21" s="12"/>
      <c r="P21" s="12"/>
      <c r="Q21" s="12"/>
    </row>
    <row r="23" customFormat="false" ht="15" hidden="false" customHeight="false" outlineLevel="0" collapsed="false">
      <c r="A23" s="16" t="s">
        <v>190</v>
      </c>
      <c r="D23" s="27" t="n">
        <f aca="false">J21</f>
        <v>26319</v>
      </c>
      <c r="F23" s="20" t="s">
        <v>191</v>
      </c>
    </row>
    <row r="24" customFormat="false" ht="15" hidden="false" customHeight="false" outlineLevel="0" collapsed="false">
      <c r="A24" s="16" t="s">
        <v>192</v>
      </c>
      <c r="D24" s="27" t="n">
        <f aca="false">F21*8</f>
        <v>26319.2</v>
      </c>
      <c r="F24" s="20" t="s">
        <v>193</v>
      </c>
    </row>
    <row r="25" customFormat="false" ht="15" hidden="false" customHeight="false" outlineLevel="0" collapsed="false">
      <c r="A25" s="16" t="s">
        <v>194</v>
      </c>
      <c r="D25" s="28" t="n">
        <v>0</v>
      </c>
      <c r="F25" s="20" t="s">
        <v>195</v>
      </c>
    </row>
    <row r="26" customFormat="false" ht="15" hidden="false" customHeight="false" outlineLevel="0" collapsed="false">
      <c r="A26" s="16" t="s">
        <v>196</v>
      </c>
      <c r="D26" s="29" t="n">
        <v>0.2</v>
      </c>
      <c r="F26" s="20" t="s">
        <v>61</v>
      </c>
    </row>
    <row r="27" customFormat="false" ht="15" hidden="false" customHeight="false" outlineLevel="0" collapsed="false">
      <c r="A27" s="16" t="s">
        <v>197</v>
      </c>
      <c r="D27" s="27" t="n">
        <f aca="false">(B21-D25)*(1-D26)</f>
        <v>2980.24</v>
      </c>
      <c r="F27" s="20" t="s">
        <v>198</v>
      </c>
    </row>
    <row r="28" customFormat="false" ht="15" hidden="false" customHeight="false" outlineLevel="0" collapsed="false">
      <c r="A28" s="16" t="s">
        <v>199</v>
      </c>
      <c r="D28" s="27" t="n">
        <f aca="false">ROUND(D27*4,0)</f>
        <v>11921</v>
      </c>
      <c r="F28" s="20" t="s">
        <v>200</v>
      </c>
    </row>
    <row r="29" customFormat="false" ht="15" hidden="false" customHeight="false" outlineLevel="0" collapsed="false">
      <c r="A29" s="16" t="s">
        <v>201</v>
      </c>
      <c r="D29" s="28" t="n">
        <v>10</v>
      </c>
    </row>
    <row r="30" customFormat="false" ht="15" hidden="false" customHeight="false" outlineLevel="0" collapsed="false">
      <c r="A30" s="16" t="s">
        <v>202</v>
      </c>
      <c r="D30" s="28" t="n">
        <v>0</v>
      </c>
      <c r="F30" s="20" t="s">
        <v>203</v>
      </c>
    </row>
    <row r="31" customFormat="false" ht="15" hidden="false" customHeight="false" outlineLevel="0" collapsed="false">
      <c r="A31" s="16" t="s">
        <v>204</v>
      </c>
      <c r="D31" s="28" t="n">
        <v>435</v>
      </c>
    </row>
    <row r="32" customFormat="false" ht="15" hidden="false" customHeight="false" outlineLevel="0" collapsed="false">
      <c r="A32" s="16" t="s">
        <v>205</v>
      </c>
      <c r="D32" s="28" t="n">
        <v>0</v>
      </c>
      <c r="F32" s="20" t="s">
        <v>206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3"/>
    <col collapsed="false" customWidth="true" hidden="false" outlineLevel="0" max="3" min="3" style="0" width="15"/>
    <col collapsed="false" customWidth="true" hidden="false" outlineLevel="0" max="4" min="4" style="0" width="12"/>
    <col collapsed="false" customWidth="true" hidden="false" outlineLevel="0" max="6" min="5" style="0" width="13"/>
    <col collapsed="false" customWidth="true" hidden="false" outlineLevel="0" max="7" min="7" style="0" width="11"/>
    <col collapsed="false" customWidth="true" hidden="false" outlineLevel="0" max="8" min="8" style="0" width="20"/>
    <col collapsed="false" customWidth="true" hidden="false" outlineLevel="0" max="10" min="9" style="0" width="13"/>
    <col collapsed="false" customWidth="true" hidden="false" outlineLevel="0" max="11" min="11" style="0" width="10"/>
    <col collapsed="false" customWidth="true" hidden="false" outlineLevel="0" max="12" min="12" style="0" width="13"/>
    <col collapsed="false" customWidth="true" hidden="false" outlineLevel="0" max="14" min="13" style="0" width="9"/>
    <col collapsed="false" customWidth="true" hidden="false" outlineLevel="0" max="15" min="15" style="0" width="46"/>
    <col collapsed="false" customWidth="true" hidden="false" outlineLevel="0" max="16" min="16" style="0" width="17"/>
    <col collapsed="false" customWidth="true" hidden="false" outlineLevel="0" max="17" min="17" style="0" width="52"/>
  </cols>
  <sheetData>
    <row r="1" customFormat="false" ht="16.15" hidden="false" customHeight="false" outlineLevel="0" collapsed="false">
      <c r="A1" s="18" t="s">
        <v>553</v>
      </c>
    </row>
    <row r="2" customFormat="false" ht="15" hidden="false" customHeight="false" outlineLevel="0" collapsed="false">
      <c r="A2" s="19" t="s">
        <v>554</v>
      </c>
    </row>
    <row r="3" customFormat="false" ht="15" hidden="false" customHeight="false" outlineLevel="0" collapsed="false">
      <c r="A3" s="20" t="s">
        <v>555</v>
      </c>
    </row>
    <row r="5" customFormat="false" ht="32.8" hidden="false" customHeight="false" outlineLevel="0" collapsed="false">
      <c r="A5" s="4" t="s">
        <v>122</v>
      </c>
      <c r="B5" s="4" t="s">
        <v>123</v>
      </c>
      <c r="C5" s="4" t="s">
        <v>124</v>
      </c>
      <c r="D5" s="4" t="s">
        <v>125</v>
      </c>
      <c r="E5" s="4" t="s">
        <v>126</v>
      </c>
      <c r="F5" s="4" t="s">
        <v>12</v>
      </c>
      <c r="G5" s="4" t="s">
        <v>127</v>
      </c>
      <c r="H5" s="4" t="s">
        <v>128</v>
      </c>
      <c r="I5" s="4" t="s">
        <v>129</v>
      </c>
      <c r="J5" s="4" t="s">
        <v>130</v>
      </c>
      <c r="K5" s="4" t="s">
        <v>131</v>
      </c>
      <c r="L5" s="4" t="s">
        <v>132</v>
      </c>
      <c r="M5" s="4" t="s">
        <v>133</v>
      </c>
      <c r="N5" s="4" t="s">
        <v>134</v>
      </c>
      <c r="O5" s="4" t="s">
        <v>135</v>
      </c>
      <c r="P5" s="4" t="s">
        <v>136</v>
      </c>
      <c r="Q5" s="4" t="s">
        <v>137</v>
      </c>
    </row>
    <row r="6" customFormat="false" ht="22.35" hidden="false" customHeight="false" outlineLevel="0" collapsed="false">
      <c r="A6" s="9" t="s">
        <v>556</v>
      </c>
      <c r="B6" s="21" t="n">
        <v>354.3</v>
      </c>
      <c r="C6" s="25" t="s">
        <v>154</v>
      </c>
      <c r="D6" s="8" t="n">
        <v>0</v>
      </c>
      <c r="E6" s="21" t="n">
        <f aca="false">ROUND(B6*D6,1)</f>
        <v>0</v>
      </c>
      <c r="F6" s="21" t="n">
        <f aca="false">B6-E6</f>
        <v>354.3</v>
      </c>
      <c r="G6" s="30" t="n">
        <v>12</v>
      </c>
      <c r="H6" s="9" t="s">
        <v>215</v>
      </c>
      <c r="I6" s="24" t="n">
        <v>8</v>
      </c>
      <c r="J6" s="6" t="n">
        <f aca="false">ROUND(F6*I6,0)</f>
        <v>2834</v>
      </c>
      <c r="K6" s="5" t="s">
        <v>314</v>
      </c>
      <c r="L6" s="5" t="s">
        <v>217</v>
      </c>
      <c r="M6" s="8" t="s">
        <v>218</v>
      </c>
      <c r="N6" s="5" t="n">
        <v>1</v>
      </c>
      <c r="O6" s="9" t="s">
        <v>491</v>
      </c>
      <c r="P6" s="5" t="s">
        <v>144</v>
      </c>
      <c r="Q6" s="9" t="s">
        <v>557</v>
      </c>
    </row>
    <row r="7" customFormat="false" ht="22.35" hidden="false" customHeight="false" outlineLevel="0" collapsed="false">
      <c r="A7" s="9" t="s">
        <v>558</v>
      </c>
      <c r="B7" s="21" t="n">
        <v>759.3</v>
      </c>
      <c r="C7" s="22" t="s">
        <v>139</v>
      </c>
      <c r="D7" s="8" t="n">
        <v>1</v>
      </c>
      <c r="E7" s="21" t="n">
        <f aca="false">ROUND(B7*D7,1)</f>
        <v>759.3</v>
      </c>
      <c r="F7" s="21" t="n">
        <f aca="false">B7-E7</f>
        <v>0</v>
      </c>
      <c r="G7" s="30" t="n">
        <v>12</v>
      </c>
      <c r="H7" s="9" t="s">
        <v>215</v>
      </c>
      <c r="I7" s="24" t="n">
        <v>8</v>
      </c>
      <c r="J7" s="6" t="n">
        <f aca="false">ROUND(F7*I7,0)</f>
        <v>0</v>
      </c>
      <c r="K7" s="5" t="s">
        <v>141</v>
      </c>
      <c r="L7" s="5" t="s">
        <v>174</v>
      </c>
      <c r="M7" s="8" t="n">
        <v>0</v>
      </c>
      <c r="N7" s="5" t="n">
        <v>3</v>
      </c>
      <c r="O7" s="9" t="s">
        <v>559</v>
      </c>
      <c r="P7" s="5" t="s">
        <v>144</v>
      </c>
      <c r="Q7" s="9" t="s">
        <v>560</v>
      </c>
    </row>
    <row r="8" customFormat="false" ht="22.35" hidden="false" customHeight="false" outlineLevel="0" collapsed="false">
      <c r="A8" s="9" t="s">
        <v>561</v>
      </c>
      <c r="B8" s="21" t="n">
        <v>1259.9</v>
      </c>
      <c r="C8" s="22" t="s">
        <v>139</v>
      </c>
      <c r="D8" s="8" t="n">
        <v>1</v>
      </c>
      <c r="E8" s="21" t="n">
        <f aca="false">ROUND(B8*D8,1)</f>
        <v>1259.9</v>
      </c>
      <c r="F8" s="21" t="n">
        <f aca="false">B8-E8</f>
        <v>0</v>
      </c>
      <c r="G8" s="30" t="n">
        <v>12</v>
      </c>
      <c r="H8" s="9" t="s">
        <v>215</v>
      </c>
      <c r="I8" s="24" t="n">
        <v>8</v>
      </c>
      <c r="J8" s="6" t="n">
        <f aca="false">ROUND(F8*I8,0)</f>
        <v>0</v>
      </c>
      <c r="K8" s="5" t="s">
        <v>141</v>
      </c>
      <c r="L8" s="5" t="s">
        <v>174</v>
      </c>
      <c r="M8" s="8" t="n">
        <v>0</v>
      </c>
      <c r="N8" s="5" t="n">
        <v>4</v>
      </c>
      <c r="O8" s="9" t="s">
        <v>562</v>
      </c>
      <c r="P8" s="5" t="s">
        <v>144</v>
      </c>
      <c r="Q8" s="9" t="s">
        <v>563</v>
      </c>
    </row>
    <row r="9" customFormat="false" ht="15" hidden="false" customHeight="false" outlineLevel="0" collapsed="false">
      <c r="A9" s="9" t="s">
        <v>564</v>
      </c>
      <c r="B9" s="21" t="n">
        <v>1258.8</v>
      </c>
      <c r="C9" s="22" t="s">
        <v>139</v>
      </c>
      <c r="D9" s="8" t="n">
        <v>1</v>
      </c>
      <c r="E9" s="21" t="n">
        <f aca="false">ROUND(B9*D9,1)</f>
        <v>1258.8</v>
      </c>
      <c r="F9" s="21" t="n">
        <f aca="false">B9-E9</f>
        <v>0</v>
      </c>
      <c r="G9" s="30" t="n">
        <v>12</v>
      </c>
      <c r="H9" s="9" t="s">
        <v>215</v>
      </c>
      <c r="I9" s="24" t="n">
        <v>8</v>
      </c>
      <c r="J9" s="6" t="n">
        <f aca="false">ROUND(F9*I9,0)</f>
        <v>0</v>
      </c>
      <c r="K9" s="5" t="s">
        <v>141</v>
      </c>
      <c r="L9" s="5" t="s">
        <v>174</v>
      </c>
      <c r="M9" s="8" t="n">
        <v>0</v>
      </c>
      <c r="N9" s="5" t="n">
        <v>4</v>
      </c>
      <c r="O9" s="9" t="s">
        <v>565</v>
      </c>
      <c r="P9" s="5" t="s">
        <v>144</v>
      </c>
      <c r="Q9" s="9" t="s">
        <v>566</v>
      </c>
    </row>
    <row r="10" customFormat="false" ht="15" hidden="false" customHeight="false" outlineLevel="0" collapsed="false">
      <c r="A10" s="9" t="s">
        <v>567</v>
      </c>
      <c r="B10" s="21" t="n">
        <v>1261</v>
      </c>
      <c r="C10" s="22" t="s">
        <v>139</v>
      </c>
      <c r="D10" s="8" t="n">
        <v>1</v>
      </c>
      <c r="E10" s="21" t="n">
        <f aca="false">ROUND(B10*D10,1)</f>
        <v>1261</v>
      </c>
      <c r="F10" s="21" t="n">
        <f aca="false">B10-E10</f>
        <v>0</v>
      </c>
      <c r="G10" s="30" t="n">
        <v>12</v>
      </c>
      <c r="H10" s="9" t="s">
        <v>215</v>
      </c>
      <c r="I10" s="24" t="n">
        <v>8</v>
      </c>
      <c r="J10" s="6" t="n">
        <f aca="false">ROUND(F10*I10,0)</f>
        <v>0</v>
      </c>
      <c r="K10" s="5" t="s">
        <v>141</v>
      </c>
      <c r="L10" s="5" t="s">
        <v>174</v>
      </c>
      <c r="M10" s="8" t="n">
        <v>0</v>
      </c>
      <c r="N10" s="5" t="n">
        <v>4</v>
      </c>
      <c r="O10" s="9" t="s">
        <v>565</v>
      </c>
      <c r="P10" s="5" t="s">
        <v>144</v>
      </c>
      <c r="Q10" s="9" t="s">
        <v>566</v>
      </c>
    </row>
    <row r="11" customFormat="false" ht="15" hidden="false" customHeight="false" outlineLevel="0" collapsed="false">
      <c r="A11" s="9" t="s">
        <v>568</v>
      </c>
      <c r="B11" s="21" t="n">
        <v>1261</v>
      </c>
      <c r="C11" s="22" t="s">
        <v>139</v>
      </c>
      <c r="D11" s="8" t="n">
        <v>1</v>
      </c>
      <c r="E11" s="21" t="n">
        <f aca="false">ROUND(B11*D11,1)</f>
        <v>1261</v>
      </c>
      <c r="F11" s="21" t="n">
        <f aca="false">B11-E11</f>
        <v>0</v>
      </c>
      <c r="G11" s="30" t="n">
        <v>12</v>
      </c>
      <c r="H11" s="9" t="s">
        <v>215</v>
      </c>
      <c r="I11" s="24" t="n">
        <v>8</v>
      </c>
      <c r="J11" s="6" t="n">
        <f aca="false">ROUND(F11*I11,0)</f>
        <v>0</v>
      </c>
      <c r="K11" s="5" t="s">
        <v>141</v>
      </c>
      <c r="L11" s="5" t="s">
        <v>150</v>
      </c>
      <c r="M11" s="8" t="n">
        <v>0.25</v>
      </c>
      <c r="N11" s="5" t="n">
        <v>4</v>
      </c>
      <c r="O11" s="9" t="s">
        <v>569</v>
      </c>
      <c r="P11" s="5" t="s">
        <v>144</v>
      </c>
      <c r="Q11" s="9" t="s">
        <v>566</v>
      </c>
    </row>
    <row r="12" customFormat="false" ht="15" hidden="false" customHeight="false" outlineLevel="0" collapsed="false">
      <c r="A12" s="9" t="s">
        <v>570</v>
      </c>
      <c r="B12" s="21" t="n">
        <v>1006.8</v>
      </c>
      <c r="C12" s="26" t="s">
        <v>150</v>
      </c>
      <c r="D12" s="8" t="n">
        <v>0.75</v>
      </c>
      <c r="E12" s="21" t="n">
        <f aca="false">ROUND(B12*D12,1)</f>
        <v>755.1</v>
      </c>
      <c r="F12" s="21" t="n">
        <f aca="false">B12-E12</f>
        <v>251.7</v>
      </c>
      <c r="G12" s="30" t="n">
        <v>12</v>
      </c>
      <c r="H12" s="9" t="s">
        <v>215</v>
      </c>
      <c r="I12" s="24" t="n">
        <v>8</v>
      </c>
      <c r="J12" s="6" t="n">
        <f aca="false">ROUND(F12*I12,0)</f>
        <v>2014</v>
      </c>
      <c r="K12" s="5" t="s">
        <v>141</v>
      </c>
      <c r="L12" s="5" t="s">
        <v>174</v>
      </c>
      <c r="M12" s="8" t="n">
        <v>0</v>
      </c>
      <c r="N12" s="5" t="n">
        <v>4</v>
      </c>
      <c r="O12" s="9" t="s">
        <v>571</v>
      </c>
      <c r="P12" s="5" t="s">
        <v>144</v>
      </c>
      <c r="Q12" s="9" t="s">
        <v>566</v>
      </c>
    </row>
    <row r="13" customFormat="false" ht="15" hidden="false" customHeight="false" outlineLevel="0" collapsed="false">
      <c r="A13" s="9" t="s">
        <v>572</v>
      </c>
      <c r="B13" s="21" t="n">
        <v>1386.2</v>
      </c>
      <c r="C13" s="22" t="s">
        <v>139</v>
      </c>
      <c r="D13" s="8" t="n">
        <v>1</v>
      </c>
      <c r="E13" s="21" t="n">
        <f aca="false">ROUND(B13*D13,1)</f>
        <v>1386.2</v>
      </c>
      <c r="F13" s="21" t="n">
        <f aca="false">B13-E13</f>
        <v>0</v>
      </c>
      <c r="G13" s="30" t="n">
        <v>12</v>
      </c>
      <c r="H13" s="9" t="s">
        <v>215</v>
      </c>
      <c r="I13" s="24" t="n">
        <v>8</v>
      </c>
      <c r="J13" s="6" t="n">
        <f aca="false">ROUND(F13*I13,0)</f>
        <v>0</v>
      </c>
      <c r="K13" s="5" t="s">
        <v>141</v>
      </c>
      <c r="L13" s="5" t="s">
        <v>150</v>
      </c>
      <c r="M13" s="8" t="n">
        <v>0.25</v>
      </c>
      <c r="N13" s="5" t="n">
        <v>4</v>
      </c>
      <c r="O13" s="9" t="s">
        <v>569</v>
      </c>
      <c r="P13" s="5" t="s">
        <v>144</v>
      </c>
      <c r="Q13" s="9" t="s">
        <v>573</v>
      </c>
    </row>
    <row r="14" customFormat="false" ht="22.35" hidden="false" customHeight="false" outlineLevel="0" collapsed="false">
      <c r="A14" s="9" t="s">
        <v>574</v>
      </c>
      <c r="B14" s="21" t="n">
        <v>1385.6</v>
      </c>
      <c r="C14" s="22" t="s">
        <v>139</v>
      </c>
      <c r="D14" s="8" t="n">
        <v>1</v>
      </c>
      <c r="E14" s="21" t="n">
        <f aca="false">ROUND(B14*D14,1)</f>
        <v>1385.6</v>
      </c>
      <c r="F14" s="21" t="n">
        <f aca="false">B14-E14</f>
        <v>0</v>
      </c>
      <c r="G14" s="30" t="n">
        <v>12</v>
      </c>
      <c r="H14" s="9" t="s">
        <v>215</v>
      </c>
      <c r="I14" s="24" t="n">
        <v>8</v>
      </c>
      <c r="J14" s="6" t="n">
        <f aca="false">ROUND(F14*I14,0)</f>
        <v>0</v>
      </c>
      <c r="K14" s="5" t="s">
        <v>141</v>
      </c>
      <c r="L14" s="5" t="s">
        <v>174</v>
      </c>
      <c r="M14" s="8" t="n">
        <v>0</v>
      </c>
      <c r="N14" s="5" t="n">
        <v>4</v>
      </c>
      <c r="O14" s="9" t="s">
        <v>562</v>
      </c>
      <c r="P14" s="5" t="s">
        <v>144</v>
      </c>
      <c r="Q14" s="9" t="s">
        <v>575</v>
      </c>
    </row>
    <row r="15" customFormat="false" ht="15" hidden="false" customHeight="false" outlineLevel="0" collapsed="false">
      <c r="A15" s="9" t="s">
        <v>576</v>
      </c>
      <c r="B15" s="21" t="n">
        <v>1384</v>
      </c>
      <c r="C15" s="26" t="s">
        <v>150</v>
      </c>
      <c r="D15" s="8" t="n">
        <v>0.75</v>
      </c>
      <c r="E15" s="21" t="n">
        <f aca="false">ROUND(B15*D15,1)</f>
        <v>1038</v>
      </c>
      <c r="F15" s="21" t="n">
        <f aca="false">B15-E15</f>
        <v>346</v>
      </c>
      <c r="G15" s="30" t="n">
        <v>12</v>
      </c>
      <c r="H15" s="9" t="s">
        <v>215</v>
      </c>
      <c r="I15" s="24" t="n">
        <v>8</v>
      </c>
      <c r="J15" s="6" t="n">
        <f aca="false">ROUND(F15*I15,0)</f>
        <v>2768</v>
      </c>
      <c r="K15" s="5" t="s">
        <v>141</v>
      </c>
      <c r="L15" s="5" t="s">
        <v>150</v>
      </c>
      <c r="M15" s="8" t="n">
        <v>0.38</v>
      </c>
      <c r="N15" s="5" t="n">
        <v>4</v>
      </c>
      <c r="O15" s="9" t="s">
        <v>279</v>
      </c>
      <c r="P15" s="5" t="s">
        <v>144</v>
      </c>
      <c r="Q15" s="9" t="s">
        <v>566</v>
      </c>
    </row>
    <row r="16" customFormat="false" ht="15" hidden="false" customHeight="false" outlineLevel="0" collapsed="false">
      <c r="A16" s="9" t="s">
        <v>577</v>
      </c>
      <c r="B16" s="21" t="n">
        <v>1403.6</v>
      </c>
      <c r="C16" s="26" t="s">
        <v>150</v>
      </c>
      <c r="D16" s="8" t="n">
        <v>0.75</v>
      </c>
      <c r="E16" s="21" t="n">
        <f aca="false">ROUND(B16*D16,1)</f>
        <v>1052.7</v>
      </c>
      <c r="F16" s="21" t="n">
        <f aca="false">B16-E16</f>
        <v>350.9</v>
      </c>
      <c r="G16" s="30" t="n">
        <v>12</v>
      </c>
      <c r="H16" s="9" t="s">
        <v>215</v>
      </c>
      <c r="I16" s="24" t="n">
        <v>8</v>
      </c>
      <c r="J16" s="6" t="n">
        <f aca="false">ROUND(F16*I16,0)</f>
        <v>2807</v>
      </c>
      <c r="K16" s="5" t="s">
        <v>141</v>
      </c>
      <c r="L16" s="5" t="s">
        <v>150</v>
      </c>
      <c r="M16" s="8" t="n">
        <v>0.38</v>
      </c>
      <c r="N16" s="5" t="n">
        <v>4</v>
      </c>
      <c r="O16" s="9" t="s">
        <v>279</v>
      </c>
      <c r="P16" s="5" t="s">
        <v>144</v>
      </c>
      <c r="Q16" s="9" t="s">
        <v>566</v>
      </c>
    </row>
    <row r="17" customFormat="false" ht="22.35" hidden="false" customHeight="false" outlineLevel="0" collapsed="false">
      <c r="A17" s="9" t="s">
        <v>578</v>
      </c>
      <c r="B17" s="21" t="n">
        <v>1013.2</v>
      </c>
      <c r="C17" s="26" t="s">
        <v>150</v>
      </c>
      <c r="D17" s="8" t="n">
        <v>0.67</v>
      </c>
      <c r="E17" s="21" t="n">
        <f aca="false">ROUND(B17*D17,1)</f>
        <v>678.8</v>
      </c>
      <c r="F17" s="21" t="n">
        <f aca="false">B17-E17</f>
        <v>334.4</v>
      </c>
      <c r="G17" s="30" t="n">
        <v>12</v>
      </c>
      <c r="H17" s="9" t="s">
        <v>215</v>
      </c>
      <c r="I17" s="24" t="n">
        <v>8</v>
      </c>
      <c r="J17" s="6" t="n">
        <f aca="false">ROUND(F17*I17,0)</f>
        <v>2675</v>
      </c>
      <c r="K17" s="5" t="s">
        <v>141</v>
      </c>
      <c r="L17" s="5" t="s">
        <v>150</v>
      </c>
      <c r="M17" s="8" t="n">
        <v>0.5</v>
      </c>
      <c r="N17" s="5" t="n">
        <v>3</v>
      </c>
      <c r="O17" s="9" t="s">
        <v>579</v>
      </c>
      <c r="P17" s="5" t="s">
        <v>144</v>
      </c>
      <c r="Q17" s="9" t="s">
        <v>580</v>
      </c>
    </row>
    <row r="18" customFormat="false" ht="32.8" hidden="false" customHeight="false" outlineLevel="0" collapsed="false">
      <c r="A18" s="9" t="s">
        <v>581</v>
      </c>
      <c r="B18" s="21" t="n">
        <v>1391.8</v>
      </c>
      <c r="C18" s="26" t="s">
        <v>150</v>
      </c>
      <c r="D18" s="8" t="n">
        <v>0.75</v>
      </c>
      <c r="E18" s="21" t="n">
        <f aca="false">ROUND(B18*D18,1)</f>
        <v>1043.9</v>
      </c>
      <c r="F18" s="21" t="n">
        <f aca="false">B18-E18</f>
        <v>347.9</v>
      </c>
      <c r="G18" s="30" t="n">
        <v>12</v>
      </c>
      <c r="H18" s="9" t="s">
        <v>215</v>
      </c>
      <c r="I18" s="24" t="n">
        <v>8</v>
      </c>
      <c r="J18" s="6" t="n">
        <f aca="false">ROUND(F18*I18,0)</f>
        <v>2783</v>
      </c>
      <c r="K18" s="5" t="s">
        <v>141</v>
      </c>
      <c r="L18" s="5" t="s">
        <v>150</v>
      </c>
      <c r="M18" s="8" t="n">
        <v>0.25</v>
      </c>
      <c r="N18" s="5" t="n">
        <v>4</v>
      </c>
      <c r="O18" s="9" t="s">
        <v>279</v>
      </c>
      <c r="P18" s="5" t="s">
        <v>144</v>
      </c>
      <c r="Q18" s="9" t="s">
        <v>582</v>
      </c>
    </row>
    <row r="19" customFormat="false" ht="22.35" hidden="false" customHeight="false" outlineLevel="0" collapsed="false">
      <c r="A19" s="9" t="s">
        <v>583</v>
      </c>
      <c r="B19" s="21" t="n">
        <v>1567</v>
      </c>
      <c r="C19" s="22" t="s">
        <v>139</v>
      </c>
      <c r="D19" s="8" t="n">
        <v>1</v>
      </c>
      <c r="E19" s="21" t="n">
        <f aca="false">ROUND(B19*D19,1)</f>
        <v>1567</v>
      </c>
      <c r="F19" s="21" t="n">
        <f aca="false">B19-E19</f>
        <v>0</v>
      </c>
      <c r="G19" s="30" t="n">
        <v>23</v>
      </c>
      <c r="H19" s="9" t="s">
        <v>215</v>
      </c>
      <c r="I19" s="24" t="n">
        <v>15</v>
      </c>
      <c r="J19" s="6" t="n">
        <f aca="false">ROUND(F19*I19,0)</f>
        <v>0</v>
      </c>
      <c r="K19" s="5" t="s">
        <v>141</v>
      </c>
      <c r="L19" s="5" t="s">
        <v>142</v>
      </c>
      <c r="M19" s="8" t="n">
        <v>1</v>
      </c>
      <c r="N19" s="5" t="n">
        <v>2</v>
      </c>
      <c r="O19" s="9" t="s">
        <v>161</v>
      </c>
      <c r="P19" s="5" t="s">
        <v>144</v>
      </c>
      <c r="Q19" s="9" t="s">
        <v>584</v>
      </c>
    </row>
    <row r="20" customFormat="false" ht="32.8" hidden="false" customHeight="false" outlineLevel="0" collapsed="false">
      <c r="A20" s="9" t="s">
        <v>171</v>
      </c>
      <c r="B20" s="21" t="n">
        <v>811.3</v>
      </c>
      <c r="C20" s="22" t="s">
        <v>139</v>
      </c>
      <c r="D20" s="8" t="n">
        <v>1</v>
      </c>
      <c r="E20" s="21" t="n">
        <f aca="false">ROUND(B20*D20,1)</f>
        <v>811.3</v>
      </c>
      <c r="F20" s="21" t="n">
        <f aca="false">B20-E20</f>
        <v>0</v>
      </c>
      <c r="G20" s="23" t="n">
        <v>12</v>
      </c>
      <c r="H20" s="9" t="s">
        <v>211</v>
      </c>
      <c r="I20" s="24" t="n">
        <v>8</v>
      </c>
      <c r="J20" s="6" t="n">
        <f aca="false">ROUND(F20*I20,0)</f>
        <v>0</v>
      </c>
      <c r="K20" s="5" t="s">
        <v>141</v>
      </c>
      <c r="L20" s="5" t="s">
        <v>174</v>
      </c>
      <c r="M20" s="8" t="n">
        <v>0.24</v>
      </c>
      <c r="N20" s="5" t="n">
        <v>3</v>
      </c>
      <c r="O20" s="9" t="s">
        <v>308</v>
      </c>
      <c r="P20" s="5" t="s">
        <v>144</v>
      </c>
      <c r="Q20" s="9" t="s">
        <v>585</v>
      </c>
    </row>
    <row r="21" customFormat="false" ht="22.35" hidden="false" customHeight="false" outlineLevel="0" collapsed="false">
      <c r="A21" s="9" t="s">
        <v>149</v>
      </c>
      <c r="B21" s="21" t="n">
        <v>750.4</v>
      </c>
      <c r="C21" s="22" t="s">
        <v>139</v>
      </c>
      <c r="D21" s="8" t="n">
        <v>1</v>
      </c>
      <c r="E21" s="21" t="n">
        <f aca="false">ROUND(B21*D21,1)</f>
        <v>750.4</v>
      </c>
      <c r="F21" s="21" t="n">
        <f aca="false">B21-E21</f>
        <v>0</v>
      </c>
      <c r="G21" s="23" t="n">
        <v>12</v>
      </c>
      <c r="H21" s="9" t="s">
        <v>211</v>
      </c>
      <c r="I21" s="24" t="n">
        <v>8</v>
      </c>
      <c r="J21" s="6" t="n">
        <f aca="false">ROUND(F21*I21,0)</f>
        <v>0</v>
      </c>
      <c r="K21" s="5" t="s">
        <v>314</v>
      </c>
      <c r="L21" s="5" t="s">
        <v>174</v>
      </c>
      <c r="M21" s="8" t="n">
        <v>0</v>
      </c>
      <c r="N21" s="5" t="n">
        <v>1</v>
      </c>
      <c r="O21" s="9" t="s">
        <v>151</v>
      </c>
      <c r="P21" s="5" t="s">
        <v>144</v>
      </c>
      <c r="Q21" s="9" t="s">
        <v>586</v>
      </c>
    </row>
    <row r="22" customFormat="false" ht="22.35" hidden="false" customHeight="false" outlineLevel="0" collapsed="false">
      <c r="A22" s="9" t="s">
        <v>427</v>
      </c>
      <c r="B22" s="21" t="n">
        <v>684.1</v>
      </c>
      <c r="C22" s="22" t="s">
        <v>139</v>
      </c>
      <c r="D22" s="8" t="n">
        <v>1</v>
      </c>
      <c r="E22" s="21" t="n">
        <f aca="false">ROUND(B22*D22,1)</f>
        <v>684.1</v>
      </c>
      <c r="F22" s="21" t="n">
        <f aca="false">B22-E22</f>
        <v>0</v>
      </c>
      <c r="G22" s="30" t="n">
        <v>12</v>
      </c>
      <c r="H22" s="9" t="s">
        <v>215</v>
      </c>
      <c r="I22" s="24" t="n">
        <v>8</v>
      </c>
      <c r="J22" s="6" t="n">
        <f aca="false">ROUND(F22*I22,0)</f>
        <v>0</v>
      </c>
      <c r="K22" s="5" t="s">
        <v>141</v>
      </c>
      <c r="L22" s="5" t="s">
        <v>174</v>
      </c>
      <c r="M22" s="8" t="n">
        <v>0</v>
      </c>
      <c r="N22" s="5" t="n">
        <v>2</v>
      </c>
      <c r="O22" s="9" t="s">
        <v>587</v>
      </c>
      <c r="P22" s="5" t="s">
        <v>144</v>
      </c>
      <c r="Q22" s="9" t="s">
        <v>588</v>
      </c>
    </row>
    <row r="23" customFormat="false" ht="22.35" hidden="false" customHeight="false" outlineLevel="0" collapsed="false">
      <c r="A23" s="9" t="s">
        <v>589</v>
      </c>
      <c r="B23" s="21" t="n">
        <v>674.2</v>
      </c>
      <c r="C23" s="22" t="s">
        <v>139</v>
      </c>
      <c r="D23" s="8" t="n">
        <v>1</v>
      </c>
      <c r="E23" s="21" t="n">
        <f aca="false">ROUND(B23*D23,1)</f>
        <v>674.2</v>
      </c>
      <c r="F23" s="21" t="n">
        <f aca="false">B23-E23</f>
        <v>0</v>
      </c>
      <c r="G23" s="30" t="n">
        <v>12</v>
      </c>
      <c r="H23" s="9" t="s">
        <v>215</v>
      </c>
      <c r="I23" s="24" t="n">
        <v>8</v>
      </c>
      <c r="J23" s="6" t="n">
        <f aca="false">ROUND(F23*I23,0)</f>
        <v>0</v>
      </c>
      <c r="K23" s="5" t="s">
        <v>314</v>
      </c>
      <c r="L23" s="5" t="s">
        <v>217</v>
      </c>
      <c r="M23" s="8" t="s">
        <v>218</v>
      </c>
      <c r="N23" s="5" t="n">
        <v>1</v>
      </c>
      <c r="O23" s="9" t="s">
        <v>590</v>
      </c>
      <c r="P23" s="5" t="s">
        <v>144</v>
      </c>
      <c r="Q23" s="9" t="s">
        <v>591</v>
      </c>
    </row>
    <row r="24" customFormat="false" ht="22.35" hidden="false" customHeight="false" outlineLevel="0" collapsed="false">
      <c r="A24" s="9" t="s">
        <v>592</v>
      </c>
      <c r="B24" s="21" t="n">
        <v>753.4</v>
      </c>
      <c r="C24" s="22" t="s">
        <v>139</v>
      </c>
      <c r="D24" s="8" t="n">
        <v>1</v>
      </c>
      <c r="E24" s="21" t="n">
        <f aca="false">ROUND(B24*D24,1)</f>
        <v>753.4</v>
      </c>
      <c r="F24" s="21" t="n">
        <f aca="false">B24-E24</f>
        <v>0</v>
      </c>
      <c r="G24" s="30" t="n">
        <v>12</v>
      </c>
      <c r="H24" s="9" t="s">
        <v>215</v>
      </c>
      <c r="I24" s="24" t="n">
        <v>8</v>
      </c>
      <c r="J24" s="6" t="n">
        <f aca="false">ROUND(F24*I24,0)</f>
        <v>0</v>
      </c>
      <c r="K24" s="5" t="s">
        <v>141</v>
      </c>
      <c r="L24" s="5" t="s">
        <v>174</v>
      </c>
      <c r="M24" s="8" t="n">
        <v>0</v>
      </c>
      <c r="N24" s="5" t="n">
        <v>2</v>
      </c>
      <c r="O24" s="9" t="s">
        <v>587</v>
      </c>
      <c r="P24" s="5" t="s">
        <v>144</v>
      </c>
      <c r="Q24" s="9" t="s">
        <v>593</v>
      </c>
    </row>
    <row r="25" customFormat="false" ht="32.8" hidden="false" customHeight="false" outlineLevel="0" collapsed="false">
      <c r="A25" s="9" t="s">
        <v>168</v>
      </c>
      <c r="B25" s="21" t="n">
        <v>1258.2</v>
      </c>
      <c r="C25" s="26" t="s">
        <v>150</v>
      </c>
      <c r="D25" s="8" t="n">
        <v>0.43</v>
      </c>
      <c r="E25" s="21" t="n">
        <f aca="false">ROUND(B25*D25,1)</f>
        <v>541</v>
      </c>
      <c r="F25" s="21" t="n">
        <f aca="false">B25-E25</f>
        <v>717.2</v>
      </c>
      <c r="G25" s="23" t="n">
        <v>12</v>
      </c>
      <c r="H25" s="9" t="s">
        <v>211</v>
      </c>
      <c r="I25" s="24" t="n">
        <v>8</v>
      </c>
      <c r="J25" s="6" t="n">
        <f aca="false">ROUND(F25*I25,0)</f>
        <v>5738</v>
      </c>
      <c r="K25" s="5" t="s">
        <v>141</v>
      </c>
      <c r="L25" s="5" t="s">
        <v>150</v>
      </c>
      <c r="M25" s="8" t="n">
        <v>0.36</v>
      </c>
      <c r="N25" s="5" t="n">
        <v>12</v>
      </c>
      <c r="O25" s="9" t="s">
        <v>594</v>
      </c>
      <c r="P25" s="5" t="s">
        <v>144</v>
      </c>
      <c r="Q25" s="9" t="s">
        <v>595</v>
      </c>
    </row>
    <row r="26" customFormat="false" ht="22.35" hidden="false" customHeight="false" outlineLevel="0" collapsed="false">
      <c r="A26" s="9" t="s">
        <v>596</v>
      </c>
      <c r="B26" s="21" t="n">
        <v>1370</v>
      </c>
      <c r="C26" s="26" t="s">
        <v>150</v>
      </c>
      <c r="D26" s="8" t="n">
        <v>0.84</v>
      </c>
      <c r="E26" s="21" t="n">
        <f aca="false">ROUND(B26*D26,1)</f>
        <v>1150.8</v>
      </c>
      <c r="F26" s="21" t="n">
        <f aca="false">B26-E26</f>
        <v>219.2</v>
      </c>
      <c r="G26" s="30" t="n">
        <v>12</v>
      </c>
      <c r="H26" s="9" t="s">
        <v>215</v>
      </c>
      <c r="I26" s="24" t="n">
        <v>8</v>
      </c>
      <c r="J26" s="6" t="n">
        <f aca="false">ROUND(F26*I26,0)</f>
        <v>1754</v>
      </c>
      <c r="K26" s="5" t="s">
        <v>216</v>
      </c>
      <c r="L26" s="5" t="s">
        <v>217</v>
      </c>
      <c r="M26" s="8" t="s">
        <v>218</v>
      </c>
      <c r="N26" s="5" t="n">
        <v>0</v>
      </c>
      <c r="O26" s="9" t="s">
        <v>219</v>
      </c>
      <c r="P26" s="5" t="s">
        <v>220</v>
      </c>
      <c r="Q26" s="9" t="s">
        <v>597</v>
      </c>
    </row>
    <row r="27" customFormat="false" ht="22.35" hidden="false" customHeight="false" outlineLevel="0" collapsed="false">
      <c r="A27" s="9" t="s">
        <v>598</v>
      </c>
      <c r="B27" s="21" t="n">
        <v>706</v>
      </c>
      <c r="C27" s="26" t="s">
        <v>150</v>
      </c>
      <c r="D27" s="8" t="n">
        <v>0.84</v>
      </c>
      <c r="E27" s="21" t="n">
        <f aca="false">ROUND(B27*D27,1)</f>
        <v>593</v>
      </c>
      <c r="F27" s="21" t="n">
        <f aca="false">B27-E27</f>
        <v>113</v>
      </c>
      <c r="G27" s="23" t="n">
        <v>12</v>
      </c>
      <c r="H27" s="9" t="s">
        <v>211</v>
      </c>
      <c r="I27" s="24" t="n">
        <v>8</v>
      </c>
      <c r="J27" s="6" t="n">
        <f aca="false">ROUND(F27*I27,0)</f>
        <v>904</v>
      </c>
      <c r="K27" s="5" t="s">
        <v>216</v>
      </c>
      <c r="L27" s="5" t="s">
        <v>217</v>
      </c>
      <c r="M27" s="8" t="s">
        <v>218</v>
      </c>
      <c r="N27" s="5" t="n">
        <v>0</v>
      </c>
      <c r="O27" s="9" t="s">
        <v>219</v>
      </c>
      <c r="P27" s="5" t="s">
        <v>220</v>
      </c>
      <c r="Q27" s="9" t="s">
        <v>599</v>
      </c>
    </row>
    <row r="28" customFormat="false" ht="15" hidden="false" customHeight="false" outlineLevel="0" collapsed="false">
      <c r="A28" s="12" t="s">
        <v>189</v>
      </c>
      <c r="B28" s="13" t="n">
        <f aca="false">SUM(B6:B27)</f>
        <v>23700.1</v>
      </c>
      <c r="C28" s="12"/>
      <c r="D28" s="14" t="n">
        <f aca="false">IF(B28=0,0,E28/B28)</f>
        <v>0.871958346167316</v>
      </c>
      <c r="E28" s="13" t="n">
        <f aca="false">SUM(E6:E27)</f>
        <v>20665.5</v>
      </c>
      <c r="F28" s="13" t="n">
        <f aca="false">SUM(F6:F27)</f>
        <v>3034.6</v>
      </c>
      <c r="G28" s="12"/>
      <c r="H28" s="12"/>
      <c r="I28" s="12"/>
      <c r="J28" s="13" t="n">
        <f aca="false">SUM(J6:J27)</f>
        <v>24277</v>
      </c>
      <c r="K28" s="12"/>
      <c r="L28" s="12"/>
      <c r="M28" s="12"/>
      <c r="N28" s="12"/>
      <c r="O28" s="12"/>
      <c r="P28" s="12"/>
      <c r="Q28" s="12"/>
    </row>
    <row r="30" customFormat="false" ht="15" hidden="false" customHeight="false" outlineLevel="0" collapsed="false">
      <c r="A30" s="16" t="s">
        <v>190</v>
      </c>
      <c r="D30" s="27" t="n">
        <f aca="false">J28</f>
        <v>24277</v>
      </c>
      <c r="F30" s="20" t="s">
        <v>191</v>
      </c>
    </row>
    <row r="31" customFormat="false" ht="15" hidden="false" customHeight="false" outlineLevel="0" collapsed="false">
      <c r="A31" s="16" t="s">
        <v>192</v>
      </c>
      <c r="D31" s="27" t="n">
        <f aca="false">F28*8</f>
        <v>24276.8</v>
      </c>
      <c r="F31" s="20" t="s">
        <v>193</v>
      </c>
    </row>
    <row r="32" customFormat="false" ht="15" hidden="false" customHeight="false" outlineLevel="0" collapsed="false">
      <c r="A32" s="16" t="s">
        <v>194</v>
      </c>
      <c r="D32" s="28" t="n">
        <v>0</v>
      </c>
      <c r="F32" s="20" t="s">
        <v>195</v>
      </c>
    </row>
    <row r="33" customFormat="false" ht="15" hidden="false" customHeight="false" outlineLevel="0" collapsed="false">
      <c r="A33" s="16" t="s">
        <v>196</v>
      </c>
      <c r="D33" s="29" t="n">
        <v>0.23</v>
      </c>
      <c r="F33" s="20" t="s">
        <v>75</v>
      </c>
    </row>
    <row r="34" customFormat="false" ht="15" hidden="false" customHeight="false" outlineLevel="0" collapsed="false">
      <c r="A34" s="16" t="s">
        <v>197</v>
      </c>
      <c r="D34" s="27" t="n">
        <f aca="false">(B28-D32)*(1-D33)</f>
        <v>18249.077</v>
      </c>
      <c r="F34" s="20" t="s">
        <v>198</v>
      </c>
    </row>
    <row r="35" customFormat="false" ht="15" hidden="false" customHeight="false" outlineLevel="0" collapsed="false">
      <c r="A35" s="16" t="s">
        <v>199</v>
      </c>
      <c r="D35" s="27" t="n">
        <f aca="false">ROUND(D34*4.066,0)</f>
        <v>74201</v>
      </c>
      <c r="F35" s="20" t="s">
        <v>600</v>
      </c>
    </row>
    <row r="36" customFormat="false" ht="15" hidden="false" customHeight="false" outlineLevel="0" collapsed="false">
      <c r="A36" s="16" t="s">
        <v>201</v>
      </c>
      <c r="D36" s="28" t="n">
        <v>70</v>
      </c>
    </row>
    <row r="37" customFormat="false" ht="15" hidden="false" customHeight="false" outlineLevel="0" collapsed="false">
      <c r="A37" s="16" t="s">
        <v>202</v>
      </c>
      <c r="D37" s="28" t="n">
        <v>0</v>
      </c>
      <c r="F37" s="20" t="s">
        <v>203</v>
      </c>
    </row>
    <row r="38" customFormat="false" ht="15" hidden="false" customHeight="false" outlineLevel="0" collapsed="false">
      <c r="A38" s="16" t="s">
        <v>204</v>
      </c>
      <c r="D38" s="28" t="n">
        <v>18922</v>
      </c>
    </row>
    <row r="39" customFormat="false" ht="15" hidden="false" customHeight="false" outlineLevel="0" collapsed="false">
      <c r="A39" s="16" t="s">
        <v>205</v>
      </c>
      <c r="D39" s="28" t="n">
        <v>1744</v>
      </c>
      <c r="F39" s="20" t="s">
        <v>206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3"/>
    <col collapsed="false" customWidth="true" hidden="false" outlineLevel="0" max="3" min="3" style="0" width="15"/>
    <col collapsed="false" customWidth="true" hidden="false" outlineLevel="0" max="4" min="4" style="0" width="12"/>
    <col collapsed="false" customWidth="true" hidden="false" outlineLevel="0" max="6" min="5" style="0" width="13"/>
    <col collapsed="false" customWidth="true" hidden="false" outlineLevel="0" max="7" min="7" style="0" width="11"/>
    <col collapsed="false" customWidth="true" hidden="false" outlineLevel="0" max="8" min="8" style="0" width="20"/>
    <col collapsed="false" customWidth="true" hidden="false" outlineLevel="0" max="10" min="9" style="0" width="13"/>
    <col collapsed="false" customWidth="true" hidden="false" outlineLevel="0" max="11" min="11" style="0" width="10"/>
    <col collapsed="false" customWidth="true" hidden="false" outlineLevel="0" max="12" min="12" style="0" width="13"/>
    <col collapsed="false" customWidth="true" hidden="false" outlineLevel="0" max="14" min="13" style="0" width="9"/>
    <col collapsed="false" customWidth="true" hidden="false" outlineLevel="0" max="15" min="15" style="0" width="46"/>
    <col collapsed="false" customWidth="true" hidden="false" outlineLevel="0" max="16" min="16" style="0" width="17"/>
    <col collapsed="false" customWidth="true" hidden="false" outlineLevel="0" max="17" min="17" style="0" width="52"/>
  </cols>
  <sheetData>
    <row r="1" customFormat="false" ht="16.15" hidden="false" customHeight="false" outlineLevel="0" collapsed="false">
      <c r="A1" s="18" t="s">
        <v>601</v>
      </c>
    </row>
    <row r="2" customFormat="false" ht="15" hidden="false" customHeight="false" outlineLevel="0" collapsed="false">
      <c r="A2" s="19" t="s">
        <v>602</v>
      </c>
    </row>
    <row r="3" customFormat="false" ht="15" hidden="false" customHeight="false" outlineLevel="0" collapsed="false">
      <c r="A3" s="20" t="s">
        <v>603</v>
      </c>
    </row>
    <row r="5" customFormat="false" ht="32.8" hidden="false" customHeight="false" outlineLevel="0" collapsed="false">
      <c r="A5" s="4" t="s">
        <v>122</v>
      </c>
      <c r="B5" s="4" t="s">
        <v>123</v>
      </c>
      <c r="C5" s="4" t="s">
        <v>124</v>
      </c>
      <c r="D5" s="4" t="s">
        <v>125</v>
      </c>
      <c r="E5" s="4" t="s">
        <v>126</v>
      </c>
      <c r="F5" s="4" t="s">
        <v>12</v>
      </c>
      <c r="G5" s="4" t="s">
        <v>127</v>
      </c>
      <c r="H5" s="4" t="s">
        <v>128</v>
      </c>
      <c r="I5" s="4" t="s">
        <v>129</v>
      </c>
      <c r="J5" s="4" t="s">
        <v>130</v>
      </c>
      <c r="K5" s="4" t="s">
        <v>131</v>
      </c>
      <c r="L5" s="4" t="s">
        <v>132</v>
      </c>
      <c r="M5" s="4" t="s">
        <v>133</v>
      </c>
      <c r="N5" s="4" t="s">
        <v>134</v>
      </c>
      <c r="O5" s="4" t="s">
        <v>135</v>
      </c>
      <c r="P5" s="4" t="s">
        <v>136</v>
      </c>
      <c r="Q5" s="4" t="s">
        <v>137</v>
      </c>
    </row>
    <row r="6" customFormat="false" ht="22.35" hidden="false" customHeight="false" outlineLevel="0" collapsed="false">
      <c r="A6" s="9" t="s">
        <v>149</v>
      </c>
      <c r="B6" s="21" t="n">
        <v>173.9</v>
      </c>
      <c r="C6" s="22" t="s">
        <v>139</v>
      </c>
      <c r="D6" s="8" t="n">
        <v>1</v>
      </c>
      <c r="E6" s="21" t="n">
        <f aca="false">ROUND(B6*D6,1)</f>
        <v>173.9</v>
      </c>
      <c r="F6" s="21" t="n">
        <f aca="false">B6-E6</f>
        <v>0</v>
      </c>
      <c r="G6" s="30" t="n">
        <v>20</v>
      </c>
      <c r="H6" s="9" t="s">
        <v>215</v>
      </c>
      <c r="I6" s="24" t="n">
        <v>15</v>
      </c>
      <c r="J6" s="6" t="n">
        <f aca="false">ROUND(F6*I6,0)</f>
        <v>0</v>
      </c>
      <c r="K6" s="5" t="s">
        <v>141</v>
      </c>
      <c r="L6" s="5" t="s">
        <v>174</v>
      </c>
      <c r="M6" s="8" t="n">
        <v>0</v>
      </c>
      <c r="N6" s="5" t="n">
        <v>1</v>
      </c>
      <c r="O6" s="9" t="s">
        <v>151</v>
      </c>
      <c r="P6" s="5" t="s">
        <v>144</v>
      </c>
      <c r="Q6" s="9" t="s">
        <v>604</v>
      </c>
    </row>
    <row r="7" customFormat="false" ht="43.25" hidden="false" customHeight="false" outlineLevel="0" collapsed="false">
      <c r="A7" s="9" t="s">
        <v>171</v>
      </c>
      <c r="B7" s="21" t="n">
        <v>92.8</v>
      </c>
      <c r="C7" s="26" t="s">
        <v>150</v>
      </c>
      <c r="D7" s="8" t="n">
        <v>0.9</v>
      </c>
      <c r="E7" s="21" t="n">
        <f aca="false">ROUND(B7*D7,1)</f>
        <v>83.5</v>
      </c>
      <c r="F7" s="21" t="n">
        <f aca="false">B7-E7</f>
        <v>9.3</v>
      </c>
      <c r="G7" s="23" t="n">
        <v>12</v>
      </c>
      <c r="H7" s="9" t="s">
        <v>211</v>
      </c>
      <c r="I7" s="24" t="n">
        <v>8</v>
      </c>
      <c r="J7" s="6" t="n">
        <f aca="false">ROUND(F7*I7,0)</f>
        <v>74</v>
      </c>
      <c r="K7" s="5" t="s">
        <v>216</v>
      </c>
      <c r="L7" s="5" t="s">
        <v>217</v>
      </c>
      <c r="M7" s="8" t="s">
        <v>218</v>
      </c>
      <c r="N7" s="5" t="n">
        <v>0</v>
      </c>
      <c r="O7" s="9" t="s">
        <v>605</v>
      </c>
      <c r="P7" s="5" t="s">
        <v>144</v>
      </c>
      <c r="Q7" s="9" t="s">
        <v>606</v>
      </c>
    </row>
    <row r="8" customFormat="false" ht="15" hidden="false" customHeight="false" outlineLevel="0" collapsed="false">
      <c r="A8" s="9" t="s">
        <v>417</v>
      </c>
      <c r="B8" s="21" t="n">
        <v>183.9</v>
      </c>
      <c r="C8" s="25" t="s">
        <v>154</v>
      </c>
      <c r="D8" s="8" t="n">
        <v>0</v>
      </c>
      <c r="E8" s="21" t="n">
        <f aca="false">ROUND(B8*D8,1)</f>
        <v>0</v>
      </c>
      <c r="F8" s="21" t="n">
        <f aca="false">B8-E8</f>
        <v>183.9</v>
      </c>
      <c r="G8" s="23" t="n">
        <v>12</v>
      </c>
      <c r="H8" s="9" t="s">
        <v>211</v>
      </c>
      <c r="I8" s="24" t="n">
        <v>8</v>
      </c>
      <c r="J8" s="6" t="n">
        <f aca="false">ROUND(F8*I8,0)</f>
        <v>1471</v>
      </c>
      <c r="K8" s="5" t="s">
        <v>141</v>
      </c>
      <c r="L8" s="5" t="s">
        <v>174</v>
      </c>
      <c r="M8" s="8" t="n">
        <v>0</v>
      </c>
      <c r="N8" s="5" t="n">
        <v>1</v>
      </c>
      <c r="O8" s="9" t="s">
        <v>175</v>
      </c>
      <c r="P8" s="5" t="s">
        <v>144</v>
      </c>
      <c r="Q8" s="9" t="s">
        <v>607</v>
      </c>
    </row>
    <row r="9" customFormat="false" ht="15" hidden="false" customHeight="false" outlineLevel="0" collapsed="false">
      <c r="A9" s="9" t="s">
        <v>290</v>
      </c>
      <c r="B9" s="21" t="n">
        <v>184.6</v>
      </c>
      <c r="C9" s="25" t="s">
        <v>154</v>
      </c>
      <c r="D9" s="8" t="n">
        <v>0</v>
      </c>
      <c r="E9" s="21" t="n">
        <f aca="false">ROUND(B9*D9,1)</f>
        <v>0</v>
      </c>
      <c r="F9" s="21" t="n">
        <f aca="false">B9-E9</f>
        <v>184.6</v>
      </c>
      <c r="G9" s="30" t="n">
        <v>12</v>
      </c>
      <c r="H9" s="9" t="s">
        <v>215</v>
      </c>
      <c r="I9" s="24" t="n">
        <v>8</v>
      </c>
      <c r="J9" s="6" t="n">
        <f aca="false">ROUND(F9*I9,0)</f>
        <v>1477</v>
      </c>
      <c r="K9" s="5" t="s">
        <v>141</v>
      </c>
      <c r="L9" s="5" t="s">
        <v>174</v>
      </c>
      <c r="M9" s="8" t="n">
        <v>0</v>
      </c>
      <c r="N9" s="5" t="n">
        <v>1</v>
      </c>
      <c r="O9" s="9" t="s">
        <v>175</v>
      </c>
      <c r="P9" s="5" t="s">
        <v>144</v>
      </c>
      <c r="Q9" s="9" t="s">
        <v>607</v>
      </c>
    </row>
    <row r="10" customFormat="false" ht="15" hidden="false" customHeight="false" outlineLevel="0" collapsed="false">
      <c r="A10" s="9" t="s">
        <v>294</v>
      </c>
      <c r="B10" s="21" t="n">
        <v>184.7</v>
      </c>
      <c r="C10" s="25" t="s">
        <v>154</v>
      </c>
      <c r="D10" s="8" t="n">
        <v>0</v>
      </c>
      <c r="E10" s="21" t="n">
        <f aca="false">ROUND(B10*D10,1)</f>
        <v>0</v>
      </c>
      <c r="F10" s="21" t="n">
        <f aca="false">B10-E10</f>
        <v>184.7</v>
      </c>
      <c r="G10" s="30" t="n">
        <v>12</v>
      </c>
      <c r="H10" s="9" t="s">
        <v>215</v>
      </c>
      <c r="I10" s="24" t="n">
        <v>8</v>
      </c>
      <c r="J10" s="6" t="n">
        <f aca="false">ROUND(F10*I10,0)</f>
        <v>1478</v>
      </c>
      <c r="K10" s="5" t="s">
        <v>141</v>
      </c>
      <c r="L10" s="5" t="s">
        <v>150</v>
      </c>
      <c r="M10" s="8" t="n">
        <v>0.5</v>
      </c>
      <c r="N10" s="5" t="n">
        <v>1</v>
      </c>
      <c r="O10" s="9" t="s">
        <v>175</v>
      </c>
      <c r="P10" s="5" t="s">
        <v>144</v>
      </c>
      <c r="Q10" s="9" t="s">
        <v>607</v>
      </c>
    </row>
    <row r="11" customFormat="false" ht="15" hidden="false" customHeight="false" outlineLevel="0" collapsed="false">
      <c r="A11" s="9" t="s">
        <v>303</v>
      </c>
      <c r="B11" s="21" t="n">
        <v>185.5</v>
      </c>
      <c r="C11" s="25" t="s">
        <v>154</v>
      </c>
      <c r="D11" s="8" t="n">
        <v>0</v>
      </c>
      <c r="E11" s="21" t="n">
        <f aca="false">ROUND(B11*D11,1)</f>
        <v>0</v>
      </c>
      <c r="F11" s="21" t="n">
        <f aca="false">B11-E11</f>
        <v>185.5</v>
      </c>
      <c r="G11" s="23" t="n">
        <v>12</v>
      </c>
      <c r="H11" s="9" t="s">
        <v>211</v>
      </c>
      <c r="I11" s="24" t="n">
        <v>8</v>
      </c>
      <c r="J11" s="6" t="n">
        <f aca="false">ROUND(F11*I11,0)</f>
        <v>1484</v>
      </c>
      <c r="K11" s="5" t="s">
        <v>141</v>
      </c>
      <c r="L11" s="5" t="s">
        <v>174</v>
      </c>
      <c r="M11" s="8" t="n">
        <v>0</v>
      </c>
      <c r="N11" s="5" t="n">
        <v>1</v>
      </c>
      <c r="O11" s="9" t="s">
        <v>175</v>
      </c>
      <c r="P11" s="5" t="s">
        <v>144</v>
      </c>
      <c r="Q11" s="9" t="s">
        <v>607</v>
      </c>
    </row>
    <row r="12" customFormat="false" ht="15" hidden="false" customHeight="false" outlineLevel="0" collapsed="false">
      <c r="A12" s="9" t="s">
        <v>418</v>
      </c>
      <c r="B12" s="21" t="n">
        <v>184.9</v>
      </c>
      <c r="C12" s="25" t="s">
        <v>154</v>
      </c>
      <c r="D12" s="8" t="n">
        <v>0</v>
      </c>
      <c r="E12" s="21" t="n">
        <f aca="false">ROUND(B12*D12,1)</f>
        <v>0</v>
      </c>
      <c r="F12" s="21" t="n">
        <f aca="false">B12-E12</f>
        <v>184.9</v>
      </c>
      <c r="G12" s="30" t="n">
        <v>12</v>
      </c>
      <c r="H12" s="9" t="s">
        <v>215</v>
      </c>
      <c r="I12" s="24" t="n">
        <v>8</v>
      </c>
      <c r="J12" s="6" t="n">
        <f aca="false">ROUND(F12*I12,0)</f>
        <v>1479</v>
      </c>
      <c r="K12" s="5" t="s">
        <v>141</v>
      </c>
      <c r="L12" s="5" t="s">
        <v>150</v>
      </c>
      <c r="M12" s="8" t="n">
        <v>0.5</v>
      </c>
      <c r="N12" s="5" t="n">
        <v>1</v>
      </c>
      <c r="O12" s="9" t="s">
        <v>175</v>
      </c>
      <c r="P12" s="5" t="s">
        <v>144</v>
      </c>
      <c r="Q12" s="9" t="s">
        <v>607</v>
      </c>
    </row>
    <row r="13" customFormat="false" ht="15" hidden="false" customHeight="false" outlineLevel="0" collapsed="false">
      <c r="A13" s="9" t="s">
        <v>297</v>
      </c>
      <c r="B13" s="21" t="n">
        <v>170.9</v>
      </c>
      <c r="C13" s="25" t="s">
        <v>154</v>
      </c>
      <c r="D13" s="8" t="n">
        <v>0</v>
      </c>
      <c r="E13" s="21" t="n">
        <f aca="false">ROUND(B13*D13,1)</f>
        <v>0</v>
      </c>
      <c r="F13" s="21" t="n">
        <f aca="false">B13-E13</f>
        <v>170.9</v>
      </c>
      <c r="G13" s="30" t="n">
        <v>12</v>
      </c>
      <c r="H13" s="9" t="s">
        <v>215</v>
      </c>
      <c r="I13" s="24" t="n">
        <v>8</v>
      </c>
      <c r="J13" s="6" t="n">
        <f aca="false">ROUND(F13*I13,0)</f>
        <v>1367</v>
      </c>
      <c r="K13" s="5" t="s">
        <v>141</v>
      </c>
      <c r="L13" s="5" t="s">
        <v>174</v>
      </c>
      <c r="M13" s="8" t="n">
        <v>0</v>
      </c>
      <c r="N13" s="5" t="n">
        <v>1</v>
      </c>
      <c r="O13" s="9" t="s">
        <v>175</v>
      </c>
      <c r="P13" s="5" t="s">
        <v>144</v>
      </c>
      <c r="Q13" s="9" t="s">
        <v>607</v>
      </c>
    </row>
    <row r="14" customFormat="false" ht="22.35" hidden="false" customHeight="false" outlineLevel="0" collapsed="false">
      <c r="A14" s="9" t="s">
        <v>390</v>
      </c>
      <c r="B14" s="21" t="n">
        <v>171.9</v>
      </c>
      <c r="C14" s="25" t="s">
        <v>154</v>
      </c>
      <c r="D14" s="8" t="n">
        <v>0</v>
      </c>
      <c r="E14" s="21" t="n">
        <f aca="false">ROUND(B14*D14,1)</f>
        <v>0</v>
      </c>
      <c r="F14" s="21" t="n">
        <f aca="false">B14-E14</f>
        <v>171.9</v>
      </c>
      <c r="G14" s="23" t="n">
        <v>12</v>
      </c>
      <c r="H14" s="9" t="s">
        <v>211</v>
      </c>
      <c r="I14" s="24" t="n">
        <v>8</v>
      </c>
      <c r="J14" s="6" t="n">
        <f aca="false">ROUND(F14*I14,0)</f>
        <v>1375</v>
      </c>
      <c r="K14" s="5" t="s">
        <v>141</v>
      </c>
      <c r="L14" s="5" t="s">
        <v>142</v>
      </c>
      <c r="M14" s="8" t="n">
        <v>1</v>
      </c>
      <c r="N14" s="5" t="n">
        <v>1</v>
      </c>
      <c r="O14" s="9" t="s">
        <v>175</v>
      </c>
      <c r="P14" s="5" t="s">
        <v>144</v>
      </c>
      <c r="Q14" s="9" t="s">
        <v>608</v>
      </c>
    </row>
    <row r="15" customFormat="false" ht="15" hidden="false" customHeight="false" outlineLevel="0" collapsed="false">
      <c r="A15" s="9" t="s">
        <v>295</v>
      </c>
      <c r="B15" s="21" t="n">
        <v>91.1</v>
      </c>
      <c r="C15" s="25" t="s">
        <v>154</v>
      </c>
      <c r="D15" s="8" t="n">
        <v>0</v>
      </c>
      <c r="E15" s="21" t="n">
        <f aca="false">ROUND(B15*D15,1)</f>
        <v>0</v>
      </c>
      <c r="F15" s="21" t="n">
        <f aca="false">B15-E15</f>
        <v>91.1</v>
      </c>
      <c r="G15" s="30" t="n">
        <v>12</v>
      </c>
      <c r="H15" s="9" t="s">
        <v>215</v>
      </c>
      <c r="I15" s="24" t="n">
        <v>8</v>
      </c>
      <c r="J15" s="6" t="n">
        <f aca="false">ROUND(F15*I15,0)</f>
        <v>729</v>
      </c>
      <c r="K15" s="5" t="s">
        <v>141</v>
      </c>
      <c r="L15" s="5" t="s">
        <v>174</v>
      </c>
      <c r="M15" s="8" t="n">
        <v>0</v>
      </c>
      <c r="N15" s="5" t="n">
        <v>2</v>
      </c>
      <c r="O15" s="9" t="s">
        <v>285</v>
      </c>
      <c r="P15" s="5" t="s">
        <v>144</v>
      </c>
      <c r="Q15" s="9" t="s">
        <v>607</v>
      </c>
    </row>
    <row r="16" customFormat="false" ht="15" hidden="false" customHeight="false" outlineLevel="0" collapsed="false">
      <c r="A16" s="9" t="s">
        <v>416</v>
      </c>
      <c r="B16" s="21" t="n">
        <v>92.2</v>
      </c>
      <c r="C16" s="25" t="s">
        <v>154</v>
      </c>
      <c r="D16" s="8" t="n">
        <v>0</v>
      </c>
      <c r="E16" s="21" t="n">
        <f aca="false">ROUND(B16*D16,1)</f>
        <v>0</v>
      </c>
      <c r="F16" s="21" t="n">
        <f aca="false">B16-E16</f>
        <v>92.2</v>
      </c>
      <c r="G16" s="23" t="n">
        <v>12</v>
      </c>
      <c r="H16" s="9" t="s">
        <v>211</v>
      </c>
      <c r="I16" s="24" t="n">
        <v>8</v>
      </c>
      <c r="J16" s="6" t="n">
        <f aca="false">ROUND(F16*I16,0)</f>
        <v>738</v>
      </c>
      <c r="K16" s="5" t="s">
        <v>141</v>
      </c>
      <c r="L16" s="5" t="s">
        <v>174</v>
      </c>
      <c r="M16" s="8" t="n">
        <v>0</v>
      </c>
      <c r="N16" s="5" t="n">
        <v>1</v>
      </c>
      <c r="O16" s="9" t="s">
        <v>175</v>
      </c>
      <c r="P16" s="5" t="s">
        <v>144</v>
      </c>
      <c r="Q16" s="9" t="s">
        <v>607</v>
      </c>
    </row>
    <row r="17" customFormat="false" ht="32.8" hidden="false" customHeight="false" outlineLevel="0" collapsed="false">
      <c r="A17" s="9" t="s">
        <v>409</v>
      </c>
      <c r="B17" s="21" t="n">
        <v>373.3</v>
      </c>
      <c r="C17" s="25" t="s">
        <v>154</v>
      </c>
      <c r="D17" s="8" t="n">
        <v>0</v>
      </c>
      <c r="E17" s="21" t="n">
        <f aca="false">ROUND(B17*D17,1)</f>
        <v>0</v>
      </c>
      <c r="F17" s="21" t="n">
        <f aca="false">B17-E17</f>
        <v>373.3</v>
      </c>
      <c r="G17" s="23" t="n">
        <v>12</v>
      </c>
      <c r="H17" s="9" t="s">
        <v>211</v>
      </c>
      <c r="I17" s="24" t="n">
        <v>8</v>
      </c>
      <c r="J17" s="6" t="n">
        <f aca="false">ROUND(F17*I17,0)</f>
        <v>2986</v>
      </c>
      <c r="K17" s="5" t="s">
        <v>314</v>
      </c>
      <c r="L17" s="5" t="s">
        <v>217</v>
      </c>
      <c r="M17" s="8" t="s">
        <v>218</v>
      </c>
      <c r="N17" s="5" t="n">
        <v>0</v>
      </c>
      <c r="O17" s="9" t="s">
        <v>546</v>
      </c>
      <c r="P17" s="5" t="s">
        <v>144</v>
      </c>
      <c r="Q17" s="9" t="s">
        <v>609</v>
      </c>
    </row>
    <row r="18" customFormat="false" ht="15" hidden="false" customHeight="false" outlineLevel="0" collapsed="false">
      <c r="A18" s="9" t="s">
        <v>186</v>
      </c>
      <c r="B18" s="21" t="n">
        <v>441.6</v>
      </c>
      <c r="C18" s="25" t="s">
        <v>154</v>
      </c>
      <c r="D18" s="8" t="n">
        <v>0</v>
      </c>
      <c r="E18" s="21" t="n">
        <f aca="false">ROUND(B18*D18,1)</f>
        <v>0</v>
      </c>
      <c r="F18" s="21" t="n">
        <f aca="false">B18-E18</f>
        <v>441.6</v>
      </c>
      <c r="G18" s="30" t="n">
        <v>12</v>
      </c>
      <c r="H18" s="9" t="s">
        <v>215</v>
      </c>
      <c r="I18" s="24" t="n">
        <v>8</v>
      </c>
      <c r="J18" s="6" t="n">
        <f aca="false">ROUND(F18*I18,0)</f>
        <v>3533</v>
      </c>
      <c r="K18" s="5" t="s">
        <v>141</v>
      </c>
      <c r="L18" s="5" t="s">
        <v>150</v>
      </c>
      <c r="M18" s="8" t="n">
        <v>0.25</v>
      </c>
      <c r="N18" s="5" t="n">
        <v>2</v>
      </c>
      <c r="O18" s="9" t="s">
        <v>285</v>
      </c>
      <c r="P18" s="5" t="s">
        <v>144</v>
      </c>
      <c r="Q18" s="9" t="s">
        <v>610</v>
      </c>
    </row>
    <row r="19" customFormat="false" ht="15" hidden="false" customHeight="false" outlineLevel="0" collapsed="false">
      <c r="A19" s="9" t="s">
        <v>167</v>
      </c>
      <c r="B19" s="21" t="n">
        <v>11.6</v>
      </c>
      <c r="C19" s="25" t="s">
        <v>154</v>
      </c>
      <c r="D19" s="8" t="n">
        <v>0</v>
      </c>
      <c r="E19" s="21" t="n">
        <f aca="false">ROUND(B19*D19,1)</f>
        <v>0</v>
      </c>
      <c r="F19" s="21" t="n">
        <f aca="false">B19-E19</f>
        <v>11.6</v>
      </c>
      <c r="G19" s="30" t="n">
        <v>12</v>
      </c>
      <c r="H19" s="9" t="s">
        <v>215</v>
      </c>
      <c r="I19" s="24" t="n">
        <v>8</v>
      </c>
      <c r="J19" s="6" t="n">
        <f aca="false">ROUND(F19*I19,0)</f>
        <v>93</v>
      </c>
      <c r="K19" s="5" t="s">
        <v>141</v>
      </c>
      <c r="L19" s="5" t="s">
        <v>150</v>
      </c>
      <c r="M19" s="8" t="n">
        <v>0.5</v>
      </c>
      <c r="N19" s="5" t="n">
        <v>1</v>
      </c>
      <c r="O19" s="9" t="s">
        <v>175</v>
      </c>
      <c r="P19" s="5" t="s">
        <v>144</v>
      </c>
      <c r="Q19" s="9" t="s">
        <v>611</v>
      </c>
    </row>
    <row r="20" customFormat="false" ht="22.35" hidden="false" customHeight="false" outlineLevel="0" collapsed="false">
      <c r="A20" s="9" t="s">
        <v>168</v>
      </c>
      <c r="B20" s="21" t="n">
        <v>69.3</v>
      </c>
      <c r="C20" s="25" t="s">
        <v>154</v>
      </c>
      <c r="D20" s="8" t="n">
        <v>0</v>
      </c>
      <c r="E20" s="21" t="n">
        <f aca="false">ROUND(B20*D20,1)</f>
        <v>0</v>
      </c>
      <c r="F20" s="21" t="n">
        <f aca="false">B20-E20</f>
        <v>69.3</v>
      </c>
      <c r="G20" s="23" t="n">
        <v>12</v>
      </c>
      <c r="H20" s="9" t="s">
        <v>211</v>
      </c>
      <c r="I20" s="24" t="n">
        <v>8</v>
      </c>
      <c r="J20" s="6" t="n">
        <f aca="false">ROUND(F20*I20,0)</f>
        <v>554</v>
      </c>
      <c r="K20" s="5" t="s">
        <v>141</v>
      </c>
      <c r="L20" s="5" t="s">
        <v>174</v>
      </c>
      <c r="M20" s="8" t="n">
        <v>0</v>
      </c>
      <c r="N20" s="5" t="n">
        <v>1</v>
      </c>
      <c r="O20" s="9" t="s">
        <v>175</v>
      </c>
      <c r="P20" s="5" t="s">
        <v>144</v>
      </c>
      <c r="Q20" s="9" t="s">
        <v>612</v>
      </c>
    </row>
    <row r="21" customFormat="false" ht="15" hidden="false" customHeight="false" outlineLevel="0" collapsed="false">
      <c r="A21" s="12" t="s">
        <v>189</v>
      </c>
      <c r="B21" s="13" t="n">
        <f aca="false">SUM(B6:B20)</f>
        <v>2612.2</v>
      </c>
      <c r="C21" s="12"/>
      <c r="D21" s="14" t="n">
        <f aca="false">IF(B21=0,0,E21/B21)</f>
        <v>0.0985376311155348</v>
      </c>
      <c r="E21" s="13" t="n">
        <f aca="false">SUM(E6:E20)</f>
        <v>257.4</v>
      </c>
      <c r="F21" s="13" t="n">
        <f aca="false">SUM(F6:F20)</f>
        <v>2354.8</v>
      </c>
      <c r="G21" s="12"/>
      <c r="H21" s="12"/>
      <c r="I21" s="12"/>
      <c r="J21" s="13" t="n">
        <f aca="false">SUM(J6:J20)</f>
        <v>18838</v>
      </c>
      <c r="K21" s="12"/>
      <c r="L21" s="12"/>
      <c r="M21" s="12"/>
      <c r="N21" s="12"/>
      <c r="O21" s="12"/>
      <c r="P21" s="12"/>
      <c r="Q21" s="12"/>
    </row>
    <row r="23" customFormat="false" ht="15" hidden="false" customHeight="false" outlineLevel="0" collapsed="false">
      <c r="A23" s="16" t="s">
        <v>190</v>
      </c>
      <c r="D23" s="27" t="n">
        <f aca="false">J21</f>
        <v>18838</v>
      </c>
      <c r="F23" s="20" t="s">
        <v>191</v>
      </c>
    </row>
    <row r="24" customFormat="false" ht="15" hidden="false" customHeight="false" outlineLevel="0" collapsed="false">
      <c r="A24" s="16" t="s">
        <v>192</v>
      </c>
      <c r="D24" s="27" t="n">
        <f aca="false">F21*8</f>
        <v>18838.4</v>
      </c>
      <c r="F24" s="20" t="s">
        <v>193</v>
      </c>
    </row>
    <row r="25" customFormat="false" ht="15" hidden="false" customHeight="false" outlineLevel="0" collapsed="false">
      <c r="A25" s="16" t="s">
        <v>194</v>
      </c>
      <c r="D25" s="28" t="n">
        <v>0</v>
      </c>
      <c r="F25" s="20" t="s">
        <v>195</v>
      </c>
    </row>
    <row r="26" customFormat="false" ht="15" hidden="false" customHeight="false" outlineLevel="0" collapsed="false">
      <c r="A26" s="16" t="s">
        <v>196</v>
      </c>
      <c r="D26" s="29" t="n">
        <v>0.21</v>
      </c>
      <c r="F26" s="20" t="s">
        <v>49</v>
      </c>
    </row>
    <row r="27" customFormat="false" ht="15" hidden="false" customHeight="false" outlineLevel="0" collapsed="false">
      <c r="A27" s="16" t="s">
        <v>197</v>
      </c>
      <c r="D27" s="27" t="n">
        <f aca="false">(B21-D25)*(1-D26)</f>
        <v>2063.638</v>
      </c>
      <c r="F27" s="20" t="s">
        <v>198</v>
      </c>
    </row>
    <row r="28" customFormat="false" ht="15" hidden="false" customHeight="false" outlineLevel="0" collapsed="false">
      <c r="A28" s="16" t="s">
        <v>199</v>
      </c>
      <c r="D28" s="27" t="n">
        <f aca="false">ROUND(D27*4.067,0)</f>
        <v>8393</v>
      </c>
      <c r="F28" s="20" t="s">
        <v>600</v>
      </c>
    </row>
    <row r="29" customFormat="false" ht="15" hidden="false" customHeight="false" outlineLevel="0" collapsed="false">
      <c r="A29" s="16" t="s">
        <v>201</v>
      </c>
      <c r="D29" s="28" t="n">
        <v>15</v>
      </c>
    </row>
    <row r="30" customFormat="false" ht="15" hidden="false" customHeight="false" outlineLevel="0" collapsed="false">
      <c r="A30" s="16" t="s">
        <v>202</v>
      </c>
      <c r="D30" s="28" t="n">
        <v>0</v>
      </c>
      <c r="F30" s="20" t="s">
        <v>203</v>
      </c>
    </row>
    <row r="31" customFormat="false" ht="15" hidden="false" customHeight="false" outlineLevel="0" collapsed="false">
      <c r="A31" s="16" t="s">
        <v>204</v>
      </c>
      <c r="D31" s="28" t="n">
        <v>257</v>
      </c>
    </row>
    <row r="32" customFormat="false" ht="15" hidden="false" customHeight="false" outlineLevel="0" collapsed="false">
      <c r="A32" s="16" t="s">
        <v>205</v>
      </c>
      <c r="D32" s="28" t="n">
        <v>0</v>
      </c>
      <c r="F32" s="20" t="s">
        <v>206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3"/>
    <col collapsed="false" customWidth="true" hidden="false" outlineLevel="0" max="3" min="3" style="0" width="15"/>
    <col collapsed="false" customWidth="true" hidden="false" outlineLevel="0" max="4" min="4" style="0" width="12"/>
    <col collapsed="false" customWidth="true" hidden="false" outlineLevel="0" max="6" min="5" style="0" width="13"/>
    <col collapsed="false" customWidth="true" hidden="false" outlineLevel="0" max="7" min="7" style="0" width="11"/>
    <col collapsed="false" customWidth="true" hidden="false" outlineLevel="0" max="8" min="8" style="0" width="20"/>
    <col collapsed="false" customWidth="true" hidden="false" outlineLevel="0" max="10" min="9" style="0" width="13"/>
    <col collapsed="false" customWidth="true" hidden="false" outlineLevel="0" max="11" min="11" style="0" width="10"/>
    <col collapsed="false" customWidth="true" hidden="false" outlineLevel="0" max="12" min="12" style="0" width="13"/>
    <col collapsed="false" customWidth="true" hidden="false" outlineLevel="0" max="14" min="13" style="0" width="9"/>
    <col collapsed="false" customWidth="true" hidden="false" outlineLevel="0" max="15" min="15" style="0" width="46"/>
    <col collapsed="false" customWidth="true" hidden="false" outlineLevel="0" max="16" min="16" style="0" width="17"/>
    <col collapsed="false" customWidth="true" hidden="false" outlineLevel="0" max="17" min="17" style="0" width="52"/>
  </cols>
  <sheetData>
    <row r="1" customFormat="false" ht="16.15" hidden="false" customHeight="false" outlineLevel="0" collapsed="false">
      <c r="A1" s="18" t="s">
        <v>613</v>
      </c>
    </row>
    <row r="2" customFormat="false" ht="15" hidden="false" customHeight="false" outlineLevel="0" collapsed="false">
      <c r="A2" s="19" t="s">
        <v>614</v>
      </c>
    </row>
    <row r="3" customFormat="false" ht="15" hidden="false" customHeight="false" outlineLevel="0" collapsed="false">
      <c r="A3" s="20" t="s">
        <v>615</v>
      </c>
    </row>
    <row r="5" customFormat="false" ht="32.8" hidden="false" customHeight="false" outlineLevel="0" collapsed="false">
      <c r="A5" s="4" t="s">
        <v>122</v>
      </c>
      <c r="B5" s="4" t="s">
        <v>123</v>
      </c>
      <c r="C5" s="4" t="s">
        <v>124</v>
      </c>
      <c r="D5" s="4" t="s">
        <v>125</v>
      </c>
      <c r="E5" s="4" t="s">
        <v>126</v>
      </c>
      <c r="F5" s="4" t="s">
        <v>12</v>
      </c>
      <c r="G5" s="4" t="s">
        <v>127</v>
      </c>
      <c r="H5" s="4" t="s">
        <v>128</v>
      </c>
      <c r="I5" s="4" t="s">
        <v>129</v>
      </c>
      <c r="J5" s="4" t="s">
        <v>130</v>
      </c>
      <c r="K5" s="4" t="s">
        <v>131</v>
      </c>
      <c r="L5" s="4" t="s">
        <v>132</v>
      </c>
      <c r="M5" s="4" t="s">
        <v>133</v>
      </c>
      <c r="N5" s="4" t="s">
        <v>134</v>
      </c>
      <c r="O5" s="4" t="s">
        <v>135</v>
      </c>
      <c r="P5" s="4" t="s">
        <v>136</v>
      </c>
      <c r="Q5" s="4" t="s">
        <v>137</v>
      </c>
    </row>
    <row r="6" customFormat="false" ht="15" hidden="false" customHeight="false" outlineLevel="0" collapsed="false">
      <c r="A6" s="9" t="s">
        <v>176</v>
      </c>
      <c r="B6" s="21" t="n">
        <v>110</v>
      </c>
      <c r="C6" s="25" t="s">
        <v>154</v>
      </c>
      <c r="D6" s="8" t="n">
        <v>0</v>
      </c>
      <c r="E6" s="21" t="n">
        <f aca="false">ROUND(B6*D6,1)</f>
        <v>0</v>
      </c>
      <c r="F6" s="21" t="n">
        <f aca="false">B6-E6</f>
        <v>110</v>
      </c>
      <c r="G6" s="23" t="n">
        <v>13.5</v>
      </c>
      <c r="H6" s="9" t="s">
        <v>211</v>
      </c>
      <c r="I6" s="24" t="n">
        <v>9.5</v>
      </c>
      <c r="J6" s="6" t="n">
        <f aca="false">ROUND(F6*I6,0)</f>
        <v>1045</v>
      </c>
      <c r="K6" s="5" t="s">
        <v>141</v>
      </c>
      <c r="L6" s="5" t="s">
        <v>174</v>
      </c>
      <c r="M6" s="8" t="n">
        <v>0</v>
      </c>
      <c r="N6" s="5" t="n">
        <v>1</v>
      </c>
      <c r="O6" s="9" t="s">
        <v>175</v>
      </c>
      <c r="P6" s="5" t="s">
        <v>144</v>
      </c>
      <c r="Q6" s="9" t="s">
        <v>528</v>
      </c>
    </row>
    <row r="7" customFormat="false" ht="15" hidden="false" customHeight="false" outlineLevel="0" collapsed="false">
      <c r="A7" s="9" t="s">
        <v>278</v>
      </c>
      <c r="B7" s="21" t="n">
        <v>112.7</v>
      </c>
      <c r="C7" s="25" t="s">
        <v>154</v>
      </c>
      <c r="D7" s="8" t="n">
        <v>0</v>
      </c>
      <c r="E7" s="21" t="n">
        <f aca="false">ROUND(B7*D7,1)</f>
        <v>0</v>
      </c>
      <c r="F7" s="21" t="n">
        <f aca="false">B7-E7</f>
        <v>112.7</v>
      </c>
      <c r="G7" s="30" t="n">
        <v>15</v>
      </c>
      <c r="H7" s="9" t="s">
        <v>215</v>
      </c>
      <c r="I7" s="24" t="n">
        <v>11</v>
      </c>
      <c r="J7" s="6" t="n">
        <f aca="false">ROUND(F7*I7,0)</f>
        <v>1240</v>
      </c>
      <c r="K7" s="5" t="s">
        <v>141</v>
      </c>
      <c r="L7" s="5" t="s">
        <v>174</v>
      </c>
      <c r="M7" s="8" t="n">
        <v>0</v>
      </c>
      <c r="N7" s="5" t="n">
        <v>1</v>
      </c>
      <c r="O7" s="9" t="s">
        <v>175</v>
      </c>
      <c r="P7" s="5" t="s">
        <v>144</v>
      </c>
      <c r="Q7" s="9" t="s">
        <v>528</v>
      </c>
    </row>
    <row r="8" customFormat="false" ht="22.35" hidden="false" customHeight="false" outlineLevel="0" collapsed="false">
      <c r="A8" s="9" t="s">
        <v>616</v>
      </c>
      <c r="B8" s="21" t="n">
        <v>469.2</v>
      </c>
      <c r="C8" s="25" t="s">
        <v>154</v>
      </c>
      <c r="D8" s="8" t="n">
        <v>0</v>
      </c>
      <c r="E8" s="21" t="n">
        <f aca="false">ROUND(B8*D8,1)</f>
        <v>0</v>
      </c>
      <c r="F8" s="21" t="n">
        <f aca="false">B8-E8</f>
        <v>469.2</v>
      </c>
      <c r="G8" s="23" t="n">
        <v>13.5</v>
      </c>
      <c r="H8" s="9" t="s">
        <v>211</v>
      </c>
      <c r="I8" s="24" t="n">
        <v>9.5</v>
      </c>
      <c r="J8" s="6" t="n">
        <f aca="false">ROUND(F8*I8,0)</f>
        <v>4457</v>
      </c>
      <c r="K8" s="5" t="s">
        <v>314</v>
      </c>
      <c r="L8" s="5" t="s">
        <v>174</v>
      </c>
      <c r="M8" s="8" t="n">
        <v>0</v>
      </c>
      <c r="N8" s="5" t="n">
        <v>1</v>
      </c>
      <c r="O8" s="9" t="s">
        <v>175</v>
      </c>
      <c r="P8" s="5" t="s">
        <v>144</v>
      </c>
      <c r="Q8" s="9" t="s">
        <v>617</v>
      </c>
    </row>
    <row r="9" customFormat="false" ht="15" hidden="false" customHeight="false" outlineLevel="0" collapsed="false">
      <c r="A9" s="9" t="s">
        <v>618</v>
      </c>
      <c r="B9" s="21" t="n">
        <v>462.5</v>
      </c>
      <c r="C9" s="25" t="s">
        <v>154</v>
      </c>
      <c r="D9" s="8" t="n">
        <v>0</v>
      </c>
      <c r="E9" s="21" t="n">
        <f aca="false">ROUND(B9*D9,1)</f>
        <v>0</v>
      </c>
      <c r="F9" s="21" t="n">
        <f aca="false">B9-E9</f>
        <v>462.5</v>
      </c>
      <c r="G9" s="30" t="n">
        <v>12</v>
      </c>
      <c r="H9" s="9" t="s">
        <v>215</v>
      </c>
      <c r="I9" s="24" t="n">
        <v>8</v>
      </c>
      <c r="J9" s="6" t="n">
        <f aca="false">ROUND(F9*I9,0)</f>
        <v>3700</v>
      </c>
      <c r="K9" s="5" t="s">
        <v>314</v>
      </c>
      <c r="L9" s="5" t="s">
        <v>174</v>
      </c>
      <c r="M9" s="8" t="n">
        <v>0</v>
      </c>
      <c r="N9" s="5" t="n">
        <v>1</v>
      </c>
      <c r="O9" s="9" t="s">
        <v>175</v>
      </c>
      <c r="P9" s="5" t="s">
        <v>144</v>
      </c>
      <c r="Q9" s="9" t="s">
        <v>619</v>
      </c>
    </row>
    <row r="10" customFormat="false" ht="15" hidden="false" customHeight="false" outlineLevel="0" collapsed="false">
      <c r="A10" s="12" t="s">
        <v>189</v>
      </c>
      <c r="B10" s="13" t="n">
        <f aca="false">SUM(B6:B9)</f>
        <v>1154.4</v>
      </c>
      <c r="C10" s="12"/>
      <c r="D10" s="14" t="n">
        <f aca="false">IF(B10=0,0,E10/B10)</f>
        <v>0</v>
      </c>
      <c r="E10" s="13" t="n">
        <f aca="false">SUM(E6:E9)</f>
        <v>0</v>
      </c>
      <c r="F10" s="13" t="n">
        <f aca="false">SUM(F6:F9)</f>
        <v>1154.4</v>
      </c>
      <c r="G10" s="12"/>
      <c r="H10" s="12"/>
      <c r="I10" s="12"/>
      <c r="J10" s="13" t="n">
        <f aca="false">SUM(J6:J9)</f>
        <v>10442</v>
      </c>
      <c r="K10" s="12"/>
      <c r="L10" s="12"/>
      <c r="M10" s="12"/>
      <c r="N10" s="12"/>
      <c r="O10" s="12"/>
      <c r="P10" s="12"/>
      <c r="Q10" s="12"/>
    </row>
    <row r="12" customFormat="false" ht="15" hidden="false" customHeight="false" outlineLevel="0" collapsed="false">
      <c r="A12" s="16" t="s">
        <v>190</v>
      </c>
      <c r="D12" s="27" t="n">
        <f aca="false">J10</f>
        <v>10442</v>
      </c>
      <c r="F12" s="20" t="s">
        <v>191</v>
      </c>
    </row>
    <row r="13" customFormat="false" ht="15" hidden="false" customHeight="false" outlineLevel="0" collapsed="false">
      <c r="A13" s="16" t="s">
        <v>192</v>
      </c>
      <c r="D13" s="27" t="n">
        <f aca="false">F10*8</f>
        <v>9235.2</v>
      </c>
      <c r="F13" s="20" t="s">
        <v>193</v>
      </c>
    </row>
    <row r="14" customFormat="false" ht="15" hidden="false" customHeight="false" outlineLevel="0" collapsed="false">
      <c r="A14" s="16" t="s">
        <v>194</v>
      </c>
      <c r="D14" s="28" t="n">
        <v>0</v>
      </c>
      <c r="F14" s="20" t="s">
        <v>195</v>
      </c>
    </row>
    <row r="15" customFormat="false" ht="15" hidden="false" customHeight="false" outlineLevel="0" collapsed="false">
      <c r="A15" s="16" t="s">
        <v>196</v>
      </c>
      <c r="D15" s="29" t="n">
        <v>0</v>
      </c>
      <c r="F15" s="20" t="s">
        <v>82</v>
      </c>
    </row>
    <row r="16" customFormat="false" ht="15" hidden="false" customHeight="false" outlineLevel="0" collapsed="false">
      <c r="A16" s="16" t="s">
        <v>197</v>
      </c>
      <c r="D16" s="27" t="n">
        <f aca="false">(B10-D14)*(1-D15)</f>
        <v>1154.4</v>
      </c>
      <c r="F16" s="20" t="s">
        <v>198</v>
      </c>
    </row>
    <row r="17" customFormat="false" ht="15" hidden="false" customHeight="false" outlineLevel="0" collapsed="false">
      <c r="A17" s="16" t="s">
        <v>199</v>
      </c>
      <c r="D17" s="27" t="n">
        <f aca="false">ROUND(D16*4,0)</f>
        <v>4618</v>
      </c>
      <c r="F17" s="20" t="s">
        <v>200</v>
      </c>
    </row>
    <row r="18" customFormat="false" ht="15" hidden="false" customHeight="false" outlineLevel="0" collapsed="false">
      <c r="A18" s="16" t="s">
        <v>201</v>
      </c>
      <c r="D18" s="28" t="n">
        <v>4</v>
      </c>
    </row>
    <row r="19" customFormat="false" ht="15" hidden="false" customHeight="false" outlineLevel="0" collapsed="false">
      <c r="A19" s="16" t="s">
        <v>202</v>
      </c>
      <c r="D19" s="28" t="n">
        <v>0</v>
      </c>
      <c r="F19" s="20" t="s">
        <v>203</v>
      </c>
    </row>
    <row r="20" customFormat="false" ht="15" hidden="false" customHeight="false" outlineLevel="0" collapsed="false">
      <c r="A20" s="16" t="s">
        <v>204</v>
      </c>
      <c r="D20" s="28" t="n">
        <v>0</v>
      </c>
    </row>
    <row r="21" customFormat="false" ht="15" hidden="false" customHeight="false" outlineLevel="0" collapsed="false">
      <c r="A21" s="16" t="s">
        <v>205</v>
      </c>
      <c r="D21" s="28" t="n">
        <v>0</v>
      </c>
      <c r="F21" s="20" t="s">
        <v>206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3"/>
    <col collapsed="false" customWidth="true" hidden="false" outlineLevel="0" max="3" min="3" style="0" width="15"/>
    <col collapsed="false" customWidth="true" hidden="false" outlineLevel="0" max="4" min="4" style="0" width="12"/>
    <col collapsed="false" customWidth="true" hidden="false" outlineLevel="0" max="6" min="5" style="0" width="13"/>
    <col collapsed="false" customWidth="true" hidden="false" outlineLevel="0" max="7" min="7" style="0" width="11"/>
    <col collapsed="false" customWidth="true" hidden="false" outlineLevel="0" max="8" min="8" style="0" width="20"/>
    <col collapsed="false" customWidth="true" hidden="false" outlineLevel="0" max="10" min="9" style="0" width="13"/>
    <col collapsed="false" customWidth="true" hidden="false" outlineLevel="0" max="11" min="11" style="0" width="10"/>
    <col collapsed="false" customWidth="true" hidden="false" outlineLevel="0" max="12" min="12" style="0" width="13"/>
    <col collapsed="false" customWidth="true" hidden="false" outlineLevel="0" max="14" min="13" style="0" width="9"/>
    <col collapsed="false" customWidth="true" hidden="false" outlineLevel="0" max="15" min="15" style="0" width="46"/>
    <col collapsed="false" customWidth="true" hidden="false" outlineLevel="0" max="16" min="16" style="0" width="17"/>
    <col collapsed="false" customWidth="true" hidden="false" outlineLevel="0" max="17" min="17" style="0" width="52"/>
  </cols>
  <sheetData>
    <row r="1" customFormat="false" ht="16.15" hidden="false" customHeight="false" outlineLevel="0" collapsed="false">
      <c r="A1" s="18" t="s">
        <v>620</v>
      </c>
    </row>
    <row r="2" customFormat="false" ht="15" hidden="false" customHeight="false" outlineLevel="0" collapsed="false">
      <c r="A2" s="19" t="s">
        <v>621</v>
      </c>
    </row>
    <row r="3" customFormat="false" ht="15" hidden="false" customHeight="false" outlineLevel="0" collapsed="false">
      <c r="A3" s="20" t="s">
        <v>622</v>
      </c>
    </row>
    <row r="5" customFormat="false" ht="32.8" hidden="false" customHeight="false" outlineLevel="0" collapsed="false">
      <c r="A5" s="4" t="s">
        <v>122</v>
      </c>
      <c r="B5" s="4" t="s">
        <v>123</v>
      </c>
      <c r="C5" s="4" t="s">
        <v>124</v>
      </c>
      <c r="D5" s="4" t="s">
        <v>125</v>
      </c>
      <c r="E5" s="4" t="s">
        <v>126</v>
      </c>
      <c r="F5" s="4" t="s">
        <v>12</v>
      </c>
      <c r="G5" s="4" t="s">
        <v>127</v>
      </c>
      <c r="H5" s="4" t="s">
        <v>128</v>
      </c>
      <c r="I5" s="4" t="s">
        <v>129</v>
      </c>
      <c r="J5" s="4" t="s">
        <v>130</v>
      </c>
      <c r="K5" s="4" t="s">
        <v>131</v>
      </c>
      <c r="L5" s="4" t="s">
        <v>132</v>
      </c>
      <c r="M5" s="4" t="s">
        <v>133</v>
      </c>
      <c r="N5" s="4" t="s">
        <v>134</v>
      </c>
      <c r="O5" s="4" t="s">
        <v>135</v>
      </c>
      <c r="P5" s="4" t="s">
        <v>136</v>
      </c>
      <c r="Q5" s="4" t="s">
        <v>137</v>
      </c>
    </row>
    <row r="6" customFormat="false" ht="15" hidden="false" customHeight="false" outlineLevel="0" collapsed="false">
      <c r="A6" s="9" t="s">
        <v>176</v>
      </c>
      <c r="B6" s="21" t="n">
        <v>146</v>
      </c>
      <c r="C6" s="25" t="s">
        <v>154</v>
      </c>
      <c r="D6" s="8" t="n">
        <v>0</v>
      </c>
      <c r="E6" s="21" t="n">
        <f aca="false">ROUND(B6*D6,1)</f>
        <v>0</v>
      </c>
      <c r="F6" s="21" t="n">
        <f aca="false">B6-E6</f>
        <v>146</v>
      </c>
      <c r="G6" s="23" t="n">
        <v>15</v>
      </c>
      <c r="H6" s="9" t="s">
        <v>211</v>
      </c>
      <c r="I6" s="24" t="n">
        <v>11</v>
      </c>
      <c r="J6" s="6" t="n">
        <f aca="false">ROUND(F6*I6,0)</f>
        <v>1606</v>
      </c>
      <c r="K6" s="5" t="s">
        <v>141</v>
      </c>
      <c r="L6" s="5" t="s">
        <v>174</v>
      </c>
      <c r="M6" s="8" t="n">
        <v>0</v>
      </c>
      <c r="N6" s="5" t="n">
        <v>1</v>
      </c>
      <c r="O6" s="9" t="s">
        <v>175</v>
      </c>
      <c r="P6" s="5" t="s">
        <v>144</v>
      </c>
      <c r="Q6" s="9" t="s">
        <v>528</v>
      </c>
    </row>
    <row r="7" customFormat="false" ht="15" hidden="false" customHeight="false" outlineLevel="0" collapsed="false">
      <c r="A7" s="9" t="s">
        <v>278</v>
      </c>
      <c r="B7" s="21" t="n">
        <v>154.9</v>
      </c>
      <c r="C7" s="25" t="s">
        <v>154</v>
      </c>
      <c r="D7" s="8" t="n">
        <v>0</v>
      </c>
      <c r="E7" s="21" t="n">
        <f aca="false">ROUND(B7*D7,1)</f>
        <v>0</v>
      </c>
      <c r="F7" s="21" t="n">
        <f aca="false">B7-E7</f>
        <v>154.9</v>
      </c>
      <c r="G7" s="30" t="n">
        <v>15</v>
      </c>
      <c r="H7" s="9" t="s">
        <v>215</v>
      </c>
      <c r="I7" s="24" t="n">
        <v>11</v>
      </c>
      <c r="J7" s="6" t="n">
        <f aca="false">ROUND(F7*I7,0)</f>
        <v>1704</v>
      </c>
      <c r="K7" s="5" t="s">
        <v>141</v>
      </c>
      <c r="L7" s="5" t="s">
        <v>142</v>
      </c>
      <c r="M7" s="8" t="n">
        <v>1</v>
      </c>
      <c r="N7" s="5" t="n">
        <v>1</v>
      </c>
      <c r="O7" s="9" t="s">
        <v>175</v>
      </c>
      <c r="P7" s="5" t="s">
        <v>144</v>
      </c>
      <c r="Q7" s="9" t="s">
        <v>528</v>
      </c>
    </row>
    <row r="8" customFormat="false" ht="15" hidden="false" customHeight="false" outlineLevel="0" collapsed="false">
      <c r="A8" s="9" t="s">
        <v>352</v>
      </c>
      <c r="B8" s="21" t="n">
        <v>541.2</v>
      </c>
      <c r="C8" s="25" t="s">
        <v>154</v>
      </c>
      <c r="D8" s="8" t="n">
        <v>0</v>
      </c>
      <c r="E8" s="21" t="n">
        <f aca="false">ROUND(B8*D8,1)</f>
        <v>0</v>
      </c>
      <c r="F8" s="21" t="n">
        <f aca="false">B8-E8</f>
        <v>541.2</v>
      </c>
      <c r="G8" s="23" t="n">
        <v>15</v>
      </c>
      <c r="H8" s="9" t="s">
        <v>211</v>
      </c>
      <c r="I8" s="24" t="n">
        <v>11</v>
      </c>
      <c r="J8" s="6" t="n">
        <f aca="false">ROUND(F8*I8,0)</f>
        <v>5953</v>
      </c>
      <c r="K8" s="5" t="s">
        <v>141</v>
      </c>
      <c r="L8" s="5" t="s">
        <v>150</v>
      </c>
      <c r="M8" s="8" t="n">
        <v>0.25</v>
      </c>
      <c r="N8" s="5" t="n">
        <v>2</v>
      </c>
      <c r="O8" s="9" t="s">
        <v>285</v>
      </c>
      <c r="P8" s="5" t="s">
        <v>144</v>
      </c>
      <c r="Q8" s="9" t="s">
        <v>528</v>
      </c>
    </row>
    <row r="9" customFormat="false" ht="15" hidden="false" customHeight="false" outlineLevel="0" collapsed="false">
      <c r="A9" s="9" t="s">
        <v>168</v>
      </c>
      <c r="B9" s="21" t="n">
        <v>106</v>
      </c>
      <c r="C9" s="25" t="s">
        <v>154</v>
      </c>
      <c r="D9" s="8" t="n">
        <v>0</v>
      </c>
      <c r="E9" s="21" t="n">
        <f aca="false">ROUND(B9*D9,1)</f>
        <v>0</v>
      </c>
      <c r="F9" s="21" t="n">
        <f aca="false">B9-E9</f>
        <v>106</v>
      </c>
      <c r="G9" s="23" t="n">
        <v>15</v>
      </c>
      <c r="H9" s="9" t="s">
        <v>211</v>
      </c>
      <c r="I9" s="24" t="n">
        <v>11</v>
      </c>
      <c r="J9" s="6" t="n">
        <f aca="false">ROUND(F9*I9,0)</f>
        <v>1166</v>
      </c>
      <c r="K9" s="5" t="s">
        <v>141</v>
      </c>
      <c r="L9" s="5" t="s">
        <v>174</v>
      </c>
      <c r="M9" s="8" t="n">
        <v>0</v>
      </c>
      <c r="N9" s="5" t="n">
        <v>2</v>
      </c>
      <c r="O9" s="9" t="s">
        <v>285</v>
      </c>
      <c r="P9" s="5" t="s">
        <v>144</v>
      </c>
      <c r="Q9" s="9" t="s">
        <v>528</v>
      </c>
    </row>
    <row r="10" customFormat="false" ht="15" hidden="false" customHeight="false" outlineLevel="0" collapsed="false">
      <c r="A10" s="9" t="s">
        <v>623</v>
      </c>
      <c r="B10" s="21" t="n">
        <v>25</v>
      </c>
      <c r="C10" s="25" t="s">
        <v>154</v>
      </c>
      <c r="D10" s="8" t="n">
        <v>0</v>
      </c>
      <c r="E10" s="21" t="n">
        <f aca="false">ROUND(B10*D10,1)</f>
        <v>0</v>
      </c>
      <c r="F10" s="21" t="n">
        <f aca="false">B10-E10</f>
        <v>25</v>
      </c>
      <c r="G10" s="23" t="n">
        <v>15</v>
      </c>
      <c r="H10" s="9" t="s">
        <v>211</v>
      </c>
      <c r="I10" s="24" t="n">
        <v>11</v>
      </c>
      <c r="J10" s="6" t="n">
        <f aca="false">ROUND(F10*I10,0)</f>
        <v>275</v>
      </c>
      <c r="K10" s="5" t="s">
        <v>141</v>
      </c>
      <c r="L10" s="5" t="s">
        <v>174</v>
      </c>
      <c r="M10" s="8" t="n">
        <v>0</v>
      </c>
      <c r="N10" s="5" t="n">
        <v>1</v>
      </c>
      <c r="O10" s="9" t="s">
        <v>175</v>
      </c>
      <c r="P10" s="5" t="s">
        <v>144</v>
      </c>
      <c r="Q10" s="9" t="s">
        <v>528</v>
      </c>
    </row>
    <row r="11" customFormat="false" ht="15" hidden="false" customHeight="false" outlineLevel="0" collapsed="false">
      <c r="A11" s="9" t="s">
        <v>345</v>
      </c>
      <c r="B11" s="21" t="n">
        <v>499.1</v>
      </c>
      <c r="C11" s="25" t="s">
        <v>154</v>
      </c>
      <c r="D11" s="8" t="n">
        <v>0</v>
      </c>
      <c r="E11" s="21" t="n">
        <f aca="false">ROUND(B11*D11,1)</f>
        <v>0</v>
      </c>
      <c r="F11" s="21" t="n">
        <f aca="false">B11-E11</f>
        <v>499.1</v>
      </c>
      <c r="G11" s="23" t="n">
        <v>15</v>
      </c>
      <c r="H11" s="9" t="s">
        <v>211</v>
      </c>
      <c r="I11" s="24" t="n">
        <v>11</v>
      </c>
      <c r="J11" s="6" t="n">
        <f aca="false">ROUND(F11*I11,0)</f>
        <v>5490</v>
      </c>
      <c r="K11" s="5" t="s">
        <v>314</v>
      </c>
      <c r="L11" s="5" t="s">
        <v>150</v>
      </c>
      <c r="M11" s="8" t="n">
        <v>0.5</v>
      </c>
      <c r="N11" s="5" t="n">
        <v>1</v>
      </c>
      <c r="O11" s="9" t="s">
        <v>175</v>
      </c>
      <c r="P11" s="5" t="s">
        <v>144</v>
      </c>
      <c r="Q11" s="9" t="s">
        <v>528</v>
      </c>
    </row>
    <row r="12" customFormat="false" ht="15" hidden="false" customHeight="false" outlineLevel="0" collapsed="false">
      <c r="A12" s="9" t="s">
        <v>318</v>
      </c>
      <c r="B12" s="21" t="n">
        <v>336.9</v>
      </c>
      <c r="C12" s="25" t="s">
        <v>154</v>
      </c>
      <c r="D12" s="8" t="n">
        <v>0</v>
      </c>
      <c r="E12" s="21" t="n">
        <f aca="false">ROUND(B12*D12,1)</f>
        <v>0</v>
      </c>
      <c r="F12" s="21" t="n">
        <f aca="false">B12-E12</f>
        <v>336.9</v>
      </c>
      <c r="G12" s="23" t="n">
        <v>15</v>
      </c>
      <c r="H12" s="9" t="s">
        <v>211</v>
      </c>
      <c r="I12" s="24" t="n">
        <v>11</v>
      </c>
      <c r="J12" s="6" t="n">
        <f aca="false">ROUND(F12*I12,0)</f>
        <v>3706</v>
      </c>
      <c r="K12" s="5" t="s">
        <v>141</v>
      </c>
      <c r="L12" s="5" t="s">
        <v>174</v>
      </c>
      <c r="M12" s="8" t="n">
        <v>0</v>
      </c>
      <c r="N12" s="5" t="n">
        <v>1</v>
      </c>
      <c r="O12" s="9" t="s">
        <v>175</v>
      </c>
      <c r="P12" s="5" t="s">
        <v>144</v>
      </c>
      <c r="Q12" s="9" t="s">
        <v>528</v>
      </c>
    </row>
    <row r="13" customFormat="false" ht="15" hidden="false" customHeight="false" outlineLevel="0" collapsed="false">
      <c r="A13" s="12" t="s">
        <v>189</v>
      </c>
      <c r="B13" s="13" t="n">
        <f aca="false">SUM(B6:B12)</f>
        <v>1809.1</v>
      </c>
      <c r="C13" s="12"/>
      <c r="D13" s="14" t="n">
        <f aca="false">IF(B13=0,0,E13/B13)</f>
        <v>0</v>
      </c>
      <c r="E13" s="13" t="n">
        <f aca="false">SUM(E6:E12)</f>
        <v>0</v>
      </c>
      <c r="F13" s="13" t="n">
        <f aca="false">SUM(F6:F12)</f>
        <v>1809.1</v>
      </c>
      <c r="G13" s="12"/>
      <c r="H13" s="12"/>
      <c r="I13" s="12"/>
      <c r="J13" s="13" t="n">
        <f aca="false">SUM(J6:J12)</f>
        <v>19900</v>
      </c>
      <c r="K13" s="12"/>
      <c r="L13" s="12"/>
      <c r="M13" s="12"/>
      <c r="N13" s="12"/>
      <c r="O13" s="12"/>
      <c r="P13" s="12"/>
      <c r="Q13" s="12"/>
    </row>
    <row r="15" customFormat="false" ht="15" hidden="false" customHeight="false" outlineLevel="0" collapsed="false">
      <c r="A15" s="16" t="s">
        <v>190</v>
      </c>
      <c r="D15" s="27" t="n">
        <f aca="false">J13</f>
        <v>19900</v>
      </c>
      <c r="F15" s="20" t="s">
        <v>191</v>
      </c>
    </row>
    <row r="16" customFormat="false" ht="15" hidden="false" customHeight="false" outlineLevel="0" collapsed="false">
      <c r="A16" s="16" t="s">
        <v>192</v>
      </c>
      <c r="D16" s="27" t="n">
        <f aca="false">F13*8</f>
        <v>14472.8</v>
      </c>
      <c r="F16" s="20" t="s">
        <v>193</v>
      </c>
    </row>
    <row r="17" customFormat="false" ht="15" hidden="false" customHeight="false" outlineLevel="0" collapsed="false">
      <c r="A17" s="16" t="s">
        <v>194</v>
      </c>
      <c r="D17" s="28" t="n">
        <v>0</v>
      </c>
      <c r="F17" s="20" t="s">
        <v>195</v>
      </c>
    </row>
    <row r="18" customFormat="false" ht="15" hidden="false" customHeight="false" outlineLevel="0" collapsed="false">
      <c r="A18" s="16" t="s">
        <v>196</v>
      </c>
      <c r="D18" s="29" t="n">
        <v>0.27</v>
      </c>
      <c r="F18" s="20" t="s">
        <v>86</v>
      </c>
    </row>
    <row r="19" customFormat="false" ht="15" hidden="false" customHeight="false" outlineLevel="0" collapsed="false">
      <c r="A19" s="16" t="s">
        <v>197</v>
      </c>
      <c r="D19" s="27" t="n">
        <f aca="false">(B13-D17)*(1-D18)</f>
        <v>1320.643</v>
      </c>
      <c r="F19" s="20" t="s">
        <v>198</v>
      </c>
    </row>
    <row r="20" customFormat="false" ht="15" hidden="false" customHeight="false" outlineLevel="0" collapsed="false">
      <c r="A20" s="16" t="s">
        <v>199</v>
      </c>
      <c r="D20" s="27" t="n">
        <f aca="false">ROUND(D19*4,0)</f>
        <v>5283</v>
      </c>
      <c r="F20" s="20" t="s">
        <v>200</v>
      </c>
    </row>
    <row r="21" customFormat="false" ht="15" hidden="false" customHeight="false" outlineLevel="0" collapsed="false">
      <c r="A21" s="16" t="s">
        <v>201</v>
      </c>
      <c r="D21" s="28" t="n">
        <v>9</v>
      </c>
    </row>
    <row r="22" customFormat="false" ht="15" hidden="false" customHeight="false" outlineLevel="0" collapsed="false">
      <c r="A22" s="16" t="s">
        <v>202</v>
      </c>
      <c r="D22" s="28" t="n">
        <v>0</v>
      </c>
      <c r="F22" s="20" t="s">
        <v>203</v>
      </c>
    </row>
    <row r="23" customFormat="false" ht="15" hidden="false" customHeight="false" outlineLevel="0" collapsed="false">
      <c r="A23" s="16" t="s">
        <v>204</v>
      </c>
      <c r="D23" s="28" t="n">
        <v>0</v>
      </c>
    </row>
    <row r="24" customFormat="false" ht="15" hidden="false" customHeight="false" outlineLevel="0" collapsed="false">
      <c r="A24" s="16" t="s">
        <v>205</v>
      </c>
      <c r="D24" s="28" t="n">
        <v>0</v>
      </c>
      <c r="F24" s="20" t="s">
        <v>206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3"/>
    <col collapsed="false" customWidth="true" hidden="false" outlineLevel="0" max="3" min="3" style="0" width="15"/>
    <col collapsed="false" customWidth="true" hidden="false" outlineLevel="0" max="4" min="4" style="0" width="12"/>
    <col collapsed="false" customWidth="true" hidden="false" outlineLevel="0" max="6" min="5" style="0" width="13"/>
    <col collapsed="false" customWidth="true" hidden="false" outlineLevel="0" max="7" min="7" style="0" width="11"/>
    <col collapsed="false" customWidth="true" hidden="false" outlineLevel="0" max="8" min="8" style="0" width="20"/>
    <col collapsed="false" customWidth="true" hidden="false" outlineLevel="0" max="10" min="9" style="0" width="13"/>
    <col collapsed="false" customWidth="true" hidden="false" outlineLevel="0" max="11" min="11" style="0" width="10"/>
    <col collapsed="false" customWidth="true" hidden="false" outlineLevel="0" max="12" min="12" style="0" width="13"/>
    <col collapsed="false" customWidth="true" hidden="false" outlineLevel="0" max="14" min="13" style="0" width="9"/>
    <col collapsed="false" customWidth="true" hidden="false" outlineLevel="0" max="15" min="15" style="0" width="46"/>
    <col collapsed="false" customWidth="true" hidden="false" outlineLevel="0" max="16" min="16" style="0" width="17"/>
    <col collapsed="false" customWidth="true" hidden="false" outlineLevel="0" max="17" min="17" style="0" width="52"/>
  </cols>
  <sheetData>
    <row r="1" customFormat="false" ht="16.15" hidden="false" customHeight="false" outlineLevel="0" collapsed="false">
      <c r="A1" s="18" t="s">
        <v>624</v>
      </c>
    </row>
    <row r="2" customFormat="false" ht="15" hidden="false" customHeight="false" outlineLevel="0" collapsed="false">
      <c r="A2" s="19" t="s">
        <v>625</v>
      </c>
    </row>
    <row r="3" customFormat="false" ht="15" hidden="false" customHeight="false" outlineLevel="0" collapsed="false">
      <c r="A3" s="20" t="s">
        <v>626</v>
      </c>
    </row>
    <row r="5" customFormat="false" ht="32.8" hidden="false" customHeight="false" outlineLevel="0" collapsed="false">
      <c r="A5" s="4" t="s">
        <v>122</v>
      </c>
      <c r="B5" s="4" t="s">
        <v>123</v>
      </c>
      <c r="C5" s="4" t="s">
        <v>124</v>
      </c>
      <c r="D5" s="4" t="s">
        <v>125</v>
      </c>
      <c r="E5" s="4" t="s">
        <v>126</v>
      </c>
      <c r="F5" s="4" t="s">
        <v>12</v>
      </c>
      <c r="G5" s="4" t="s">
        <v>127</v>
      </c>
      <c r="H5" s="4" t="s">
        <v>128</v>
      </c>
      <c r="I5" s="4" t="s">
        <v>129</v>
      </c>
      <c r="J5" s="4" t="s">
        <v>130</v>
      </c>
      <c r="K5" s="4" t="s">
        <v>131</v>
      </c>
      <c r="L5" s="4" t="s">
        <v>132</v>
      </c>
      <c r="M5" s="4" t="s">
        <v>133</v>
      </c>
      <c r="N5" s="4" t="s">
        <v>134</v>
      </c>
      <c r="O5" s="4" t="s">
        <v>135</v>
      </c>
      <c r="P5" s="4" t="s">
        <v>136</v>
      </c>
      <c r="Q5" s="4" t="s">
        <v>137</v>
      </c>
    </row>
    <row r="6" customFormat="false" ht="15" hidden="false" customHeight="false" outlineLevel="0" collapsed="false">
      <c r="A6" s="9" t="s">
        <v>357</v>
      </c>
      <c r="B6" s="21" t="n">
        <v>196.4</v>
      </c>
      <c r="C6" s="25" t="s">
        <v>154</v>
      </c>
      <c r="D6" s="8" t="n">
        <v>0</v>
      </c>
      <c r="E6" s="21" t="n">
        <f aca="false">ROUND(B6*D6,1)</f>
        <v>0</v>
      </c>
      <c r="F6" s="21" t="n">
        <f aca="false">B6-E6</f>
        <v>196.4</v>
      </c>
      <c r="G6" s="23" t="n">
        <v>12</v>
      </c>
      <c r="H6" s="9" t="s">
        <v>211</v>
      </c>
      <c r="I6" s="24" t="n">
        <v>8</v>
      </c>
      <c r="J6" s="6" t="n">
        <f aca="false">ROUND(F6*I6,0)</f>
        <v>1571</v>
      </c>
      <c r="K6" s="5" t="s">
        <v>141</v>
      </c>
      <c r="L6" s="5" t="s">
        <v>150</v>
      </c>
      <c r="M6" s="8" t="n">
        <v>0.5</v>
      </c>
      <c r="N6" s="5" t="n">
        <v>1</v>
      </c>
      <c r="O6" s="9" t="s">
        <v>155</v>
      </c>
      <c r="P6" s="5" t="s">
        <v>144</v>
      </c>
      <c r="Q6" s="9" t="s">
        <v>627</v>
      </c>
    </row>
    <row r="7" customFormat="false" ht="15" hidden="false" customHeight="false" outlineLevel="0" collapsed="false">
      <c r="A7" s="9" t="s">
        <v>327</v>
      </c>
      <c r="B7" s="21" t="n">
        <v>29</v>
      </c>
      <c r="C7" s="25" t="s">
        <v>154</v>
      </c>
      <c r="D7" s="8" t="n">
        <v>0</v>
      </c>
      <c r="E7" s="21" t="n">
        <f aca="false">ROUND(B7*D7,1)</f>
        <v>0</v>
      </c>
      <c r="F7" s="21" t="n">
        <f aca="false">B7-E7</f>
        <v>29</v>
      </c>
      <c r="G7" s="23" t="n">
        <v>12</v>
      </c>
      <c r="H7" s="9" t="s">
        <v>211</v>
      </c>
      <c r="I7" s="24" t="n">
        <v>8</v>
      </c>
      <c r="J7" s="6" t="n">
        <f aca="false">ROUND(F7*I7,0)</f>
        <v>232</v>
      </c>
      <c r="K7" s="5" t="s">
        <v>141</v>
      </c>
      <c r="L7" s="5" t="s">
        <v>174</v>
      </c>
      <c r="M7" s="8" t="n">
        <v>0</v>
      </c>
      <c r="N7" s="5" t="n">
        <v>1</v>
      </c>
      <c r="O7" s="9" t="s">
        <v>155</v>
      </c>
      <c r="P7" s="5" t="s">
        <v>144</v>
      </c>
      <c r="Q7" s="9" t="s">
        <v>627</v>
      </c>
    </row>
    <row r="8" customFormat="false" ht="15" hidden="false" customHeight="false" outlineLevel="0" collapsed="false">
      <c r="A8" s="9" t="s">
        <v>527</v>
      </c>
      <c r="B8" s="21" t="n">
        <v>255.7</v>
      </c>
      <c r="C8" s="25" t="s">
        <v>154</v>
      </c>
      <c r="D8" s="8" t="n">
        <v>0</v>
      </c>
      <c r="E8" s="21" t="n">
        <f aca="false">ROUND(B8*D8,1)</f>
        <v>0</v>
      </c>
      <c r="F8" s="21" t="n">
        <f aca="false">B8-E8</f>
        <v>255.7</v>
      </c>
      <c r="G8" s="23" t="n">
        <v>12</v>
      </c>
      <c r="H8" s="9" t="s">
        <v>211</v>
      </c>
      <c r="I8" s="24" t="n">
        <v>8</v>
      </c>
      <c r="J8" s="6" t="n">
        <f aca="false">ROUND(F8*I8,0)</f>
        <v>2046</v>
      </c>
      <c r="K8" s="5" t="s">
        <v>141</v>
      </c>
      <c r="L8" s="5" t="s">
        <v>150</v>
      </c>
      <c r="M8" s="8" t="n">
        <v>0.5</v>
      </c>
      <c r="N8" s="5" t="n">
        <v>1</v>
      </c>
      <c r="O8" s="9" t="s">
        <v>155</v>
      </c>
      <c r="P8" s="5" t="s">
        <v>144</v>
      </c>
      <c r="Q8" s="9" t="s">
        <v>627</v>
      </c>
    </row>
    <row r="9" customFormat="false" ht="15" hidden="false" customHeight="false" outlineLevel="0" collapsed="false">
      <c r="A9" s="9" t="s">
        <v>628</v>
      </c>
      <c r="B9" s="21" t="n">
        <v>168.7</v>
      </c>
      <c r="C9" s="25" t="s">
        <v>154</v>
      </c>
      <c r="D9" s="8" t="n">
        <v>0</v>
      </c>
      <c r="E9" s="21" t="n">
        <f aca="false">ROUND(B9*D9,1)</f>
        <v>0</v>
      </c>
      <c r="F9" s="21" t="n">
        <f aca="false">B9-E9</f>
        <v>168.7</v>
      </c>
      <c r="G9" s="23" t="n">
        <v>12</v>
      </c>
      <c r="H9" s="9" t="s">
        <v>211</v>
      </c>
      <c r="I9" s="24" t="n">
        <v>8</v>
      </c>
      <c r="J9" s="6" t="n">
        <f aca="false">ROUND(F9*I9,0)</f>
        <v>1350</v>
      </c>
      <c r="K9" s="5" t="s">
        <v>141</v>
      </c>
      <c r="L9" s="5" t="s">
        <v>174</v>
      </c>
      <c r="M9" s="8" t="n">
        <v>0</v>
      </c>
      <c r="N9" s="5" t="n">
        <v>1</v>
      </c>
      <c r="O9" s="9" t="s">
        <v>175</v>
      </c>
      <c r="P9" s="5" t="s">
        <v>144</v>
      </c>
      <c r="Q9" s="9" t="s">
        <v>627</v>
      </c>
    </row>
    <row r="10" customFormat="false" ht="15" hidden="false" customHeight="false" outlineLevel="0" collapsed="false">
      <c r="A10" s="9" t="s">
        <v>616</v>
      </c>
      <c r="B10" s="21" t="n">
        <v>81.1</v>
      </c>
      <c r="C10" s="25" t="s">
        <v>154</v>
      </c>
      <c r="D10" s="8" t="n">
        <v>0</v>
      </c>
      <c r="E10" s="21" t="n">
        <f aca="false">ROUND(B10*D10,1)</f>
        <v>0</v>
      </c>
      <c r="F10" s="21" t="n">
        <f aca="false">B10-E10</f>
        <v>81.1</v>
      </c>
      <c r="G10" s="23" t="n">
        <v>12</v>
      </c>
      <c r="H10" s="9" t="s">
        <v>211</v>
      </c>
      <c r="I10" s="24" t="n">
        <v>8</v>
      </c>
      <c r="J10" s="6" t="n">
        <f aca="false">ROUND(F10*I10,0)</f>
        <v>649</v>
      </c>
      <c r="K10" s="5" t="s">
        <v>141</v>
      </c>
      <c r="L10" s="5" t="s">
        <v>150</v>
      </c>
      <c r="M10" s="8" t="n">
        <v>0.5</v>
      </c>
      <c r="N10" s="5" t="n">
        <v>1</v>
      </c>
      <c r="O10" s="9" t="s">
        <v>175</v>
      </c>
      <c r="P10" s="5" t="s">
        <v>144</v>
      </c>
      <c r="Q10" s="9" t="s">
        <v>627</v>
      </c>
    </row>
    <row r="11" customFormat="false" ht="15" hidden="false" customHeight="false" outlineLevel="0" collapsed="false">
      <c r="A11" s="9" t="s">
        <v>354</v>
      </c>
      <c r="B11" s="21" t="n">
        <v>103.5</v>
      </c>
      <c r="C11" s="25" t="s">
        <v>154</v>
      </c>
      <c r="D11" s="8" t="n">
        <v>0</v>
      </c>
      <c r="E11" s="21" t="n">
        <f aca="false">ROUND(B11*D11,1)</f>
        <v>0</v>
      </c>
      <c r="F11" s="21" t="n">
        <f aca="false">B11-E11</f>
        <v>103.5</v>
      </c>
      <c r="G11" s="23" t="n">
        <v>12</v>
      </c>
      <c r="H11" s="9" t="s">
        <v>211</v>
      </c>
      <c r="I11" s="24" t="n">
        <v>8</v>
      </c>
      <c r="J11" s="6" t="n">
        <f aca="false">ROUND(F11*I11,0)</f>
        <v>828</v>
      </c>
      <c r="K11" s="5" t="s">
        <v>141</v>
      </c>
      <c r="L11" s="5" t="s">
        <v>150</v>
      </c>
      <c r="M11" s="8" t="n">
        <v>0.5</v>
      </c>
      <c r="N11" s="5" t="n">
        <v>1</v>
      </c>
      <c r="O11" s="9" t="s">
        <v>175</v>
      </c>
      <c r="P11" s="5" t="s">
        <v>144</v>
      </c>
      <c r="Q11" s="9" t="s">
        <v>627</v>
      </c>
    </row>
    <row r="12" customFormat="false" ht="15" hidden="false" customHeight="false" outlineLevel="0" collapsed="false">
      <c r="A12" s="9" t="s">
        <v>629</v>
      </c>
      <c r="B12" s="21" t="n">
        <v>134.7</v>
      </c>
      <c r="C12" s="25" t="s">
        <v>154</v>
      </c>
      <c r="D12" s="8" t="n">
        <v>0</v>
      </c>
      <c r="E12" s="21" t="n">
        <f aca="false">ROUND(B12*D12,1)</f>
        <v>0</v>
      </c>
      <c r="F12" s="21" t="n">
        <f aca="false">B12-E12</f>
        <v>134.7</v>
      </c>
      <c r="G12" s="23" t="n">
        <v>12</v>
      </c>
      <c r="H12" s="9" t="s">
        <v>211</v>
      </c>
      <c r="I12" s="24" t="n">
        <v>8</v>
      </c>
      <c r="J12" s="6" t="n">
        <f aca="false">ROUND(F12*I12,0)</f>
        <v>1078</v>
      </c>
      <c r="K12" s="5" t="s">
        <v>141</v>
      </c>
      <c r="L12" s="5" t="s">
        <v>150</v>
      </c>
      <c r="M12" s="8" t="n">
        <v>0.5</v>
      </c>
      <c r="N12" s="5" t="n">
        <v>1</v>
      </c>
      <c r="O12" s="9" t="s">
        <v>175</v>
      </c>
      <c r="P12" s="5" t="s">
        <v>144</v>
      </c>
      <c r="Q12" s="9" t="s">
        <v>627</v>
      </c>
    </row>
    <row r="13" customFormat="false" ht="15" hidden="false" customHeight="false" outlineLevel="0" collapsed="false">
      <c r="A13" s="9" t="s">
        <v>328</v>
      </c>
      <c r="B13" s="21" t="n">
        <v>253.6</v>
      </c>
      <c r="C13" s="25" t="s">
        <v>154</v>
      </c>
      <c r="D13" s="8" t="n">
        <v>0</v>
      </c>
      <c r="E13" s="21" t="n">
        <f aca="false">ROUND(B13*D13,1)</f>
        <v>0</v>
      </c>
      <c r="F13" s="21" t="n">
        <f aca="false">B13-E13</f>
        <v>253.6</v>
      </c>
      <c r="G13" s="23" t="n">
        <v>12</v>
      </c>
      <c r="H13" s="9" t="s">
        <v>211</v>
      </c>
      <c r="I13" s="24" t="n">
        <v>8</v>
      </c>
      <c r="J13" s="6" t="n">
        <f aca="false">ROUND(F13*I13,0)</f>
        <v>2029</v>
      </c>
      <c r="K13" s="5" t="s">
        <v>141</v>
      </c>
      <c r="L13" s="5" t="s">
        <v>174</v>
      </c>
      <c r="M13" s="8" t="n">
        <v>0</v>
      </c>
      <c r="N13" s="5" t="n">
        <v>1</v>
      </c>
      <c r="O13" s="9" t="s">
        <v>155</v>
      </c>
      <c r="P13" s="5" t="s">
        <v>144</v>
      </c>
      <c r="Q13" s="9" t="s">
        <v>627</v>
      </c>
    </row>
    <row r="14" customFormat="false" ht="15" hidden="false" customHeight="false" outlineLevel="0" collapsed="false">
      <c r="A14" s="9" t="s">
        <v>336</v>
      </c>
      <c r="B14" s="21" t="n">
        <v>192.1</v>
      </c>
      <c r="C14" s="25" t="s">
        <v>154</v>
      </c>
      <c r="D14" s="8" t="n">
        <v>0</v>
      </c>
      <c r="E14" s="21" t="n">
        <f aca="false">ROUND(B14*D14,1)</f>
        <v>0</v>
      </c>
      <c r="F14" s="21" t="n">
        <f aca="false">B14-E14</f>
        <v>192.1</v>
      </c>
      <c r="G14" s="23" t="n">
        <v>12</v>
      </c>
      <c r="H14" s="9" t="s">
        <v>211</v>
      </c>
      <c r="I14" s="24" t="n">
        <v>8</v>
      </c>
      <c r="J14" s="6" t="n">
        <f aca="false">ROUND(F14*I14,0)</f>
        <v>1537</v>
      </c>
      <c r="K14" s="5" t="s">
        <v>141</v>
      </c>
      <c r="L14" s="5" t="s">
        <v>150</v>
      </c>
      <c r="M14" s="8" t="n">
        <v>0.5</v>
      </c>
      <c r="N14" s="5" t="n">
        <v>1</v>
      </c>
      <c r="O14" s="9" t="s">
        <v>175</v>
      </c>
      <c r="P14" s="5" t="s">
        <v>144</v>
      </c>
      <c r="Q14" s="9" t="s">
        <v>627</v>
      </c>
    </row>
    <row r="15" customFormat="false" ht="15" hidden="false" customHeight="false" outlineLevel="0" collapsed="false">
      <c r="A15" s="9" t="s">
        <v>630</v>
      </c>
      <c r="B15" s="21" t="n">
        <v>138.2</v>
      </c>
      <c r="C15" s="25" t="s">
        <v>154</v>
      </c>
      <c r="D15" s="8" t="n">
        <v>0</v>
      </c>
      <c r="E15" s="21" t="n">
        <f aca="false">ROUND(B15*D15,1)</f>
        <v>0</v>
      </c>
      <c r="F15" s="21" t="n">
        <f aca="false">B15-E15</f>
        <v>138.2</v>
      </c>
      <c r="G15" s="23" t="n">
        <v>12</v>
      </c>
      <c r="H15" s="9" t="s">
        <v>211</v>
      </c>
      <c r="I15" s="24" t="n">
        <v>8</v>
      </c>
      <c r="J15" s="6" t="n">
        <f aca="false">ROUND(F15*I15,0)</f>
        <v>1106</v>
      </c>
      <c r="K15" s="5" t="s">
        <v>141</v>
      </c>
      <c r="L15" s="5" t="s">
        <v>150</v>
      </c>
      <c r="M15" s="8" t="n">
        <v>0.5</v>
      </c>
      <c r="N15" s="5" t="n">
        <v>1</v>
      </c>
      <c r="O15" s="9" t="s">
        <v>175</v>
      </c>
      <c r="P15" s="5" t="s">
        <v>144</v>
      </c>
      <c r="Q15" s="9" t="s">
        <v>627</v>
      </c>
    </row>
    <row r="16" customFormat="false" ht="15" hidden="false" customHeight="false" outlineLevel="0" collapsed="false">
      <c r="A16" s="9" t="s">
        <v>322</v>
      </c>
      <c r="B16" s="21" t="n">
        <v>215.7</v>
      </c>
      <c r="C16" s="25" t="s">
        <v>154</v>
      </c>
      <c r="D16" s="8" t="n">
        <v>0</v>
      </c>
      <c r="E16" s="21" t="n">
        <f aca="false">ROUND(B16*D16,1)</f>
        <v>0</v>
      </c>
      <c r="F16" s="21" t="n">
        <f aca="false">B16-E16</f>
        <v>215.7</v>
      </c>
      <c r="G16" s="23" t="n">
        <v>12</v>
      </c>
      <c r="H16" s="9" t="s">
        <v>211</v>
      </c>
      <c r="I16" s="24" t="n">
        <v>8</v>
      </c>
      <c r="J16" s="6" t="n">
        <f aca="false">ROUND(F16*I16,0)</f>
        <v>1726</v>
      </c>
      <c r="K16" s="5" t="s">
        <v>141</v>
      </c>
      <c r="L16" s="5" t="s">
        <v>150</v>
      </c>
      <c r="M16" s="8" t="n">
        <v>0.5</v>
      </c>
      <c r="N16" s="5" t="n">
        <v>1</v>
      </c>
      <c r="O16" s="9" t="s">
        <v>175</v>
      </c>
      <c r="P16" s="5" t="s">
        <v>144</v>
      </c>
      <c r="Q16" s="9" t="s">
        <v>627</v>
      </c>
    </row>
    <row r="17" customFormat="false" ht="15" hidden="false" customHeight="false" outlineLevel="0" collapsed="false">
      <c r="A17" s="9" t="s">
        <v>352</v>
      </c>
      <c r="B17" s="21" t="n">
        <v>52.1</v>
      </c>
      <c r="C17" s="25" t="s">
        <v>154</v>
      </c>
      <c r="D17" s="8" t="n">
        <v>0</v>
      </c>
      <c r="E17" s="21" t="n">
        <f aca="false">ROUND(B17*D17,1)</f>
        <v>0</v>
      </c>
      <c r="F17" s="21" t="n">
        <f aca="false">B17-E17</f>
        <v>52.1</v>
      </c>
      <c r="G17" s="23" t="n">
        <v>12</v>
      </c>
      <c r="H17" s="9" t="s">
        <v>211</v>
      </c>
      <c r="I17" s="24" t="n">
        <v>8</v>
      </c>
      <c r="J17" s="6" t="n">
        <f aca="false">ROUND(F17*I17,0)</f>
        <v>417</v>
      </c>
      <c r="K17" s="5" t="s">
        <v>141</v>
      </c>
      <c r="L17" s="5" t="s">
        <v>174</v>
      </c>
      <c r="M17" s="8" t="n">
        <v>0</v>
      </c>
      <c r="N17" s="5" t="n">
        <v>1</v>
      </c>
      <c r="O17" s="9" t="s">
        <v>175</v>
      </c>
      <c r="P17" s="5" t="s">
        <v>144</v>
      </c>
      <c r="Q17" s="9" t="s">
        <v>627</v>
      </c>
    </row>
    <row r="18" customFormat="false" ht="15" hidden="false" customHeight="false" outlineLevel="0" collapsed="false">
      <c r="A18" s="9" t="s">
        <v>325</v>
      </c>
      <c r="B18" s="21" t="n">
        <v>168.5</v>
      </c>
      <c r="C18" s="25" t="s">
        <v>154</v>
      </c>
      <c r="D18" s="8" t="n">
        <v>0</v>
      </c>
      <c r="E18" s="21" t="n">
        <f aca="false">ROUND(B18*D18,1)</f>
        <v>0</v>
      </c>
      <c r="F18" s="21" t="n">
        <f aca="false">B18-E18</f>
        <v>168.5</v>
      </c>
      <c r="G18" s="23" t="n">
        <v>12</v>
      </c>
      <c r="H18" s="9" t="s">
        <v>211</v>
      </c>
      <c r="I18" s="24" t="n">
        <v>8</v>
      </c>
      <c r="J18" s="6" t="n">
        <f aca="false">ROUND(F18*I18,0)</f>
        <v>1348</v>
      </c>
      <c r="K18" s="5" t="s">
        <v>141</v>
      </c>
      <c r="L18" s="5" t="s">
        <v>174</v>
      </c>
      <c r="M18" s="8" t="n">
        <v>0</v>
      </c>
      <c r="N18" s="5" t="n">
        <v>1</v>
      </c>
      <c r="O18" s="9" t="s">
        <v>175</v>
      </c>
      <c r="P18" s="5" t="s">
        <v>144</v>
      </c>
      <c r="Q18" s="9" t="s">
        <v>627</v>
      </c>
    </row>
    <row r="19" customFormat="false" ht="15" hidden="false" customHeight="false" outlineLevel="0" collapsed="false">
      <c r="A19" s="9" t="s">
        <v>332</v>
      </c>
      <c r="B19" s="21" t="n">
        <v>222.8</v>
      </c>
      <c r="C19" s="25" t="s">
        <v>154</v>
      </c>
      <c r="D19" s="8" t="n">
        <v>0</v>
      </c>
      <c r="E19" s="21" t="n">
        <f aca="false">ROUND(B19*D19,1)</f>
        <v>0</v>
      </c>
      <c r="F19" s="21" t="n">
        <f aca="false">B19-E19</f>
        <v>222.8</v>
      </c>
      <c r="G19" s="23" t="n">
        <v>12</v>
      </c>
      <c r="H19" s="9" t="s">
        <v>211</v>
      </c>
      <c r="I19" s="24" t="n">
        <v>8</v>
      </c>
      <c r="J19" s="6" t="n">
        <f aca="false">ROUND(F19*I19,0)</f>
        <v>1782</v>
      </c>
      <c r="K19" s="5" t="s">
        <v>141</v>
      </c>
      <c r="L19" s="5" t="s">
        <v>150</v>
      </c>
      <c r="M19" s="8" t="n">
        <v>0.5</v>
      </c>
      <c r="N19" s="5" t="n">
        <v>1</v>
      </c>
      <c r="O19" s="9" t="s">
        <v>155</v>
      </c>
      <c r="P19" s="5" t="s">
        <v>144</v>
      </c>
      <c r="Q19" s="9" t="s">
        <v>627</v>
      </c>
    </row>
    <row r="20" customFormat="false" ht="15" hidden="false" customHeight="false" outlineLevel="0" collapsed="false">
      <c r="A20" s="9" t="s">
        <v>618</v>
      </c>
      <c r="B20" s="21" t="n">
        <v>82.7</v>
      </c>
      <c r="C20" s="25" t="s">
        <v>154</v>
      </c>
      <c r="D20" s="8" t="n">
        <v>0</v>
      </c>
      <c r="E20" s="21" t="n">
        <f aca="false">ROUND(B20*D20,1)</f>
        <v>0</v>
      </c>
      <c r="F20" s="21" t="n">
        <f aca="false">B20-E20</f>
        <v>82.7</v>
      </c>
      <c r="G20" s="23" t="n">
        <v>12</v>
      </c>
      <c r="H20" s="9" t="s">
        <v>211</v>
      </c>
      <c r="I20" s="24" t="n">
        <v>8</v>
      </c>
      <c r="J20" s="6" t="n">
        <f aca="false">ROUND(F20*I20,0)</f>
        <v>662</v>
      </c>
      <c r="K20" s="5" t="s">
        <v>141</v>
      </c>
      <c r="L20" s="5" t="s">
        <v>174</v>
      </c>
      <c r="M20" s="8" t="n">
        <v>0</v>
      </c>
      <c r="N20" s="5" t="n">
        <v>1</v>
      </c>
      <c r="O20" s="9" t="s">
        <v>175</v>
      </c>
      <c r="P20" s="5" t="s">
        <v>144</v>
      </c>
      <c r="Q20" s="9" t="s">
        <v>627</v>
      </c>
    </row>
    <row r="21" customFormat="false" ht="32.8" hidden="false" customHeight="false" outlineLevel="0" collapsed="false">
      <c r="A21" s="9" t="s">
        <v>281</v>
      </c>
      <c r="B21" s="21" t="n">
        <v>217.4</v>
      </c>
      <c r="C21" s="25" t="s">
        <v>154</v>
      </c>
      <c r="D21" s="8" t="n">
        <v>0</v>
      </c>
      <c r="E21" s="21" t="n">
        <f aca="false">ROUND(B21*D21,1)</f>
        <v>0</v>
      </c>
      <c r="F21" s="21" t="n">
        <f aca="false">B21-E21</f>
        <v>217.4</v>
      </c>
      <c r="G21" s="23" t="n">
        <v>12</v>
      </c>
      <c r="H21" s="9" t="s">
        <v>211</v>
      </c>
      <c r="I21" s="24" t="n">
        <v>8</v>
      </c>
      <c r="J21" s="6" t="n">
        <f aca="false">ROUND(F21*I21,0)</f>
        <v>1739</v>
      </c>
      <c r="K21" s="5" t="s">
        <v>141</v>
      </c>
      <c r="L21" s="5" t="s">
        <v>174</v>
      </c>
      <c r="M21" s="8" t="n">
        <v>0</v>
      </c>
      <c r="N21" s="5" t="n">
        <v>1</v>
      </c>
      <c r="O21" s="9" t="s">
        <v>155</v>
      </c>
      <c r="P21" s="5" t="s">
        <v>144</v>
      </c>
      <c r="Q21" s="9" t="s">
        <v>631</v>
      </c>
    </row>
    <row r="22" customFormat="false" ht="15" hidden="false" customHeight="false" outlineLevel="0" collapsed="false">
      <c r="A22" s="9" t="s">
        <v>275</v>
      </c>
      <c r="B22" s="21" t="n">
        <v>560.7</v>
      </c>
      <c r="C22" s="25" t="s">
        <v>154</v>
      </c>
      <c r="D22" s="8" t="n">
        <v>0</v>
      </c>
      <c r="E22" s="21" t="n">
        <f aca="false">ROUND(B22*D22,1)</f>
        <v>0</v>
      </c>
      <c r="F22" s="21" t="n">
        <f aca="false">B22-E22</f>
        <v>560.7</v>
      </c>
      <c r="G22" s="23" t="n">
        <v>12</v>
      </c>
      <c r="H22" s="9" t="s">
        <v>211</v>
      </c>
      <c r="I22" s="24" t="n">
        <v>8</v>
      </c>
      <c r="J22" s="6" t="n">
        <f aca="false">ROUND(F22*I22,0)</f>
        <v>4486</v>
      </c>
      <c r="K22" s="5" t="s">
        <v>314</v>
      </c>
      <c r="L22" s="5" t="s">
        <v>150</v>
      </c>
      <c r="M22" s="8" t="n">
        <v>0.5</v>
      </c>
      <c r="N22" s="5" t="n">
        <v>1</v>
      </c>
      <c r="O22" s="9" t="s">
        <v>175</v>
      </c>
      <c r="P22" s="5" t="s">
        <v>144</v>
      </c>
      <c r="Q22" s="9" t="s">
        <v>632</v>
      </c>
    </row>
    <row r="23" customFormat="false" ht="15" hidden="false" customHeight="false" outlineLevel="0" collapsed="false">
      <c r="A23" s="9" t="s">
        <v>633</v>
      </c>
      <c r="B23" s="21" t="n">
        <v>137.1</v>
      </c>
      <c r="C23" s="25" t="s">
        <v>154</v>
      </c>
      <c r="D23" s="8" t="n">
        <v>0</v>
      </c>
      <c r="E23" s="21" t="n">
        <f aca="false">ROUND(B23*D23,1)</f>
        <v>0</v>
      </c>
      <c r="F23" s="21" t="n">
        <f aca="false">B23-E23</f>
        <v>137.1</v>
      </c>
      <c r="G23" s="23" t="n">
        <v>12</v>
      </c>
      <c r="H23" s="9" t="s">
        <v>211</v>
      </c>
      <c r="I23" s="24" t="n">
        <v>8</v>
      </c>
      <c r="J23" s="6" t="n">
        <f aca="false">ROUND(F23*I23,0)</f>
        <v>1097</v>
      </c>
      <c r="K23" s="5" t="s">
        <v>141</v>
      </c>
      <c r="L23" s="5" t="s">
        <v>150</v>
      </c>
      <c r="M23" s="8" t="n">
        <v>0.5</v>
      </c>
      <c r="N23" s="5" t="n">
        <v>1</v>
      </c>
      <c r="O23" s="9" t="s">
        <v>175</v>
      </c>
      <c r="P23" s="5" t="s">
        <v>144</v>
      </c>
      <c r="Q23" s="9" t="s">
        <v>627</v>
      </c>
    </row>
    <row r="24" customFormat="false" ht="15" hidden="false" customHeight="false" outlineLevel="0" collapsed="false">
      <c r="A24" s="9" t="s">
        <v>634</v>
      </c>
      <c r="B24" s="21" t="n">
        <v>33.4</v>
      </c>
      <c r="C24" s="25" t="s">
        <v>154</v>
      </c>
      <c r="D24" s="8" t="n">
        <v>0</v>
      </c>
      <c r="E24" s="21" t="n">
        <f aca="false">ROUND(B24*D24,1)</f>
        <v>0</v>
      </c>
      <c r="F24" s="21" t="n">
        <f aca="false">B24-E24</f>
        <v>33.4</v>
      </c>
      <c r="G24" s="23" t="n">
        <v>12</v>
      </c>
      <c r="H24" s="9" t="s">
        <v>211</v>
      </c>
      <c r="I24" s="24" t="n">
        <v>8</v>
      </c>
      <c r="J24" s="6" t="n">
        <f aca="false">ROUND(F24*I24,0)</f>
        <v>267</v>
      </c>
      <c r="K24" s="5" t="s">
        <v>141</v>
      </c>
      <c r="L24" s="5" t="s">
        <v>174</v>
      </c>
      <c r="M24" s="8" t="n">
        <v>0</v>
      </c>
      <c r="N24" s="5" t="n">
        <v>1</v>
      </c>
      <c r="O24" s="9" t="s">
        <v>155</v>
      </c>
      <c r="P24" s="5" t="s">
        <v>144</v>
      </c>
      <c r="Q24" s="9" t="s">
        <v>627</v>
      </c>
    </row>
    <row r="25" customFormat="false" ht="32.8" hidden="false" customHeight="false" outlineLevel="0" collapsed="false">
      <c r="A25" s="9" t="s">
        <v>635</v>
      </c>
      <c r="B25" s="21" t="n">
        <v>437.7</v>
      </c>
      <c r="C25" s="25" t="s">
        <v>154</v>
      </c>
      <c r="D25" s="8" t="n">
        <v>0</v>
      </c>
      <c r="E25" s="21" t="n">
        <f aca="false">ROUND(B25*D25,1)</f>
        <v>0</v>
      </c>
      <c r="F25" s="21" t="n">
        <f aca="false">B25-E25</f>
        <v>437.7</v>
      </c>
      <c r="G25" s="23" t="n">
        <v>12</v>
      </c>
      <c r="H25" s="9" t="s">
        <v>211</v>
      </c>
      <c r="I25" s="24" t="n">
        <v>8</v>
      </c>
      <c r="J25" s="6" t="n">
        <f aca="false">ROUND(F25*I25,0)</f>
        <v>3502</v>
      </c>
      <c r="K25" s="5" t="s">
        <v>141</v>
      </c>
      <c r="L25" s="5" t="s">
        <v>150</v>
      </c>
      <c r="M25" s="8" t="n">
        <v>0.5</v>
      </c>
      <c r="N25" s="5" t="n">
        <v>1</v>
      </c>
      <c r="O25" s="9" t="s">
        <v>175</v>
      </c>
      <c r="P25" s="5" t="s">
        <v>144</v>
      </c>
      <c r="Q25" s="9" t="s">
        <v>636</v>
      </c>
    </row>
    <row r="26" customFormat="false" ht="15" hidden="false" customHeight="false" outlineLevel="0" collapsed="false">
      <c r="A26" s="9" t="s">
        <v>637</v>
      </c>
      <c r="B26" s="21" t="n">
        <v>120.3</v>
      </c>
      <c r="C26" s="25" t="s">
        <v>154</v>
      </c>
      <c r="D26" s="8" t="n">
        <v>0</v>
      </c>
      <c r="E26" s="21" t="n">
        <f aca="false">ROUND(B26*D26,1)</f>
        <v>0</v>
      </c>
      <c r="F26" s="21" t="n">
        <f aca="false">B26-E26</f>
        <v>120.3</v>
      </c>
      <c r="G26" s="23" t="n">
        <v>12</v>
      </c>
      <c r="H26" s="9" t="s">
        <v>211</v>
      </c>
      <c r="I26" s="24" t="n">
        <v>8</v>
      </c>
      <c r="J26" s="6" t="n">
        <f aca="false">ROUND(F26*I26,0)</f>
        <v>962</v>
      </c>
      <c r="K26" s="5" t="s">
        <v>141</v>
      </c>
      <c r="L26" s="5" t="s">
        <v>174</v>
      </c>
      <c r="M26" s="8" t="n">
        <v>0</v>
      </c>
      <c r="N26" s="5" t="n">
        <v>1</v>
      </c>
      <c r="O26" s="9" t="s">
        <v>175</v>
      </c>
      <c r="P26" s="5" t="s">
        <v>144</v>
      </c>
      <c r="Q26" s="9" t="s">
        <v>627</v>
      </c>
    </row>
    <row r="27" customFormat="false" ht="15" hidden="false" customHeight="false" outlineLevel="0" collapsed="false">
      <c r="A27" s="9" t="s">
        <v>638</v>
      </c>
      <c r="B27" s="21" t="n">
        <v>83.6</v>
      </c>
      <c r="C27" s="25" t="s">
        <v>154</v>
      </c>
      <c r="D27" s="8" t="n">
        <v>0</v>
      </c>
      <c r="E27" s="21" t="n">
        <f aca="false">ROUND(B27*D27,1)</f>
        <v>0</v>
      </c>
      <c r="F27" s="21" t="n">
        <f aca="false">B27-E27</f>
        <v>83.6</v>
      </c>
      <c r="G27" s="23" t="n">
        <v>12</v>
      </c>
      <c r="H27" s="9" t="s">
        <v>211</v>
      </c>
      <c r="I27" s="24" t="n">
        <v>8</v>
      </c>
      <c r="J27" s="6" t="n">
        <f aca="false">ROUND(F27*I27,0)</f>
        <v>669</v>
      </c>
      <c r="K27" s="5" t="s">
        <v>141</v>
      </c>
      <c r="L27" s="5" t="s">
        <v>174</v>
      </c>
      <c r="M27" s="8" t="n">
        <v>0</v>
      </c>
      <c r="N27" s="5" t="n">
        <v>1</v>
      </c>
      <c r="O27" s="9" t="s">
        <v>175</v>
      </c>
      <c r="P27" s="5" t="s">
        <v>144</v>
      </c>
      <c r="Q27" s="9" t="s">
        <v>627</v>
      </c>
    </row>
    <row r="28" customFormat="false" ht="15" hidden="false" customHeight="false" outlineLevel="0" collapsed="false">
      <c r="A28" s="12" t="s">
        <v>189</v>
      </c>
      <c r="B28" s="13" t="n">
        <f aca="false">SUM(B6:B27)</f>
        <v>3885</v>
      </c>
      <c r="C28" s="12"/>
      <c r="D28" s="14" t="n">
        <f aca="false">IF(B28=0,0,E28/B28)</f>
        <v>0</v>
      </c>
      <c r="E28" s="13" t="n">
        <f aca="false">SUM(E6:E27)</f>
        <v>0</v>
      </c>
      <c r="F28" s="13" t="n">
        <f aca="false">SUM(F6:F27)</f>
        <v>3885</v>
      </c>
      <c r="G28" s="12"/>
      <c r="H28" s="12"/>
      <c r="I28" s="12"/>
      <c r="J28" s="13" t="n">
        <f aca="false">SUM(J6:J27)</f>
        <v>31083</v>
      </c>
      <c r="K28" s="12"/>
      <c r="L28" s="12"/>
      <c r="M28" s="12"/>
      <c r="N28" s="12"/>
      <c r="O28" s="12"/>
      <c r="P28" s="12"/>
      <c r="Q28" s="12"/>
    </row>
    <row r="30" customFormat="false" ht="15" hidden="false" customHeight="false" outlineLevel="0" collapsed="false">
      <c r="A30" s="16" t="s">
        <v>190</v>
      </c>
      <c r="D30" s="27" t="n">
        <f aca="false">J28</f>
        <v>31083</v>
      </c>
      <c r="F30" s="20" t="s">
        <v>191</v>
      </c>
    </row>
    <row r="31" customFormat="false" ht="15" hidden="false" customHeight="false" outlineLevel="0" collapsed="false">
      <c r="A31" s="16" t="s">
        <v>192</v>
      </c>
      <c r="D31" s="27" t="n">
        <f aca="false">F28*8</f>
        <v>31080</v>
      </c>
      <c r="F31" s="20" t="s">
        <v>193</v>
      </c>
    </row>
    <row r="32" customFormat="false" ht="15" hidden="false" customHeight="false" outlineLevel="0" collapsed="false">
      <c r="A32" s="16" t="s">
        <v>194</v>
      </c>
      <c r="D32" s="28" t="n">
        <v>0</v>
      </c>
      <c r="F32" s="20" t="s">
        <v>195</v>
      </c>
    </row>
    <row r="33" customFormat="false" ht="15" hidden="false" customHeight="false" outlineLevel="0" collapsed="false">
      <c r="A33" s="16" t="s">
        <v>196</v>
      </c>
      <c r="D33" s="29" t="n">
        <v>0.33</v>
      </c>
      <c r="F33" s="20" t="s">
        <v>90</v>
      </c>
    </row>
    <row r="34" customFormat="false" ht="15" hidden="false" customHeight="false" outlineLevel="0" collapsed="false">
      <c r="A34" s="16" t="s">
        <v>197</v>
      </c>
      <c r="D34" s="27" t="n">
        <f aca="false">(B28-D32)*(1-D33)</f>
        <v>2602.95</v>
      </c>
      <c r="F34" s="20" t="s">
        <v>198</v>
      </c>
    </row>
    <row r="35" customFormat="false" ht="15" hidden="false" customHeight="false" outlineLevel="0" collapsed="false">
      <c r="A35" s="16" t="s">
        <v>199</v>
      </c>
      <c r="D35" s="27" t="n">
        <f aca="false">ROUND(D34*4,0)</f>
        <v>10412</v>
      </c>
      <c r="F35" s="20" t="s">
        <v>200</v>
      </c>
    </row>
    <row r="36" customFormat="false" ht="15" hidden="false" customHeight="false" outlineLevel="0" collapsed="false">
      <c r="A36" s="16" t="s">
        <v>201</v>
      </c>
      <c r="D36" s="28" t="n">
        <v>22</v>
      </c>
    </row>
    <row r="37" customFormat="false" ht="15" hidden="false" customHeight="false" outlineLevel="0" collapsed="false">
      <c r="A37" s="16" t="s">
        <v>202</v>
      </c>
      <c r="D37" s="28" t="n">
        <v>0</v>
      </c>
      <c r="F37" s="20" t="s">
        <v>203</v>
      </c>
    </row>
    <row r="38" customFormat="false" ht="15" hidden="false" customHeight="false" outlineLevel="0" collapsed="false">
      <c r="A38" s="16" t="s">
        <v>204</v>
      </c>
      <c r="D38" s="28" t="n">
        <v>0</v>
      </c>
    </row>
    <row r="39" customFormat="false" ht="15" hidden="false" customHeight="false" outlineLevel="0" collapsed="false">
      <c r="A39" s="16" t="s">
        <v>205</v>
      </c>
      <c r="D39" s="28" t="n">
        <v>0</v>
      </c>
      <c r="F39" s="20" t="s">
        <v>206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3"/>
    <col collapsed="false" customWidth="true" hidden="false" outlineLevel="0" max="3" min="3" style="0" width="15"/>
    <col collapsed="false" customWidth="true" hidden="false" outlineLevel="0" max="4" min="4" style="0" width="12"/>
    <col collapsed="false" customWidth="true" hidden="false" outlineLevel="0" max="6" min="5" style="0" width="13"/>
    <col collapsed="false" customWidth="true" hidden="false" outlineLevel="0" max="7" min="7" style="0" width="11"/>
    <col collapsed="false" customWidth="true" hidden="false" outlineLevel="0" max="8" min="8" style="0" width="20"/>
    <col collapsed="false" customWidth="true" hidden="false" outlineLevel="0" max="10" min="9" style="0" width="13"/>
    <col collapsed="false" customWidth="true" hidden="false" outlineLevel="0" max="11" min="11" style="0" width="10"/>
    <col collapsed="false" customWidth="true" hidden="false" outlineLevel="0" max="12" min="12" style="0" width="13"/>
    <col collapsed="false" customWidth="true" hidden="false" outlineLevel="0" max="14" min="13" style="0" width="9"/>
    <col collapsed="false" customWidth="true" hidden="false" outlineLevel="0" max="15" min="15" style="0" width="46"/>
    <col collapsed="false" customWidth="true" hidden="false" outlineLevel="0" max="16" min="16" style="0" width="17"/>
    <col collapsed="false" customWidth="true" hidden="false" outlineLevel="0" max="17" min="17" style="0" width="52"/>
  </cols>
  <sheetData>
    <row r="1" customFormat="false" ht="16.15" hidden="false" customHeight="false" outlineLevel="0" collapsed="false">
      <c r="A1" s="18" t="s">
        <v>639</v>
      </c>
    </row>
    <row r="2" customFormat="false" ht="15" hidden="false" customHeight="false" outlineLevel="0" collapsed="false">
      <c r="A2" s="19" t="s">
        <v>640</v>
      </c>
    </row>
    <row r="3" customFormat="false" ht="15" hidden="false" customHeight="false" outlineLevel="0" collapsed="false">
      <c r="A3" s="20" t="s">
        <v>641</v>
      </c>
    </row>
    <row r="5" customFormat="false" ht="32.8" hidden="false" customHeight="false" outlineLevel="0" collapsed="false">
      <c r="A5" s="4" t="s">
        <v>122</v>
      </c>
      <c r="B5" s="4" t="s">
        <v>123</v>
      </c>
      <c r="C5" s="4" t="s">
        <v>124</v>
      </c>
      <c r="D5" s="4" t="s">
        <v>125</v>
      </c>
      <c r="E5" s="4" t="s">
        <v>126</v>
      </c>
      <c r="F5" s="4" t="s">
        <v>12</v>
      </c>
      <c r="G5" s="4" t="s">
        <v>127</v>
      </c>
      <c r="H5" s="4" t="s">
        <v>128</v>
      </c>
      <c r="I5" s="4" t="s">
        <v>129</v>
      </c>
      <c r="J5" s="4" t="s">
        <v>130</v>
      </c>
      <c r="K5" s="4" t="s">
        <v>131</v>
      </c>
      <c r="L5" s="4" t="s">
        <v>132</v>
      </c>
      <c r="M5" s="4" t="s">
        <v>133</v>
      </c>
      <c r="N5" s="4" t="s">
        <v>134</v>
      </c>
      <c r="O5" s="4" t="s">
        <v>135</v>
      </c>
      <c r="P5" s="4" t="s">
        <v>136</v>
      </c>
      <c r="Q5" s="4" t="s">
        <v>137</v>
      </c>
    </row>
    <row r="6" customFormat="false" ht="15" hidden="false" customHeight="false" outlineLevel="0" collapsed="false">
      <c r="A6" s="9" t="s">
        <v>322</v>
      </c>
      <c r="B6" s="21" t="n">
        <v>230.3</v>
      </c>
      <c r="C6" s="25" t="s">
        <v>154</v>
      </c>
      <c r="D6" s="8" t="n">
        <v>0</v>
      </c>
      <c r="E6" s="21" t="n">
        <f aca="false">ROUND(B6*D6,1)</f>
        <v>0</v>
      </c>
      <c r="F6" s="21" t="n">
        <f aca="false">B6-E6</f>
        <v>230.3</v>
      </c>
      <c r="G6" s="23" t="n">
        <v>12</v>
      </c>
      <c r="H6" s="9" t="s">
        <v>211</v>
      </c>
      <c r="I6" s="24" t="n">
        <v>8</v>
      </c>
      <c r="J6" s="6" t="n">
        <f aca="false">ROUND(F6*I6,0)</f>
        <v>1842</v>
      </c>
      <c r="K6" s="5" t="s">
        <v>141</v>
      </c>
      <c r="L6" s="5" t="s">
        <v>174</v>
      </c>
      <c r="M6" s="8" t="n">
        <v>0</v>
      </c>
      <c r="N6" s="5" t="n">
        <v>1</v>
      </c>
      <c r="O6" s="9" t="s">
        <v>175</v>
      </c>
      <c r="P6" s="5" t="s">
        <v>144</v>
      </c>
      <c r="Q6" s="9" t="s">
        <v>642</v>
      </c>
    </row>
    <row r="7" customFormat="false" ht="15" hidden="false" customHeight="false" outlineLevel="0" collapsed="false">
      <c r="A7" s="9" t="s">
        <v>325</v>
      </c>
      <c r="B7" s="21" t="n">
        <v>256.7</v>
      </c>
      <c r="C7" s="25" t="s">
        <v>154</v>
      </c>
      <c r="D7" s="8" t="n">
        <v>0</v>
      </c>
      <c r="E7" s="21" t="n">
        <f aca="false">ROUND(B7*D7,1)</f>
        <v>0</v>
      </c>
      <c r="F7" s="21" t="n">
        <f aca="false">B7-E7</f>
        <v>256.7</v>
      </c>
      <c r="G7" s="30" t="n">
        <v>12</v>
      </c>
      <c r="H7" s="9" t="s">
        <v>215</v>
      </c>
      <c r="I7" s="24" t="n">
        <v>8</v>
      </c>
      <c r="J7" s="6" t="n">
        <f aca="false">ROUND(F7*I7,0)</f>
        <v>2054</v>
      </c>
      <c r="K7" s="5" t="s">
        <v>141</v>
      </c>
      <c r="L7" s="5" t="s">
        <v>174</v>
      </c>
      <c r="M7" s="8" t="n">
        <v>0</v>
      </c>
      <c r="N7" s="5" t="n">
        <v>1</v>
      </c>
      <c r="O7" s="9" t="s">
        <v>175</v>
      </c>
      <c r="P7" s="5" t="s">
        <v>144</v>
      </c>
      <c r="Q7" s="9" t="s">
        <v>642</v>
      </c>
    </row>
    <row r="8" customFormat="false" ht="15" hidden="false" customHeight="false" outlineLevel="0" collapsed="false">
      <c r="A8" s="9" t="s">
        <v>328</v>
      </c>
      <c r="B8" s="21" t="n">
        <v>26.4</v>
      </c>
      <c r="C8" s="25" t="s">
        <v>154</v>
      </c>
      <c r="D8" s="8" t="n">
        <v>0</v>
      </c>
      <c r="E8" s="21" t="n">
        <f aca="false">ROUND(B8*D8,1)</f>
        <v>0</v>
      </c>
      <c r="F8" s="21" t="n">
        <f aca="false">B8-E8</f>
        <v>26.4</v>
      </c>
      <c r="G8" s="23" t="n">
        <v>12</v>
      </c>
      <c r="H8" s="9" t="s">
        <v>211</v>
      </c>
      <c r="I8" s="24" t="n">
        <v>8</v>
      </c>
      <c r="J8" s="6" t="n">
        <f aca="false">ROUND(F8*I8,0)</f>
        <v>211</v>
      </c>
      <c r="K8" s="5" t="s">
        <v>141</v>
      </c>
      <c r="L8" s="5" t="s">
        <v>174</v>
      </c>
      <c r="M8" s="8" t="n">
        <v>0</v>
      </c>
      <c r="N8" s="5" t="n">
        <v>1</v>
      </c>
      <c r="O8" s="9" t="s">
        <v>175</v>
      </c>
      <c r="P8" s="5" t="s">
        <v>144</v>
      </c>
      <c r="Q8" s="9" t="s">
        <v>642</v>
      </c>
    </row>
    <row r="9" customFormat="false" ht="15" hidden="false" customHeight="false" outlineLevel="0" collapsed="false">
      <c r="A9" s="9" t="s">
        <v>330</v>
      </c>
      <c r="B9" s="21" t="n">
        <v>232.6</v>
      </c>
      <c r="C9" s="25" t="s">
        <v>154</v>
      </c>
      <c r="D9" s="8" t="n">
        <v>0</v>
      </c>
      <c r="E9" s="21" t="n">
        <f aca="false">ROUND(B9*D9,1)</f>
        <v>0</v>
      </c>
      <c r="F9" s="21" t="n">
        <f aca="false">B9-E9</f>
        <v>232.6</v>
      </c>
      <c r="G9" s="30" t="n">
        <v>12</v>
      </c>
      <c r="H9" s="9" t="s">
        <v>215</v>
      </c>
      <c r="I9" s="24" t="n">
        <v>8</v>
      </c>
      <c r="J9" s="6" t="n">
        <f aca="false">ROUND(F9*I9,0)</f>
        <v>1861</v>
      </c>
      <c r="K9" s="5" t="s">
        <v>141</v>
      </c>
      <c r="L9" s="5" t="s">
        <v>174</v>
      </c>
      <c r="M9" s="8" t="n">
        <v>0</v>
      </c>
      <c r="N9" s="5" t="n">
        <v>1</v>
      </c>
      <c r="O9" s="9" t="s">
        <v>175</v>
      </c>
      <c r="P9" s="5" t="s">
        <v>144</v>
      </c>
      <c r="Q9" s="9" t="s">
        <v>642</v>
      </c>
    </row>
    <row r="10" customFormat="false" ht="15" hidden="false" customHeight="false" outlineLevel="0" collapsed="false">
      <c r="A10" s="9" t="s">
        <v>332</v>
      </c>
      <c r="B10" s="21" t="n">
        <v>232.6</v>
      </c>
      <c r="C10" s="22" t="s">
        <v>139</v>
      </c>
      <c r="D10" s="8" t="n">
        <v>1</v>
      </c>
      <c r="E10" s="21" t="n">
        <f aca="false">ROUND(B10*D10,1)</f>
        <v>232.6</v>
      </c>
      <c r="F10" s="21" t="n">
        <f aca="false">B10-E10</f>
        <v>0</v>
      </c>
      <c r="G10" s="30" t="n">
        <v>12</v>
      </c>
      <c r="H10" s="9" t="s">
        <v>215</v>
      </c>
      <c r="I10" s="24" t="n">
        <v>8</v>
      </c>
      <c r="J10" s="6" t="n">
        <f aca="false">ROUND(F10*I10,0)</f>
        <v>0</v>
      </c>
      <c r="K10" s="5" t="s">
        <v>141</v>
      </c>
      <c r="L10" s="5" t="s">
        <v>150</v>
      </c>
      <c r="M10" s="8" t="n">
        <v>0.5</v>
      </c>
      <c r="N10" s="5" t="n">
        <v>1</v>
      </c>
      <c r="O10" s="9" t="s">
        <v>151</v>
      </c>
      <c r="P10" s="5" t="s">
        <v>144</v>
      </c>
      <c r="Q10" s="9" t="s">
        <v>642</v>
      </c>
    </row>
    <row r="11" customFormat="false" ht="15" hidden="false" customHeight="false" outlineLevel="0" collapsed="false">
      <c r="A11" s="9" t="s">
        <v>336</v>
      </c>
      <c r="B11" s="21" t="n">
        <v>256.1</v>
      </c>
      <c r="C11" s="25" t="s">
        <v>154</v>
      </c>
      <c r="D11" s="8" t="n">
        <v>0</v>
      </c>
      <c r="E11" s="21" t="n">
        <f aca="false">ROUND(B11*D11,1)</f>
        <v>0</v>
      </c>
      <c r="F11" s="21" t="n">
        <f aca="false">B11-E11</f>
        <v>256.1</v>
      </c>
      <c r="G11" s="30" t="n">
        <v>12</v>
      </c>
      <c r="H11" s="9" t="s">
        <v>215</v>
      </c>
      <c r="I11" s="24" t="n">
        <v>8</v>
      </c>
      <c r="J11" s="6" t="n">
        <f aca="false">ROUND(F11*I11,0)</f>
        <v>2049</v>
      </c>
      <c r="K11" s="5" t="s">
        <v>141</v>
      </c>
      <c r="L11" s="5" t="s">
        <v>174</v>
      </c>
      <c r="M11" s="8" t="n">
        <v>0</v>
      </c>
      <c r="N11" s="5" t="n">
        <v>1</v>
      </c>
      <c r="O11" s="9" t="s">
        <v>175</v>
      </c>
      <c r="P11" s="5" t="s">
        <v>144</v>
      </c>
      <c r="Q11" s="9" t="s">
        <v>642</v>
      </c>
    </row>
    <row r="12" customFormat="false" ht="15" hidden="false" customHeight="false" outlineLevel="0" collapsed="false">
      <c r="A12" s="9" t="s">
        <v>342</v>
      </c>
      <c r="B12" s="21" t="n">
        <v>109.2</v>
      </c>
      <c r="C12" s="25" t="s">
        <v>154</v>
      </c>
      <c r="D12" s="8" t="n">
        <v>0</v>
      </c>
      <c r="E12" s="21" t="n">
        <f aca="false">ROUND(B12*D12,1)</f>
        <v>0</v>
      </c>
      <c r="F12" s="21" t="n">
        <f aca="false">B12-E12</f>
        <v>109.2</v>
      </c>
      <c r="G12" s="23" t="n">
        <v>12</v>
      </c>
      <c r="H12" s="9" t="s">
        <v>211</v>
      </c>
      <c r="I12" s="24" t="n">
        <v>8</v>
      </c>
      <c r="J12" s="6" t="n">
        <f aca="false">ROUND(F12*I12,0)</f>
        <v>874</v>
      </c>
      <c r="K12" s="5" t="s">
        <v>314</v>
      </c>
      <c r="L12" s="5" t="s">
        <v>217</v>
      </c>
      <c r="M12" s="8" t="s">
        <v>218</v>
      </c>
      <c r="N12" s="5" t="n">
        <v>1</v>
      </c>
      <c r="O12" s="9" t="s">
        <v>491</v>
      </c>
      <c r="P12" s="5" t="s">
        <v>144</v>
      </c>
      <c r="Q12" s="9" t="s">
        <v>642</v>
      </c>
    </row>
    <row r="13" customFormat="false" ht="15" hidden="false" customHeight="false" outlineLevel="0" collapsed="false">
      <c r="A13" s="9" t="s">
        <v>348</v>
      </c>
      <c r="B13" s="21" t="n">
        <v>229.7</v>
      </c>
      <c r="C13" s="25" t="s">
        <v>154</v>
      </c>
      <c r="D13" s="8" t="n">
        <v>0</v>
      </c>
      <c r="E13" s="21" t="n">
        <f aca="false">ROUND(B13*D13,1)</f>
        <v>0</v>
      </c>
      <c r="F13" s="21" t="n">
        <f aca="false">B13-E13</f>
        <v>229.7</v>
      </c>
      <c r="G13" s="30" t="n">
        <v>12</v>
      </c>
      <c r="H13" s="9" t="s">
        <v>215</v>
      </c>
      <c r="I13" s="24" t="n">
        <v>8</v>
      </c>
      <c r="J13" s="6" t="n">
        <f aca="false">ROUND(F13*I13,0)</f>
        <v>1838</v>
      </c>
      <c r="K13" s="5" t="s">
        <v>314</v>
      </c>
      <c r="L13" s="5" t="s">
        <v>217</v>
      </c>
      <c r="M13" s="8" t="s">
        <v>218</v>
      </c>
      <c r="N13" s="5" t="n">
        <v>1</v>
      </c>
      <c r="O13" s="9" t="s">
        <v>491</v>
      </c>
      <c r="P13" s="5" t="s">
        <v>144</v>
      </c>
      <c r="Q13" s="9" t="s">
        <v>642</v>
      </c>
    </row>
    <row r="14" customFormat="false" ht="15" hidden="false" customHeight="false" outlineLevel="0" collapsed="false">
      <c r="A14" s="9" t="s">
        <v>349</v>
      </c>
      <c r="B14" s="21" t="n">
        <v>229.2</v>
      </c>
      <c r="C14" s="25" t="s">
        <v>154</v>
      </c>
      <c r="D14" s="8" t="n">
        <v>0</v>
      </c>
      <c r="E14" s="21" t="n">
        <f aca="false">ROUND(B14*D14,1)</f>
        <v>0</v>
      </c>
      <c r="F14" s="21" t="n">
        <f aca="false">B14-E14</f>
        <v>229.2</v>
      </c>
      <c r="G14" s="30" t="n">
        <v>12</v>
      </c>
      <c r="H14" s="9" t="s">
        <v>215</v>
      </c>
      <c r="I14" s="24" t="n">
        <v>8</v>
      </c>
      <c r="J14" s="6" t="n">
        <f aca="false">ROUND(F14*I14,0)</f>
        <v>1834</v>
      </c>
      <c r="K14" s="5" t="s">
        <v>141</v>
      </c>
      <c r="L14" s="5" t="s">
        <v>174</v>
      </c>
      <c r="M14" s="8" t="n">
        <v>0</v>
      </c>
      <c r="N14" s="5" t="n">
        <v>1</v>
      </c>
      <c r="O14" s="9" t="s">
        <v>175</v>
      </c>
      <c r="P14" s="5" t="s">
        <v>144</v>
      </c>
      <c r="Q14" s="9" t="s">
        <v>642</v>
      </c>
    </row>
    <row r="15" customFormat="false" ht="15" hidden="false" customHeight="false" outlineLevel="0" collapsed="false">
      <c r="A15" s="9" t="s">
        <v>351</v>
      </c>
      <c r="B15" s="21" t="n">
        <v>226.9</v>
      </c>
      <c r="C15" s="25" t="s">
        <v>154</v>
      </c>
      <c r="D15" s="8" t="n">
        <v>0</v>
      </c>
      <c r="E15" s="21" t="n">
        <f aca="false">ROUND(B15*D15,1)</f>
        <v>0</v>
      </c>
      <c r="F15" s="21" t="n">
        <f aca="false">B15-E15</f>
        <v>226.9</v>
      </c>
      <c r="G15" s="30" t="n">
        <v>12</v>
      </c>
      <c r="H15" s="9" t="s">
        <v>215</v>
      </c>
      <c r="I15" s="24" t="n">
        <v>8</v>
      </c>
      <c r="J15" s="6" t="n">
        <f aca="false">ROUND(F15*I15,0)</f>
        <v>1815</v>
      </c>
      <c r="K15" s="5" t="s">
        <v>141</v>
      </c>
      <c r="L15" s="5" t="s">
        <v>174</v>
      </c>
      <c r="M15" s="8" t="n">
        <v>0</v>
      </c>
      <c r="N15" s="5" t="n">
        <v>1</v>
      </c>
      <c r="O15" s="9" t="s">
        <v>175</v>
      </c>
      <c r="P15" s="5" t="s">
        <v>144</v>
      </c>
      <c r="Q15" s="9" t="s">
        <v>642</v>
      </c>
    </row>
    <row r="16" customFormat="false" ht="15" hidden="false" customHeight="false" outlineLevel="0" collapsed="false">
      <c r="A16" s="9" t="s">
        <v>353</v>
      </c>
      <c r="B16" s="21" t="n">
        <v>230.4</v>
      </c>
      <c r="C16" s="25" t="s">
        <v>154</v>
      </c>
      <c r="D16" s="8" t="n">
        <v>0</v>
      </c>
      <c r="E16" s="21" t="n">
        <f aca="false">ROUND(B16*D16,1)</f>
        <v>0</v>
      </c>
      <c r="F16" s="21" t="n">
        <f aca="false">B16-E16</f>
        <v>230.4</v>
      </c>
      <c r="G16" s="30" t="n">
        <v>12</v>
      </c>
      <c r="H16" s="9" t="s">
        <v>215</v>
      </c>
      <c r="I16" s="24" t="n">
        <v>8</v>
      </c>
      <c r="J16" s="6" t="n">
        <f aca="false">ROUND(F16*I16,0)</f>
        <v>1843</v>
      </c>
      <c r="K16" s="5" t="s">
        <v>141</v>
      </c>
      <c r="L16" s="5" t="s">
        <v>174</v>
      </c>
      <c r="M16" s="8" t="n">
        <v>0</v>
      </c>
      <c r="N16" s="5" t="n">
        <v>1</v>
      </c>
      <c r="O16" s="9" t="s">
        <v>175</v>
      </c>
      <c r="P16" s="5" t="s">
        <v>144</v>
      </c>
      <c r="Q16" s="9" t="s">
        <v>642</v>
      </c>
    </row>
    <row r="17" customFormat="false" ht="15" hidden="false" customHeight="false" outlineLevel="0" collapsed="false">
      <c r="A17" s="9" t="s">
        <v>344</v>
      </c>
      <c r="B17" s="21" t="n">
        <v>228</v>
      </c>
      <c r="C17" s="25" t="s">
        <v>154</v>
      </c>
      <c r="D17" s="8" t="n">
        <v>0</v>
      </c>
      <c r="E17" s="21" t="n">
        <f aca="false">ROUND(B17*D17,1)</f>
        <v>0</v>
      </c>
      <c r="F17" s="21" t="n">
        <f aca="false">B17-E17</f>
        <v>228</v>
      </c>
      <c r="G17" s="23" t="n">
        <v>12</v>
      </c>
      <c r="H17" s="9" t="s">
        <v>211</v>
      </c>
      <c r="I17" s="24" t="n">
        <v>8</v>
      </c>
      <c r="J17" s="6" t="n">
        <f aca="false">ROUND(F17*I17,0)</f>
        <v>1824</v>
      </c>
      <c r="K17" s="5" t="s">
        <v>141</v>
      </c>
      <c r="L17" s="5" t="s">
        <v>174</v>
      </c>
      <c r="M17" s="8" t="n">
        <v>0</v>
      </c>
      <c r="N17" s="5" t="n">
        <v>1</v>
      </c>
      <c r="O17" s="9" t="s">
        <v>175</v>
      </c>
      <c r="P17" s="5" t="s">
        <v>144</v>
      </c>
      <c r="Q17" s="9" t="s">
        <v>642</v>
      </c>
    </row>
    <row r="18" customFormat="false" ht="15" hidden="false" customHeight="false" outlineLevel="0" collapsed="false">
      <c r="A18" s="9" t="s">
        <v>354</v>
      </c>
      <c r="B18" s="21" t="n">
        <v>229.2</v>
      </c>
      <c r="C18" s="25" t="s">
        <v>154</v>
      </c>
      <c r="D18" s="8" t="n">
        <v>0</v>
      </c>
      <c r="E18" s="21" t="n">
        <f aca="false">ROUND(B18*D18,1)</f>
        <v>0</v>
      </c>
      <c r="F18" s="21" t="n">
        <f aca="false">B18-E18</f>
        <v>229.2</v>
      </c>
      <c r="G18" s="23" t="n">
        <v>12</v>
      </c>
      <c r="H18" s="9" t="s">
        <v>211</v>
      </c>
      <c r="I18" s="24" t="n">
        <v>8</v>
      </c>
      <c r="J18" s="6" t="n">
        <f aca="false">ROUND(F18*I18,0)</f>
        <v>1834</v>
      </c>
      <c r="K18" s="5" t="s">
        <v>141</v>
      </c>
      <c r="L18" s="5" t="s">
        <v>174</v>
      </c>
      <c r="M18" s="8" t="n">
        <v>0</v>
      </c>
      <c r="N18" s="5" t="n">
        <v>1</v>
      </c>
      <c r="O18" s="9" t="s">
        <v>175</v>
      </c>
      <c r="P18" s="5" t="s">
        <v>144</v>
      </c>
      <c r="Q18" s="9" t="s">
        <v>642</v>
      </c>
    </row>
    <row r="19" customFormat="false" ht="15" hidden="false" customHeight="false" outlineLevel="0" collapsed="false">
      <c r="A19" s="9" t="s">
        <v>357</v>
      </c>
      <c r="B19" s="21" t="n">
        <v>253.5</v>
      </c>
      <c r="C19" s="25" t="s">
        <v>154</v>
      </c>
      <c r="D19" s="8" t="n">
        <v>0</v>
      </c>
      <c r="E19" s="21" t="n">
        <f aca="false">ROUND(B19*D19,1)</f>
        <v>0</v>
      </c>
      <c r="F19" s="21" t="n">
        <f aca="false">B19-E19</f>
        <v>253.5</v>
      </c>
      <c r="G19" s="30" t="n">
        <v>12</v>
      </c>
      <c r="H19" s="9" t="s">
        <v>215</v>
      </c>
      <c r="I19" s="24" t="n">
        <v>8</v>
      </c>
      <c r="J19" s="6" t="n">
        <f aca="false">ROUND(F19*I19,0)</f>
        <v>2028</v>
      </c>
      <c r="K19" s="5" t="s">
        <v>141</v>
      </c>
      <c r="L19" s="5" t="s">
        <v>174</v>
      </c>
      <c r="M19" s="8" t="n">
        <v>0</v>
      </c>
      <c r="N19" s="5" t="n">
        <v>1</v>
      </c>
      <c r="O19" s="9" t="s">
        <v>175</v>
      </c>
      <c r="P19" s="5" t="s">
        <v>144</v>
      </c>
      <c r="Q19" s="9" t="s">
        <v>642</v>
      </c>
    </row>
    <row r="20" customFormat="false" ht="15" hidden="false" customHeight="false" outlineLevel="0" collapsed="false">
      <c r="A20" s="9" t="s">
        <v>326</v>
      </c>
      <c r="B20" s="21" t="n">
        <v>239.3</v>
      </c>
      <c r="C20" s="25" t="s">
        <v>154</v>
      </c>
      <c r="D20" s="8" t="n">
        <v>0</v>
      </c>
      <c r="E20" s="21" t="n">
        <f aca="false">ROUND(B20*D20,1)</f>
        <v>0</v>
      </c>
      <c r="F20" s="21" t="n">
        <f aca="false">B20-E20</f>
        <v>239.3</v>
      </c>
      <c r="G20" s="23" t="n">
        <v>12</v>
      </c>
      <c r="H20" s="9" t="s">
        <v>211</v>
      </c>
      <c r="I20" s="24" t="n">
        <v>8</v>
      </c>
      <c r="J20" s="6" t="n">
        <f aca="false">ROUND(F20*I20,0)</f>
        <v>1914</v>
      </c>
      <c r="K20" s="5" t="s">
        <v>141</v>
      </c>
      <c r="L20" s="5" t="s">
        <v>174</v>
      </c>
      <c r="M20" s="8" t="n">
        <v>0</v>
      </c>
      <c r="N20" s="5" t="n">
        <v>1</v>
      </c>
      <c r="O20" s="9" t="s">
        <v>175</v>
      </c>
      <c r="P20" s="5" t="s">
        <v>144</v>
      </c>
      <c r="Q20" s="9" t="s">
        <v>642</v>
      </c>
    </row>
    <row r="21" customFormat="false" ht="22.35" hidden="false" customHeight="false" outlineLevel="0" collapsed="false">
      <c r="A21" s="9" t="s">
        <v>168</v>
      </c>
      <c r="B21" s="21" t="n">
        <v>2610.5</v>
      </c>
      <c r="C21" s="26" t="s">
        <v>150</v>
      </c>
      <c r="D21" s="8" t="n">
        <v>0.13</v>
      </c>
      <c r="E21" s="21" t="n">
        <f aca="false">ROUND(B21*D21,1)</f>
        <v>339.4</v>
      </c>
      <c r="F21" s="21" t="n">
        <f aca="false">B21-E21</f>
        <v>2271.1</v>
      </c>
      <c r="G21" s="23" t="n">
        <v>12</v>
      </c>
      <c r="H21" s="9" t="s">
        <v>211</v>
      </c>
      <c r="I21" s="24" t="n">
        <v>8</v>
      </c>
      <c r="J21" s="6" t="n">
        <f aca="false">ROUND(F21*I21,0)</f>
        <v>18169</v>
      </c>
      <c r="K21" s="5" t="s">
        <v>141</v>
      </c>
      <c r="L21" s="5" t="s">
        <v>174</v>
      </c>
      <c r="M21" s="8" t="n">
        <v>0</v>
      </c>
      <c r="N21" s="5" t="n">
        <v>12</v>
      </c>
      <c r="O21" s="9" t="s">
        <v>594</v>
      </c>
      <c r="P21" s="5" t="s">
        <v>144</v>
      </c>
      <c r="Q21" s="9" t="s">
        <v>643</v>
      </c>
    </row>
    <row r="22" customFormat="false" ht="15" hidden="false" customHeight="false" outlineLevel="0" collapsed="false">
      <c r="A22" s="9" t="s">
        <v>644</v>
      </c>
      <c r="B22" s="21" t="n">
        <v>231.5</v>
      </c>
      <c r="C22" s="25" t="s">
        <v>154</v>
      </c>
      <c r="D22" s="8" t="n">
        <v>0</v>
      </c>
      <c r="E22" s="21" t="n">
        <f aca="false">ROUND(B22*D22,1)</f>
        <v>0</v>
      </c>
      <c r="F22" s="21" t="n">
        <f aca="false">B22-E22</f>
        <v>231.5</v>
      </c>
      <c r="G22" s="23" t="n">
        <v>12</v>
      </c>
      <c r="H22" s="9" t="s">
        <v>211</v>
      </c>
      <c r="I22" s="24" t="n">
        <v>8</v>
      </c>
      <c r="J22" s="6" t="n">
        <f aca="false">ROUND(F22*I22,0)</f>
        <v>1852</v>
      </c>
      <c r="K22" s="5" t="s">
        <v>141</v>
      </c>
      <c r="L22" s="5" t="s">
        <v>174</v>
      </c>
      <c r="M22" s="8" t="n">
        <v>0</v>
      </c>
      <c r="N22" s="5" t="n">
        <v>1</v>
      </c>
      <c r="O22" s="9" t="s">
        <v>155</v>
      </c>
      <c r="P22" s="5" t="s">
        <v>144</v>
      </c>
      <c r="Q22" s="9" t="s">
        <v>642</v>
      </c>
    </row>
    <row r="23" customFormat="false" ht="15" hidden="false" customHeight="false" outlineLevel="0" collapsed="false">
      <c r="A23" s="12" t="s">
        <v>189</v>
      </c>
      <c r="B23" s="13" t="n">
        <f aca="false">SUM(B6:B22)</f>
        <v>6052.1</v>
      </c>
      <c r="C23" s="12"/>
      <c r="D23" s="14" t="n">
        <f aca="false">IF(B23=0,0,E23/B23)</f>
        <v>0.0945126485021728</v>
      </c>
      <c r="E23" s="13" t="n">
        <f aca="false">SUM(E6:E22)</f>
        <v>572</v>
      </c>
      <c r="F23" s="13" t="n">
        <f aca="false">SUM(F6:F22)</f>
        <v>5480.1</v>
      </c>
      <c r="G23" s="12"/>
      <c r="H23" s="12"/>
      <c r="I23" s="12"/>
      <c r="J23" s="13" t="n">
        <f aca="false">SUM(J6:J22)</f>
        <v>43842</v>
      </c>
      <c r="K23" s="12"/>
      <c r="L23" s="12"/>
      <c r="M23" s="12"/>
      <c r="N23" s="12"/>
      <c r="O23" s="12"/>
      <c r="P23" s="12"/>
      <c r="Q23" s="12"/>
    </row>
    <row r="25" customFormat="false" ht="15" hidden="false" customHeight="false" outlineLevel="0" collapsed="false">
      <c r="A25" s="16" t="s">
        <v>190</v>
      </c>
      <c r="D25" s="27" t="n">
        <f aca="false">J23</f>
        <v>43842</v>
      </c>
      <c r="F25" s="20" t="s">
        <v>191</v>
      </c>
    </row>
    <row r="26" customFormat="false" ht="15" hidden="false" customHeight="false" outlineLevel="0" collapsed="false">
      <c r="A26" s="16" t="s">
        <v>192</v>
      </c>
      <c r="D26" s="27" t="n">
        <f aca="false">F23*8</f>
        <v>43840.8</v>
      </c>
      <c r="F26" s="20" t="s">
        <v>193</v>
      </c>
    </row>
    <row r="27" customFormat="false" ht="15" hidden="false" customHeight="false" outlineLevel="0" collapsed="false">
      <c r="A27" s="16" t="s">
        <v>194</v>
      </c>
      <c r="D27" s="28" t="n">
        <v>0</v>
      </c>
      <c r="F27" s="20" t="s">
        <v>195</v>
      </c>
    </row>
    <row r="28" customFormat="false" ht="15" hidden="false" customHeight="false" outlineLevel="0" collapsed="false">
      <c r="A28" s="16" t="s">
        <v>196</v>
      </c>
      <c r="D28" s="29" t="n">
        <v>0.02</v>
      </c>
      <c r="F28" s="20" t="s">
        <v>94</v>
      </c>
    </row>
    <row r="29" customFormat="false" ht="15" hidden="false" customHeight="false" outlineLevel="0" collapsed="false">
      <c r="A29" s="16" t="s">
        <v>197</v>
      </c>
      <c r="D29" s="27" t="n">
        <f aca="false">(B23-D27)*(1-D28)</f>
        <v>5931.058</v>
      </c>
      <c r="F29" s="20" t="s">
        <v>198</v>
      </c>
    </row>
    <row r="30" customFormat="false" ht="15" hidden="false" customHeight="false" outlineLevel="0" collapsed="false">
      <c r="A30" s="16" t="s">
        <v>199</v>
      </c>
      <c r="D30" s="27" t="n">
        <f aca="false">ROUND(D29*4,0)</f>
        <v>23724</v>
      </c>
      <c r="F30" s="20" t="s">
        <v>200</v>
      </c>
    </row>
    <row r="31" customFormat="false" ht="15" hidden="false" customHeight="false" outlineLevel="0" collapsed="false">
      <c r="A31" s="16" t="s">
        <v>201</v>
      </c>
      <c r="D31" s="28" t="n">
        <v>28</v>
      </c>
    </row>
    <row r="32" customFormat="false" ht="15" hidden="false" customHeight="false" outlineLevel="0" collapsed="false">
      <c r="A32" s="16" t="s">
        <v>202</v>
      </c>
      <c r="D32" s="28" t="n">
        <v>0</v>
      </c>
      <c r="F32" s="20" t="s">
        <v>203</v>
      </c>
    </row>
    <row r="33" customFormat="false" ht="15" hidden="false" customHeight="false" outlineLevel="0" collapsed="false">
      <c r="A33" s="16" t="s">
        <v>204</v>
      </c>
      <c r="D33" s="28" t="n">
        <v>572</v>
      </c>
    </row>
    <row r="34" customFormat="false" ht="15" hidden="false" customHeight="false" outlineLevel="0" collapsed="false">
      <c r="A34" s="16" t="s">
        <v>205</v>
      </c>
      <c r="D34" s="28" t="n">
        <v>0</v>
      </c>
      <c r="F34" s="20" t="s">
        <v>206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3"/>
    <col collapsed="false" customWidth="true" hidden="false" outlineLevel="0" max="3" min="3" style="0" width="15"/>
    <col collapsed="false" customWidth="true" hidden="false" outlineLevel="0" max="4" min="4" style="0" width="12"/>
    <col collapsed="false" customWidth="true" hidden="false" outlineLevel="0" max="6" min="5" style="0" width="13"/>
    <col collapsed="false" customWidth="true" hidden="false" outlineLevel="0" max="7" min="7" style="0" width="11"/>
    <col collapsed="false" customWidth="true" hidden="false" outlineLevel="0" max="8" min="8" style="0" width="20"/>
    <col collapsed="false" customWidth="true" hidden="false" outlineLevel="0" max="10" min="9" style="0" width="13"/>
    <col collapsed="false" customWidth="true" hidden="false" outlineLevel="0" max="11" min="11" style="0" width="10"/>
    <col collapsed="false" customWidth="true" hidden="false" outlineLevel="0" max="12" min="12" style="0" width="13"/>
    <col collapsed="false" customWidth="true" hidden="false" outlineLevel="0" max="14" min="13" style="0" width="9"/>
    <col collapsed="false" customWidth="true" hidden="false" outlineLevel="0" max="15" min="15" style="0" width="46"/>
    <col collapsed="false" customWidth="true" hidden="false" outlineLevel="0" max="16" min="16" style="0" width="17"/>
    <col collapsed="false" customWidth="true" hidden="false" outlineLevel="0" max="17" min="17" style="0" width="52"/>
  </cols>
  <sheetData>
    <row r="1" customFormat="false" ht="16.15" hidden="false" customHeight="false" outlineLevel="0" collapsed="false">
      <c r="A1" s="18" t="s">
        <v>645</v>
      </c>
    </row>
    <row r="2" customFormat="false" ht="15" hidden="false" customHeight="false" outlineLevel="0" collapsed="false">
      <c r="A2" s="19" t="s">
        <v>646</v>
      </c>
    </row>
    <row r="3" customFormat="false" ht="15" hidden="false" customHeight="false" outlineLevel="0" collapsed="false">
      <c r="A3" s="20" t="s">
        <v>647</v>
      </c>
    </row>
    <row r="5" customFormat="false" ht="32.8" hidden="false" customHeight="false" outlineLevel="0" collapsed="false">
      <c r="A5" s="4" t="s">
        <v>122</v>
      </c>
      <c r="B5" s="4" t="s">
        <v>123</v>
      </c>
      <c r="C5" s="4" t="s">
        <v>124</v>
      </c>
      <c r="D5" s="4" t="s">
        <v>125</v>
      </c>
      <c r="E5" s="4" t="s">
        <v>126</v>
      </c>
      <c r="F5" s="4" t="s">
        <v>12</v>
      </c>
      <c r="G5" s="4" t="s">
        <v>127</v>
      </c>
      <c r="H5" s="4" t="s">
        <v>128</v>
      </c>
      <c r="I5" s="4" t="s">
        <v>129</v>
      </c>
      <c r="J5" s="4" t="s">
        <v>130</v>
      </c>
      <c r="K5" s="4" t="s">
        <v>131</v>
      </c>
      <c r="L5" s="4" t="s">
        <v>132</v>
      </c>
      <c r="M5" s="4" t="s">
        <v>133</v>
      </c>
      <c r="N5" s="4" t="s">
        <v>134</v>
      </c>
      <c r="O5" s="4" t="s">
        <v>135</v>
      </c>
      <c r="P5" s="4" t="s">
        <v>136</v>
      </c>
      <c r="Q5" s="4" t="s">
        <v>137</v>
      </c>
    </row>
    <row r="6" customFormat="false" ht="22.35" hidden="false" customHeight="false" outlineLevel="0" collapsed="false">
      <c r="A6" s="9" t="s">
        <v>648</v>
      </c>
      <c r="B6" s="21" t="n">
        <v>500</v>
      </c>
      <c r="C6" s="25" t="s">
        <v>154</v>
      </c>
      <c r="D6" s="8" t="n">
        <v>0</v>
      </c>
      <c r="E6" s="21" t="n">
        <f aca="false">ROUND(B6*D6,1)</f>
        <v>0</v>
      </c>
      <c r="F6" s="21" t="n">
        <f aca="false">B6-E6</f>
        <v>500</v>
      </c>
      <c r="G6" s="23" t="n">
        <v>12</v>
      </c>
      <c r="H6" s="9" t="s">
        <v>140</v>
      </c>
      <c r="I6" s="24" t="n">
        <v>8</v>
      </c>
      <c r="J6" s="6" t="n">
        <f aca="false">ROUND(F6*I6,0)</f>
        <v>4000</v>
      </c>
      <c r="K6" s="5" t="s">
        <v>216</v>
      </c>
      <c r="L6" s="5" t="s">
        <v>217</v>
      </c>
      <c r="M6" s="8" t="s">
        <v>218</v>
      </c>
      <c r="N6" s="5" t="n">
        <v>0</v>
      </c>
      <c r="O6" s="9" t="s">
        <v>219</v>
      </c>
      <c r="P6" s="5" t="s">
        <v>220</v>
      </c>
      <c r="Q6" s="9" t="s">
        <v>649</v>
      </c>
    </row>
    <row r="7" customFormat="false" ht="15" hidden="false" customHeight="false" outlineLevel="0" collapsed="false">
      <c r="A7" s="9" t="s">
        <v>650</v>
      </c>
      <c r="B7" s="21" t="n">
        <v>110</v>
      </c>
      <c r="C7" s="31" t="s">
        <v>259</v>
      </c>
      <c r="D7" s="8" t="n">
        <v>0</v>
      </c>
      <c r="E7" s="21" t="n">
        <f aca="false">ROUND(B7*D7,1)</f>
        <v>0</v>
      </c>
      <c r="F7" s="21" t="n">
        <f aca="false">B7-E7</f>
        <v>110</v>
      </c>
      <c r="G7" s="23" t="n">
        <v>12</v>
      </c>
      <c r="H7" s="9" t="s">
        <v>140</v>
      </c>
      <c r="I7" s="24" t="n">
        <v>8</v>
      </c>
      <c r="J7" s="6" t="n">
        <f aca="false">ROUND(F7*I7,0)</f>
        <v>880</v>
      </c>
      <c r="K7" s="5" t="s">
        <v>314</v>
      </c>
      <c r="L7" s="5" t="s">
        <v>218</v>
      </c>
      <c r="M7" s="8" t="s">
        <v>218</v>
      </c>
      <c r="N7" s="5" t="n">
        <v>0</v>
      </c>
      <c r="O7" s="9" t="s">
        <v>260</v>
      </c>
      <c r="P7" s="5" t="s">
        <v>220</v>
      </c>
      <c r="Q7" s="9" t="s">
        <v>651</v>
      </c>
    </row>
    <row r="8" customFormat="false" ht="15" hidden="false" customHeight="false" outlineLevel="0" collapsed="false">
      <c r="A8" s="9" t="s">
        <v>652</v>
      </c>
      <c r="B8" s="21" t="n">
        <v>110</v>
      </c>
      <c r="C8" s="31" t="s">
        <v>259</v>
      </c>
      <c r="D8" s="8" t="n">
        <v>0</v>
      </c>
      <c r="E8" s="21" t="n">
        <f aca="false">ROUND(B8*D8,1)</f>
        <v>0</v>
      </c>
      <c r="F8" s="21" t="n">
        <f aca="false">B8-E8</f>
        <v>110</v>
      </c>
      <c r="G8" s="23" t="n">
        <v>12</v>
      </c>
      <c r="H8" s="9" t="s">
        <v>140</v>
      </c>
      <c r="I8" s="24" t="n">
        <v>8</v>
      </c>
      <c r="J8" s="6" t="n">
        <f aca="false">ROUND(F8*I8,0)</f>
        <v>880</v>
      </c>
      <c r="K8" s="5" t="s">
        <v>314</v>
      </c>
      <c r="L8" s="5" t="s">
        <v>218</v>
      </c>
      <c r="M8" s="8" t="s">
        <v>218</v>
      </c>
      <c r="N8" s="5" t="n">
        <v>0</v>
      </c>
      <c r="O8" s="9" t="s">
        <v>260</v>
      </c>
      <c r="P8" s="5" t="s">
        <v>220</v>
      </c>
      <c r="Q8" s="9" t="s">
        <v>653</v>
      </c>
    </row>
    <row r="9" customFormat="false" ht="15" hidden="false" customHeight="false" outlineLevel="0" collapsed="false">
      <c r="A9" s="9" t="s">
        <v>509</v>
      </c>
      <c r="B9" s="21" t="n">
        <v>110</v>
      </c>
      <c r="C9" s="31" t="s">
        <v>259</v>
      </c>
      <c r="D9" s="8" t="n">
        <v>0</v>
      </c>
      <c r="E9" s="21" t="n">
        <f aca="false">ROUND(B9*D9,1)</f>
        <v>0</v>
      </c>
      <c r="F9" s="21" t="n">
        <f aca="false">B9-E9</f>
        <v>110</v>
      </c>
      <c r="G9" s="23" t="n">
        <v>12</v>
      </c>
      <c r="H9" s="9" t="s">
        <v>140</v>
      </c>
      <c r="I9" s="24" t="n">
        <v>8</v>
      </c>
      <c r="J9" s="6" t="n">
        <f aca="false">ROUND(F9*I9,0)</f>
        <v>880</v>
      </c>
      <c r="K9" s="5" t="s">
        <v>216</v>
      </c>
      <c r="L9" s="5" t="s">
        <v>218</v>
      </c>
      <c r="M9" s="8" t="s">
        <v>218</v>
      </c>
      <c r="N9" s="5" t="n">
        <v>0</v>
      </c>
      <c r="O9" s="9" t="s">
        <v>260</v>
      </c>
      <c r="P9" s="5" t="s">
        <v>220</v>
      </c>
      <c r="Q9" s="9" t="s">
        <v>654</v>
      </c>
    </row>
    <row r="10" customFormat="false" ht="22.35" hidden="false" customHeight="false" outlineLevel="0" collapsed="false">
      <c r="A10" s="9" t="s">
        <v>655</v>
      </c>
      <c r="B10" s="21" t="n">
        <v>110</v>
      </c>
      <c r="C10" s="25" t="s">
        <v>154</v>
      </c>
      <c r="D10" s="8" t="n">
        <v>0</v>
      </c>
      <c r="E10" s="21" t="n">
        <f aca="false">ROUND(B10*D10,1)</f>
        <v>0</v>
      </c>
      <c r="F10" s="21" t="n">
        <f aca="false">B10-E10</f>
        <v>110</v>
      </c>
      <c r="G10" s="23" t="n">
        <v>12</v>
      </c>
      <c r="H10" s="9" t="s">
        <v>140</v>
      </c>
      <c r="I10" s="24" t="n">
        <v>8</v>
      </c>
      <c r="J10" s="6" t="n">
        <f aca="false">ROUND(F10*I10,0)</f>
        <v>880</v>
      </c>
      <c r="K10" s="5" t="s">
        <v>216</v>
      </c>
      <c r="L10" s="5" t="s">
        <v>217</v>
      </c>
      <c r="M10" s="8" t="s">
        <v>218</v>
      </c>
      <c r="N10" s="5" t="n">
        <v>0</v>
      </c>
      <c r="O10" s="9" t="s">
        <v>219</v>
      </c>
      <c r="P10" s="5" t="s">
        <v>220</v>
      </c>
      <c r="Q10" s="9" t="s">
        <v>656</v>
      </c>
    </row>
    <row r="11" customFormat="false" ht="22.35" hidden="false" customHeight="false" outlineLevel="0" collapsed="false">
      <c r="A11" s="9" t="s">
        <v>657</v>
      </c>
      <c r="B11" s="21" t="n">
        <v>110</v>
      </c>
      <c r="C11" s="25" t="s">
        <v>154</v>
      </c>
      <c r="D11" s="8" t="n">
        <v>0</v>
      </c>
      <c r="E11" s="21" t="n">
        <f aca="false">ROUND(B11*D11,1)</f>
        <v>0</v>
      </c>
      <c r="F11" s="21" t="n">
        <f aca="false">B11-E11</f>
        <v>110</v>
      </c>
      <c r="G11" s="23" t="n">
        <v>12</v>
      </c>
      <c r="H11" s="9" t="s">
        <v>140</v>
      </c>
      <c r="I11" s="24" t="n">
        <v>8</v>
      </c>
      <c r="J11" s="6" t="n">
        <f aca="false">ROUND(F11*I11,0)</f>
        <v>880</v>
      </c>
      <c r="K11" s="5" t="s">
        <v>216</v>
      </c>
      <c r="L11" s="5" t="s">
        <v>217</v>
      </c>
      <c r="M11" s="8" t="s">
        <v>218</v>
      </c>
      <c r="N11" s="5" t="n">
        <v>0</v>
      </c>
      <c r="O11" s="9" t="s">
        <v>219</v>
      </c>
      <c r="P11" s="5" t="s">
        <v>220</v>
      </c>
      <c r="Q11" s="9" t="s">
        <v>658</v>
      </c>
    </row>
    <row r="12" customFormat="false" ht="22.35" hidden="false" customHeight="false" outlineLevel="0" collapsed="false">
      <c r="A12" s="9" t="s">
        <v>659</v>
      </c>
      <c r="B12" s="21" t="n">
        <v>110</v>
      </c>
      <c r="C12" s="25" t="s">
        <v>154</v>
      </c>
      <c r="D12" s="8" t="n">
        <v>0</v>
      </c>
      <c r="E12" s="21" t="n">
        <f aca="false">ROUND(B12*D12,1)</f>
        <v>0</v>
      </c>
      <c r="F12" s="21" t="n">
        <f aca="false">B12-E12</f>
        <v>110</v>
      </c>
      <c r="G12" s="23" t="n">
        <v>12</v>
      </c>
      <c r="H12" s="9" t="s">
        <v>140</v>
      </c>
      <c r="I12" s="24" t="n">
        <v>8</v>
      </c>
      <c r="J12" s="6" t="n">
        <f aca="false">ROUND(F12*I12,0)</f>
        <v>880</v>
      </c>
      <c r="K12" s="5" t="s">
        <v>216</v>
      </c>
      <c r="L12" s="5" t="s">
        <v>217</v>
      </c>
      <c r="M12" s="8" t="s">
        <v>218</v>
      </c>
      <c r="N12" s="5" t="n">
        <v>0</v>
      </c>
      <c r="O12" s="9" t="s">
        <v>219</v>
      </c>
      <c r="P12" s="5" t="s">
        <v>220</v>
      </c>
      <c r="Q12" s="9" t="s">
        <v>660</v>
      </c>
    </row>
    <row r="13" customFormat="false" ht="22.35" hidden="false" customHeight="false" outlineLevel="0" collapsed="false">
      <c r="A13" s="9" t="s">
        <v>661</v>
      </c>
      <c r="B13" s="21" t="n">
        <v>110</v>
      </c>
      <c r="C13" s="25" t="s">
        <v>154</v>
      </c>
      <c r="D13" s="8" t="n">
        <v>0</v>
      </c>
      <c r="E13" s="21" t="n">
        <f aca="false">ROUND(B13*D13,1)</f>
        <v>0</v>
      </c>
      <c r="F13" s="21" t="n">
        <f aca="false">B13-E13</f>
        <v>110</v>
      </c>
      <c r="G13" s="23" t="n">
        <v>12</v>
      </c>
      <c r="H13" s="9" t="s">
        <v>140</v>
      </c>
      <c r="I13" s="24" t="n">
        <v>8</v>
      </c>
      <c r="J13" s="6" t="n">
        <f aca="false">ROUND(F13*I13,0)</f>
        <v>880</v>
      </c>
      <c r="K13" s="5" t="s">
        <v>216</v>
      </c>
      <c r="L13" s="5" t="s">
        <v>217</v>
      </c>
      <c r="M13" s="8" t="s">
        <v>218</v>
      </c>
      <c r="N13" s="5" t="n">
        <v>0</v>
      </c>
      <c r="O13" s="9" t="s">
        <v>219</v>
      </c>
      <c r="P13" s="5" t="s">
        <v>220</v>
      </c>
      <c r="Q13" s="9" t="s">
        <v>662</v>
      </c>
    </row>
    <row r="14" customFormat="false" ht="22.35" hidden="false" customHeight="false" outlineLevel="0" collapsed="false">
      <c r="A14" s="9" t="s">
        <v>452</v>
      </c>
      <c r="B14" s="21" t="n">
        <v>110</v>
      </c>
      <c r="C14" s="25" t="s">
        <v>154</v>
      </c>
      <c r="D14" s="8" t="n">
        <v>0</v>
      </c>
      <c r="E14" s="21" t="n">
        <f aca="false">ROUND(B14*D14,1)</f>
        <v>0</v>
      </c>
      <c r="F14" s="21" t="n">
        <f aca="false">B14-E14</f>
        <v>110</v>
      </c>
      <c r="G14" s="23" t="n">
        <v>12</v>
      </c>
      <c r="H14" s="9" t="s">
        <v>140</v>
      </c>
      <c r="I14" s="24" t="n">
        <v>8</v>
      </c>
      <c r="J14" s="6" t="n">
        <f aca="false">ROUND(F14*I14,0)</f>
        <v>880</v>
      </c>
      <c r="K14" s="5" t="s">
        <v>216</v>
      </c>
      <c r="L14" s="5" t="s">
        <v>217</v>
      </c>
      <c r="M14" s="8" t="s">
        <v>218</v>
      </c>
      <c r="N14" s="5" t="n">
        <v>0</v>
      </c>
      <c r="O14" s="9" t="s">
        <v>219</v>
      </c>
      <c r="P14" s="5" t="s">
        <v>220</v>
      </c>
      <c r="Q14" s="9" t="s">
        <v>663</v>
      </c>
    </row>
    <row r="15" customFormat="false" ht="32.8" hidden="false" customHeight="false" outlineLevel="0" collapsed="false">
      <c r="A15" s="9" t="s">
        <v>454</v>
      </c>
      <c r="B15" s="21" t="n">
        <v>110</v>
      </c>
      <c r="C15" s="25" t="s">
        <v>154</v>
      </c>
      <c r="D15" s="8" t="n">
        <v>0</v>
      </c>
      <c r="E15" s="21" t="n">
        <f aca="false">ROUND(B15*D15,1)</f>
        <v>0</v>
      </c>
      <c r="F15" s="21" t="n">
        <f aca="false">B15-E15</f>
        <v>110</v>
      </c>
      <c r="G15" s="23" t="n">
        <v>12</v>
      </c>
      <c r="H15" s="9" t="s">
        <v>140</v>
      </c>
      <c r="I15" s="24" t="n">
        <v>8</v>
      </c>
      <c r="J15" s="6" t="n">
        <f aca="false">ROUND(F15*I15,0)</f>
        <v>880</v>
      </c>
      <c r="K15" s="5" t="s">
        <v>314</v>
      </c>
      <c r="L15" s="5" t="s">
        <v>217</v>
      </c>
      <c r="M15" s="8" t="s">
        <v>218</v>
      </c>
      <c r="N15" s="5" t="n">
        <v>0</v>
      </c>
      <c r="O15" s="9" t="s">
        <v>455</v>
      </c>
      <c r="P15" s="5" t="s">
        <v>220</v>
      </c>
      <c r="Q15" s="9" t="s">
        <v>664</v>
      </c>
    </row>
    <row r="16" customFormat="false" ht="15" hidden="false" customHeight="false" outlineLevel="0" collapsed="false">
      <c r="A16" s="12" t="s">
        <v>189</v>
      </c>
      <c r="B16" s="13" t="n">
        <f aca="false">SUM(B6:B15)</f>
        <v>1490</v>
      </c>
      <c r="C16" s="12"/>
      <c r="D16" s="14" t="n">
        <f aca="false">IF(B16=0,0,E16/B16)</f>
        <v>0</v>
      </c>
      <c r="E16" s="13" t="n">
        <f aca="false">SUM(E6:E15)</f>
        <v>0</v>
      </c>
      <c r="F16" s="13" t="n">
        <f aca="false">SUM(F6:F15)</f>
        <v>1490</v>
      </c>
      <c r="G16" s="12"/>
      <c r="H16" s="12"/>
      <c r="I16" s="12"/>
      <c r="J16" s="13" t="n">
        <f aca="false">SUM(J6:J15)</f>
        <v>11920</v>
      </c>
      <c r="K16" s="12"/>
      <c r="L16" s="12"/>
      <c r="M16" s="12"/>
      <c r="N16" s="12"/>
      <c r="O16" s="12"/>
      <c r="P16" s="12"/>
      <c r="Q16" s="12"/>
    </row>
    <row r="18" customFormat="false" ht="15" hidden="false" customHeight="false" outlineLevel="0" collapsed="false">
      <c r="A18" s="16" t="s">
        <v>190</v>
      </c>
      <c r="D18" s="27" t="n">
        <f aca="false">J16</f>
        <v>11920</v>
      </c>
      <c r="F18" s="20" t="s">
        <v>191</v>
      </c>
    </row>
    <row r="19" customFormat="false" ht="15" hidden="false" customHeight="false" outlineLevel="0" collapsed="false">
      <c r="A19" s="16" t="s">
        <v>192</v>
      </c>
      <c r="D19" s="27" t="n">
        <f aca="false">F16*8</f>
        <v>11920</v>
      </c>
      <c r="F19" s="20" t="s">
        <v>193</v>
      </c>
    </row>
    <row r="20" customFormat="false" ht="15" hidden="false" customHeight="false" outlineLevel="0" collapsed="false">
      <c r="A20" s="16" t="s">
        <v>194</v>
      </c>
      <c r="D20" s="28" t="n">
        <v>330</v>
      </c>
      <c r="F20" s="20" t="s">
        <v>195</v>
      </c>
    </row>
    <row r="21" customFormat="false" ht="15" hidden="false" customHeight="false" outlineLevel="0" collapsed="false">
      <c r="A21" s="16" t="s">
        <v>196</v>
      </c>
      <c r="D21" s="32" t="s">
        <v>99</v>
      </c>
      <c r="F21" s="20" t="s">
        <v>100</v>
      </c>
    </row>
    <row r="22" customFormat="false" ht="15" hidden="false" customHeight="false" outlineLevel="0" collapsed="false">
      <c r="A22" s="16" t="s">
        <v>197</v>
      </c>
      <c r="D22" s="32" t="s">
        <v>98</v>
      </c>
      <c r="F22" s="20" t="s">
        <v>665</v>
      </c>
    </row>
    <row r="23" customFormat="false" ht="15" hidden="false" customHeight="false" outlineLevel="0" collapsed="false">
      <c r="A23" s="16" t="s">
        <v>199</v>
      </c>
      <c r="D23" s="32" t="s">
        <v>98</v>
      </c>
    </row>
    <row r="24" customFormat="false" ht="15" hidden="false" customHeight="false" outlineLevel="0" collapsed="false">
      <c r="A24" s="16" t="s">
        <v>201</v>
      </c>
      <c r="D24" s="28" t="n">
        <v>0</v>
      </c>
    </row>
    <row r="25" customFormat="false" ht="15" hidden="false" customHeight="false" outlineLevel="0" collapsed="false">
      <c r="A25" s="16" t="s">
        <v>202</v>
      </c>
      <c r="D25" s="28" t="n">
        <v>14</v>
      </c>
      <c r="F25" s="20" t="s">
        <v>203</v>
      </c>
    </row>
    <row r="26" customFormat="false" ht="15" hidden="false" customHeight="false" outlineLevel="0" collapsed="false">
      <c r="A26" s="16" t="s">
        <v>204</v>
      </c>
      <c r="D26" s="28" t="n">
        <v>0</v>
      </c>
    </row>
    <row r="27" customFormat="false" ht="15" hidden="false" customHeight="false" outlineLevel="0" collapsed="false">
      <c r="A27" s="16" t="s">
        <v>205</v>
      </c>
      <c r="D27" s="28" t="n">
        <v>0</v>
      </c>
      <c r="F27" s="20" t="s">
        <v>206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3"/>
    <col collapsed="false" customWidth="true" hidden="false" outlineLevel="0" max="3" min="3" style="0" width="15"/>
    <col collapsed="false" customWidth="true" hidden="false" outlineLevel="0" max="4" min="4" style="0" width="12"/>
    <col collapsed="false" customWidth="true" hidden="false" outlineLevel="0" max="6" min="5" style="0" width="13"/>
    <col collapsed="false" customWidth="true" hidden="false" outlineLevel="0" max="7" min="7" style="0" width="11"/>
    <col collapsed="false" customWidth="true" hidden="false" outlineLevel="0" max="8" min="8" style="0" width="20"/>
    <col collapsed="false" customWidth="true" hidden="false" outlineLevel="0" max="10" min="9" style="0" width="13"/>
    <col collapsed="false" customWidth="true" hidden="false" outlineLevel="0" max="11" min="11" style="0" width="10"/>
    <col collapsed="false" customWidth="true" hidden="false" outlineLevel="0" max="12" min="12" style="0" width="13"/>
    <col collapsed="false" customWidth="true" hidden="false" outlineLevel="0" max="14" min="13" style="0" width="9"/>
    <col collapsed="false" customWidth="true" hidden="false" outlineLevel="0" max="15" min="15" style="0" width="46"/>
    <col collapsed="false" customWidth="true" hidden="false" outlineLevel="0" max="16" min="16" style="0" width="17"/>
    <col collapsed="false" customWidth="true" hidden="false" outlineLevel="0" max="17" min="17" style="0" width="52"/>
  </cols>
  <sheetData>
    <row r="1" customFormat="false" ht="16.15" hidden="false" customHeight="false" outlineLevel="0" collapsed="false">
      <c r="A1" s="18" t="s">
        <v>666</v>
      </c>
    </row>
    <row r="2" customFormat="false" ht="15" hidden="false" customHeight="false" outlineLevel="0" collapsed="false">
      <c r="A2" s="19" t="s">
        <v>667</v>
      </c>
    </row>
    <row r="3" customFormat="false" ht="15" hidden="false" customHeight="false" outlineLevel="0" collapsed="false">
      <c r="A3" s="20" t="s">
        <v>668</v>
      </c>
    </row>
    <row r="5" customFormat="false" ht="32.8" hidden="false" customHeight="false" outlineLevel="0" collapsed="false">
      <c r="A5" s="4" t="s">
        <v>122</v>
      </c>
      <c r="B5" s="4" t="s">
        <v>123</v>
      </c>
      <c r="C5" s="4" t="s">
        <v>124</v>
      </c>
      <c r="D5" s="4" t="s">
        <v>125</v>
      </c>
      <c r="E5" s="4" t="s">
        <v>126</v>
      </c>
      <c r="F5" s="4" t="s">
        <v>12</v>
      </c>
      <c r="G5" s="4" t="s">
        <v>127</v>
      </c>
      <c r="H5" s="4" t="s">
        <v>128</v>
      </c>
      <c r="I5" s="4" t="s">
        <v>129</v>
      </c>
      <c r="J5" s="4" t="s">
        <v>130</v>
      </c>
      <c r="K5" s="4" t="s">
        <v>131</v>
      </c>
      <c r="L5" s="4" t="s">
        <v>132</v>
      </c>
      <c r="M5" s="4" t="s">
        <v>133</v>
      </c>
      <c r="N5" s="4" t="s">
        <v>134</v>
      </c>
      <c r="O5" s="4" t="s">
        <v>135</v>
      </c>
      <c r="P5" s="4" t="s">
        <v>136</v>
      </c>
      <c r="Q5" s="4" t="s">
        <v>137</v>
      </c>
    </row>
    <row r="6" customFormat="false" ht="32.8" hidden="false" customHeight="false" outlineLevel="0" collapsed="false">
      <c r="A6" s="9" t="s">
        <v>669</v>
      </c>
      <c r="B6" s="21" t="n">
        <v>1200</v>
      </c>
      <c r="C6" s="22" t="s">
        <v>139</v>
      </c>
      <c r="D6" s="8" t="n">
        <v>1</v>
      </c>
      <c r="E6" s="21" t="n">
        <f aca="false">ROUND(B6*D6,1)</f>
        <v>1200</v>
      </c>
      <c r="F6" s="21" t="n">
        <f aca="false">B6-E6</f>
        <v>0</v>
      </c>
      <c r="G6" s="30" t="n">
        <v>25</v>
      </c>
      <c r="H6" s="9" t="s">
        <v>215</v>
      </c>
      <c r="I6" s="24" t="n">
        <v>17</v>
      </c>
      <c r="J6" s="6" t="n">
        <f aca="false">ROUND(F6*I6,0)</f>
        <v>0</v>
      </c>
      <c r="K6" s="5" t="s">
        <v>216</v>
      </c>
      <c r="L6" s="5" t="s">
        <v>217</v>
      </c>
      <c r="M6" s="8" t="s">
        <v>218</v>
      </c>
      <c r="N6" s="5" t="n">
        <v>0</v>
      </c>
      <c r="O6" s="9" t="s">
        <v>219</v>
      </c>
      <c r="P6" s="5" t="s">
        <v>220</v>
      </c>
      <c r="Q6" s="9" t="s">
        <v>670</v>
      </c>
    </row>
    <row r="7" customFormat="false" ht="22.35" hidden="false" customHeight="false" outlineLevel="0" collapsed="false">
      <c r="A7" s="9" t="s">
        <v>671</v>
      </c>
      <c r="B7" s="21" t="n">
        <v>536</v>
      </c>
      <c r="C7" s="22" t="s">
        <v>139</v>
      </c>
      <c r="D7" s="8" t="n">
        <v>1</v>
      </c>
      <c r="E7" s="21" t="n">
        <f aca="false">ROUND(B7*D7,1)</f>
        <v>536</v>
      </c>
      <c r="F7" s="21" t="n">
        <f aca="false">B7-E7</f>
        <v>0</v>
      </c>
      <c r="G7" s="30" t="n">
        <v>11</v>
      </c>
      <c r="H7" s="9" t="s">
        <v>215</v>
      </c>
      <c r="I7" s="24" t="n">
        <v>7</v>
      </c>
      <c r="J7" s="6" t="n">
        <f aca="false">ROUND(F7*I7,0)</f>
        <v>0</v>
      </c>
      <c r="K7" s="5" t="s">
        <v>216</v>
      </c>
      <c r="L7" s="5" t="s">
        <v>217</v>
      </c>
      <c r="M7" s="8" t="s">
        <v>218</v>
      </c>
      <c r="N7" s="5" t="n">
        <v>0</v>
      </c>
      <c r="O7" s="9" t="s">
        <v>219</v>
      </c>
      <c r="P7" s="5" t="s">
        <v>220</v>
      </c>
      <c r="Q7" s="9" t="s">
        <v>672</v>
      </c>
    </row>
    <row r="8" customFormat="false" ht="22.35" hidden="false" customHeight="false" outlineLevel="0" collapsed="false">
      <c r="A8" s="9" t="s">
        <v>673</v>
      </c>
      <c r="B8" s="21" t="n">
        <v>536</v>
      </c>
      <c r="C8" s="22" t="s">
        <v>139</v>
      </c>
      <c r="D8" s="8" t="n">
        <v>1</v>
      </c>
      <c r="E8" s="21" t="n">
        <f aca="false">ROUND(B8*D8,1)</f>
        <v>536</v>
      </c>
      <c r="F8" s="21" t="n">
        <f aca="false">B8-E8</f>
        <v>0</v>
      </c>
      <c r="G8" s="30" t="n">
        <v>11</v>
      </c>
      <c r="H8" s="9" t="s">
        <v>215</v>
      </c>
      <c r="I8" s="24" t="n">
        <v>7</v>
      </c>
      <c r="J8" s="6" t="n">
        <f aca="false">ROUND(F8*I8,0)</f>
        <v>0</v>
      </c>
      <c r="K8" s="5" t="s">
        <v>216</v>
      </c>
      <c r="L8" s="5" t="s">
        <v>217</v>
      </c>
      <c r="M8" s="8" t="s">
        <v>218</v>
      </c>
      <c r="N8" s="5" t="n">
        <v>0</v>
      </c>
      <c r="O8" s="9" t="s">
        <v>219</v>
      </c>
      <c r="P8" s="5" t="s">
        <v>220</v>
      </c>
      <c r="Q8" s="9" t="s">
        <v>674</v>
      </c>
    </row>
    <row r="9" customFormat="false" ht="22.35" hidden="false" customHeight="false" outlineLevel="0" collapsed="false">
      <c r="A9" s="9" t="s">
        <v>675</v>
      </c>
      <c r="B9" s="21" t="n">
        <v>536</v>
      </c>
      <c r="C9" s="22" t="s">
        <v>139</v>
      </c>
      <c r="D9" s="8" t="n">
        <v>1</v>
      </c>
      <c r="E9" s="21" t="n">
        <f aca="false">ROUND(B9*D9,1)</f>
        <v>536</v>
      </c>
      <c r="F9" s="21" t="n">
        <f aca="false">B9-E9</f>
        <v>0</v>
      </c>
      <c r="G9" s="30" t="n">
        <v>11</v>
      </c>
      <c r="H9" s="9" t="s">
        <v>215</v>
      </c>
      <c r="I9" s="24" t="n">
        <v>7</v>
      </c>
      <c r="J9" s="6" t="n">
        <f aca="false">ROUND(F9*I9,0)</f>
        <v>0</v>
      </c>
      <c r="K9" s="5" t="s">
        <v>216</v>
      </c>
      <c r="L9" s="5" t="s">
        <v>217</v>
      </c>
      <c r="M9" s="8" t="s">
        <v>218</v>
      </c>
      <c r="N9" s="5" t="n">
        <v>0</v>
      </c>
      <c r="O9" s="9" t="s">
        <v>219</v>
      </c>
      <c r="P9" s="5" t="s">
        <v>220</v>
      </c>
      <c r="Q9" s="9" t="s">
        <v>676</v>
      </c>
    </row>
    <row r="10" customFormat="false" ht="32.8" hidden="false" customHeight="false" outlineLevel="0" collapsed="false">
      <c r="A10" s="9" t="s">
        <v>677</v>
      </c>
      <c r="B10" s="21" t="n">
        <v>536</v>
      </c>
      <c r="C10" s="22" t="s">
        <v>139</v>
      </c>
      <c r="D10" s="8" t="n">
        <v>1</v>
      </c>
      <c r="E10" s="21" t="n">
        <f aca="false">ROUND(B10*D10,1)</f>
        <v>536</v>
      </c>
      <c r="F10" s="21" t="n">
        <f aca="false">B10-E10</f>
        <v>0</v>
      </c>
      <c r="G10" s="30" t="n">
        <v>11</v>
      </c>
      <c r="H10" s="9" t="s">
        <v>215</v>
      </c>
      <c r="I10" s="24" t="n">
        <v>7</v>
      </c>
      <c r="J10" s="6" t="n">
        <f aca="false">ROUND(F10*I10,0)</f>
        <v>0</v>
      </c>
      <c r="K10" s="5" t="s">
        <v>216</v>
      </c>
      <c r="L10" s="5" t="s">
        <v>217</v>
      </c>
      <c r="M10" s="8" t="s">
        <v>218</v>
      </c>
      <c r="N10" s="5" t="n">
        <v>0</v>
      </c>
      <c r="O10" s="9" t="s">
        <v>219</v>
      </c>
      <c r="P10" s="5" t="s">
        <v>220</v>
      </c>
      <c r="Q10" s="9" t="s">
        <v>678</v>
      </c>
    </row>
    <row r="11" customFormat="false" ht="22.35" hidden="false" customHeight="false" outlineLevel="0" collapsed="false">
      <c r="A11" s="9" t="s">
        <v>679</v>
      </c>
      <c r="B11" s="21" t="n">
        <v>536</v>
      </c>
      <c r="C11" s="22" t="s">
        <v>139</v>
      </c>
      <c r="D11" s="8" t="n">
        <v>1</v>
      </c>
      <c r="E11" s="21" t="n">
        <f aca="false">ROUND(B11*D11,1)</f>
        <v>536</v>
      </c>
      <c r="F11" s="21" t="n">
        <f aca="false">B11-E11</f>
        <v>0</v>
      </c>
      <c r="G11" s="30" t="n">
        <v>11</v>
      </c>
      <c r="H11" s="9" t="s">
        <v>215</v>
      </c>
      <c r="I11" s="24" t="n">
        <v>7</v>
      </c>
      <c r="J11" s="6" t="n">
        <f aca="false">ROUND(F11*I11,0)</f>
        <v>0</v>
      </c>
      <c r="K11" s="5" t="s">
        <v>216</v>
      </c>
      <c r="L11" s="5" t="s">
        <v>217</v>
      </c>
      <c r="M11" s="8" t="s">
        <v>218</v>
      </c>
      <c r="N11" s="5" t="n">
        <v>0</v>
      </c>
      <c r="O11" s="9" t="s">
        <v>219</v>
      </c>
      <c r="P11" s="5" t="s">
        <v>220</v>
      </c>
      <c r="Q11" s="9" t="s">
        <v>680</v>
      </c>
    </row>
    <row r="12" customFormat="false" ht="22.35" hidden="false" customHeight="false" outlineLevel="0" collapsed="false">
      <c r="A12" s="9" t="s">
        <v>681</v>
      </c>
      <c r="B12" s="21" t="n">
        <v>536</v>
      </c>
      <c r="C12" s="22" t="s">
        <v>139</v>
      </c>
      <c r="D12" s="8" t="n">
        <v>1</v>
      </c>
      <c r="E12" s="21" t="n">
        <f aca="false">ROUND(B12*D12,1)</f>
        <v>536</v>
      </c>
      <c r="F12" s="21" t="n">
        <f aca="false">B12-E12</f>
        <v>0</v>
      </c>
      <c r="G12" s="30" t="n">
        <v>11</v>
      </c>
      <c r="H12" s="9" t="s">
        <v>215</v>
      </c>
      <c r="I12" s="24" t="n">
        <v>7</v>
      </c>
      <c r="J12" s="6" t="n">
        <f aca="false">ROUND(F12*I12,0)</f>
        <v>0</v>
      </c>
      <c r="K12" s="5" t="s">
        <v>216</v>
      </c>
      <c r="L12" s="5" t="s">
        <v>217</v>
      </c>
      <c r="M12" s="8" t="s">
        <v>218</v>
      </c>
      <c r="N12" s="5" t="n">
        <v>0</v>
      </c>
      <c r="O12" s="9" t="s">
        <v>219</v>
      </c>
      <c r="P12" s="5" t="s">
        <v>220</v>
      </c>
      <c r="Q12" s="9" t="s">
        <v>680</v>
      </c>
    </row>
    <row r="13" customFormat="false" ht="22.35" hidden="false" customHeight="false" outlineLevel="0" collapsed="false">
      <c r="A13" s="9" t="s">
        <v>682</v>
      </c>
      <c r="B13" s="21" t="n">
        <v>536</v>
      </c>
      <c r="C13" s="22" t="s">
        <v>139</v>
      </c>
      <c r="D13" s="8" t="n">
        <v>1</v>
      </c>
      <c r="E13" s="21" t="n">
        <f aca="false">ROUND(B13*D13,1)</f>
        <v>536</v>
      </c>
      <c r="F13" s="21" t="n">
        <f aca="false">B13-E13</f>
        <v>0</v>
      </c>
      <c r="G13" s="30" t="n">
        <v>11</v>
      </c>
      <c r="H13" s="9" t="s">
        <v>215</v>
      </c>
      <c r="I13" s="24" t="n">
        <v>7</v>
      </c>
      <c r="J13" s="6" t="n">
        <f aca="false">ROUND(F13*I13,0)</f>
        <v>0</v>
      </c>
      <c r="K13" s="5" t="s">
        <v>216</v>
      </c>
      <c r="L13" s="5" t="s">
        <v>217</v>
      </c>
      <c r="M13" s="8" t="s">
        <v>218</v>
      </c>
      <c r="N13" s="5" t="n">
        <v>0</v>
      </c>
      <c r="O13" s="9" t="s">
        <v>219</v>
      </c>
      <c r="P13" s="5" t="s">
        <v>220</v>
      </c>
      <c r="Q13" s="9" t="s">
        <v>683</v>
      </c>
    </row>
    <row r="14" customFormat="false" ht="15" hidden="false" customHeight="false" outlineLevel="0" collapsed="false">
      <c r="A14" s="12" t="s">
        <v>189</v>
      </c>
      <c r="B14" s="13" t="n">
        <f aca="false">SUM(B6:B13)</f>
        <v>4952</v>
      </c>
      <c r="C14" s="12"/>
      <c r="D14" s="14" t="n">
        <f aca="false">IF(B14=0,0,E14/B14)</f>
        <v>1</v>
      </c>
      <c r="E14" s="13" t="n">
        <f aca="false">SUM(E6:E13)</f>
        <v>4952</v>
      </c>
      <c r="F14" s="13" t="n">
        <f aca="false">SUM(F6:F13)</f>
        <v>0</v>
      </c>
      <c r="G14" s="12"/>
      <c r="H14" s="12"/>
      <c r="I14" s="12"/>
      <c r="J14" s="13" t="n">
        <f aca="false">SUM(J6:J13)</f>
        <v>0</v>
      </c>
      <c r="K14" s="12"/>
      <c r="L14" s="12"/>
      <c r="M14" s="12"/>
      <c r="N14" s="12"/>
      <c r="O14" s="12"/>
      <c r="P14" s="12"/>
      <c r="Q14" s="12"/>
    </row>
    <row r="16" customFormat="false" ht="15" hidden="false" customHeight="false" outlineLevel="0" collapsed="false">
      <c r="A16" s="16" t="s">
        <v>190</v>
      </c>
      <c r="D16" s="27" t="n">
        <f aca="false">J14</f>
        <v>0</v>
      </c>
      <c r="F16" s="20" t="s">
        <v>191</v>
      </c>
    </row>
    <row r="17" customFormat="false" ht="15" hidden="false" customHeight="false" outlineLevel="0" collapsed="false">
      <c r="A17" s="16" t="s">
        <v>192</v>
      </c>
      <c r="D17" s="27" t="n">
        <f aca="false">F14*8</f>
        <v>0</v>
      </c>
      <c r="F17" s="20" t="s">
        <v>193</v>
      </c>
    </row>
    <row r="18" customFormat="false" ht="15" hidden="false" customHeight="false" outlineLevel="0" collapsed="false">
      <c r="A18" s="16" t="s">
        <v>194</v>
      </c>
      <c r="D18" s="28" t="n">
        <v>0</v>
      </c>
      <c r="F18" s="20" t="s">
        <v>195</v>
      </c>
    </row>
    <row r="19" customFormat="false" ht="15" hidden="false" customHeight="false" outlineLevel="0" collapsed="false">
      <c r="A19" s="16" t="s">
        <v>196</v>
      </c>
      <c r="D19" s="32" t="s">
        <v>99</v>
      </c>
      <c r="F19" s="20" t="s">
        <v>104</v>
      </c>
    </row>
    <row r="20" customFormat="false" ht="15" hidden="false" customHeight="false" outlineLevel="0" collapsed="false">
      <c r="A20" s="16" t="s">
        <v>197</v>
      </c>
      <c r="D20" s="32" t="s">
        <v>98</v>
      </c>
      <c r="F20" s="20" t="s">
        <v>665</v>
      </c>
    </row>
    <row r="21" customFormat="false" ht="15" hidden="false" customHeight="false" outlineLevel="0" collapsed="false">
      <c r="A21" s="16" t="s">
        <v>199</v>
      </c>
      <c r="D21" s="32" t="s">
        <v>98</v>
      </c>
    </row>
    <row r="22" customFormat="false" ht="15" hidden="false" customHeight="false" outlineLevel="0" collapsed="false">
      <c r="A22" s="16" t="s">
        <v>201</v>
      </c>
      <c r="D22" s="28" t="n">
        <v>0</v>
      </c>
    </row>
    <row r="23" customFormat="false" ht="15" hidden="false" customHeight="false" outlineLevel="0" collapsed="false">
      <c r="A23" s="16" t="s">
        <v>202</v>
      </c>
      <c r="D23" s="28" t="n">
        <v>32</v>
      </c>
      <c r="F23" s="20" t="s">
        <v>203</v>
      </c>
    </row>
    <row r="24" customFormat="false" ht="15" hidden="false" customHeight="false" outlineLevel="0" collapsed="false">
      <c r="A24" s="16" t="s">
        <v>204</v>
      </c>
      <c r="D24" s="28" t="n">
        <v>0</v>
      </c>
    </row>
    <row r="25" customFormat="false" ht="15" hidden="false" customHeight="false" outlineLevel="0" collapsed="false">
      <c r="A25" s="16" t="s">
        <v>205</v>
      </c>
      <c r="D25" s="28" t="n">
        <v>4952</v>
      </c>
      <c r="F25" s="20" t="s">
        <v>206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3"/>
    <col collapsed="false" customWidth="true" hidden="false" outlineLevel="0" max="3" min="3" style="0" width="15"/>
    <col collapsed="false" customWidth="true" hidden="false" outlineLevel="0" max="4" min="4" style="0" width="12"/>
    <col collapsed="false" customWidth="true" hidden="false" outlineLevel="0" max="6" min="5" style="0" width="13"/>
    <col collapsed="false" customWidth="true" hidden="false" outlineLevel="0" max="7" min="7" style="0" width="11"/>
    <col collapsed="false" customWidth="true" hidden="false" outlineLevel="0" max="8" min="8" style="0" width="20"/>
    <col collapsed="false" customWidth="true" hidden="false" outlineLevel="0" max="10" min="9" style="0" width="13"/>
    <col collapsed="false" customWidth="true" hidden="false" outlineLevel="0" max="11" min="11" style="0" width="10"/>
    <col collapsed="false" customWidth="true" hidden="false" outlineLevel="0" max="12" min="12" style="0" width="13"/>
    <col collapsed="false" customWidth="true" hidden="false" outlineLevel="0" max="14" min="13" style="0" width="9"/>
    <col collapsed="false" customWidth="true" hidden="false" outlineLevel="0" max="15" min="15" style="0" width="46"/>
    <col collapsed="false" customWidth="true" hidden="false" outlineLevel="0" max="16" min="16" style="0" width="17"/>
    <col collapsed="false" customWidth="true" hidden="false" outlineLevel="0" max="17" min="17" style="0" width="52"/>
  </cols>
  <sheetData>
    <row r="1" customFormat="false" ht="16.15" hidden="false" customHeight="false" outlineLevel="0" collapsed="false">
      <c r="A1" s="18" t="s">
        <v>684</v>
      </c>
    </row>
    <row r="2" customFormat="false" ht="15" hidden="false" customHeight="false" outlineLevel="0" collapsed="false">
      <c r="A2" s="19" t="s">
        <v>685</v>
      </c>
    </row>
    <row r="3" customFormat="false" ht="15" hidden="false" customHeight="false" outlineLevel="0" collapsed="false">
      <c r="A3" s="20" t="s">
        <v>686</v>
      </c>
    </row>
    <row r="5" customFormat="false" ht="32.8" hidden="false" customHeight="false" outlineLevel="0" collapsed="false">
      <c r="A5" s="4" t="s">
        <v>122</v>
      </c>
      <c r="B5" s="4" t="s">
        <v>123</v>
      </c>
      <c r="C5" s="4" t="s">
        <v>124</v>
      </c>
      <c r="D5" s="4" t="s">
        <v>125</v>
      </c>
      <c r="E5" s="4" t="s">
        <v>126</v>
      </c>
      <c r="F5" s="4" t="s">
        <v>12</v>
      </c>
      <c r="G5" s="4" t="s">
        <v>127</v>
      </c>
      <c r="H5" s="4" t="s">
        <v>128</v>
      </c>
      <c r="I5" s="4" t="s">
        <v>129</v>
      </c>
      <c r="J5" s="4" t="s">
        <v>130</v>
      </c>
      <c r="K5" s="4" t="s">
        <v>131</v>
      </c>
      <c r="L5" s="4" t="s">
        <v>132</v>
      </c>
      <c r="M5" s="4" t="s">
        <v>133</v>
      </c>
      <c r="N5" s="4" t="s">
        <v>134</v>
      </c>
      <c r="O5" s="4" t="s">
        <v>135</v>
      </c>
      <c r="P5" s="4" t="s">
        <v>136</v>
      </c>
      <c r="Q5" s="4" t="s">
        <v>137</v>
      </c>
    </row>
    <row r="6" customFormat="false" ht="22.35" hidden="false" customHeight="false" outlineLevel="0" collapsed="false">
      <c r="A6" s="9" t="s">
        <v>687</v>
      </c>
      <c r="B6" s="21" t="n">
        <v>231</v>
      </c>
      <c r="C6" s="25" t="s">
        <v>154</v>
      </c>
      <c r="D6" s="8" t="n">
        <v>0</v>
      </c>
      <c r="E6" s="21" t="n">
        <f aca="false">ROUND(B6*D6,1)</f>
        <v>0</v>
      </c>
      <c r="F6" s="21" t="n">
        <f aca="false">B6-E6</f>
        <v>231</v>
      </c>
      <c r="G6" s="30" t="n">
        <v>18.5</v>
      </c>
      <c r="H6" s="9" t="s">
        <v>215</v>
      </c>
      <c r="I6" s="24" t="n">
        <v>13.5</v>
      </c>
      <c r="J6" s="6" t="n">
        <f aca="false">ROUND(F6*I6,0)</f>
        <v>3119</v>
      </c>
      <c r="K6" s="5" t="s">
        <v>216</v>
      </c>
      <c r="L6" s="5" t="s">
        <v>217</v>
      </c>
      <c r="M6" s="8" t="s">
        <v>218</v>
      </c>
      <c r="N6" s="5" t="n">
        <v>0</v>
      </c>
      <c r="O6" s="9" t="s">
        <v>219</v>
      </c>
      <c r="P6" s="5" t="s">
        <v>220</v>
      </c>
      <c r="Q6" s="9" t="s">
        <v>688</v>
      </c>
    </row>
    <row r="7" customFormat="false" ht="22.35" hidden="false" customHeight="false" outlineLevel="0" collapsed="false">
      <c r="A7" s="9" t="s">
        <v>689</v>
      </c>
      <c r="B7" s="21" t="n">
        <v>209</v>
      </c>
      <c r="C7" s="25" t="s">
        <v>154</v>
      </c>
      <c r="D7" s="8" t="n">
        <v>0</v>
      </c>
      <c r="E7" s="21" t="n">
        <f aca="false">ROUND(B7*D7,1)</f>
        <v>0</v>
      </c>
      <c r="F7" s="21" t="n">
        <f aca="false">B7-E7</f>
        <v>209</v>
      </c>
      <c r="G7" s="30" t="n">
        <v>12</v>
      </c>
      <c r="H7" s="9" t="s">
        <v>215</v>
      </c>
      <c r="I7" s="24" t="n">
        <v>8</v>
      </c>
      <c r="J7" s="6" t="n">
        <f aca="false">ROUND(F7*I7,0)</f>
        <v>1672</v>
      </c>
      <c r="K7" s="5" t="s">
        <v>216</v>
      </c>
      <c r="L7" s="5" t="s">
        <v>217</v>
      </c>
      <c r="M7" s="8" t="s">
        <v>218</v>
      </c>
      <c r="N7" s="5" t="n">
        <v>0</v>
      </c>
      <c r="O7" s="9" t="s">
        <v>219</v>
      </c>
      <c r="P7" s="5" t="s">
        <v>220</v>
      </c>
      <c r="Q7" s="9" t="s">
        <v>690</v>
      </c>
    </row>
    <row r="8" customFormat="false" ht="32.8" hidden="false" customHeight="false" outlineLevel="0" collapsed="false">
      <c r="A8" s="9" t="s">
        <v>318</v>
      </c>
      <c r="B8" s="21" t="n">
        <v>209</v>
      </c>
      <c r="C8" s="25" t="s">
        <v>154</v>
      </c>
      <c r="D8" s="8" t="n">
        <v>0</v>
      </c>
      <c r="E8" s="21" t="n">
        <f aca="false">ROUND(B8*D8,1)</f>
        <v>0</v>
      </c>
      <c r="F8" s="21" t="n">
        <f aca="false">B8-E8</f>
        <v>209</v>
      </c>
      <c r="G8" s="30" t="n">
        <v>12</v>
      </c>
      <c r="H8" s="9" t="s">
        <v>215</v>
      </c>
      <c r="I8" s="24" t="n">
        <v>8</v>
      </c>
      <c r="J8" s="6" t="n">
        <f aca="false">ROUND(F8*I8,0)</f>
        <v>1672</v>
      </c>
      <c r="K8" s="5" t="s">
        <v>314</v>
      </c>
      <c r="L8" s="5" t="s">
        <v>217</v>
      </c>
      <c r="M8" s="8" t="s">
        <v>218</v>
      </c>
      <c r="N8" s="5" t="n">
        <v>0</v>
      </c>
      <c r="O8" s="9" t="s">
        <v>691</v>
      </c>
      <c r="P8" s="5" t="s">
        <v>220</v>
      </c>
      <c r="Q8" s="9" t="s">
        <v>692</v>
      </c>
    </row>
    <row r="9" customFormat="false" ht="32.8" hidden="false" customHeight="false" outlineLevel="0" collapsed="false">
      <c r="A9" s="9" t="s">
        <v>347</v>
      </c>
      <c r="B9" s="21" t="n">
        <v>209</v>
      </c>
      <c r="C9" s="25" t="s">
        <v>154</v>
      </c>
      <c r="D9" s="8" t="n">
        <v>0</v>
      </c>
      <c r="E9" s="21" t="n">
        <f aca="false">ROUND(B9*D9,1)</f>
        <v>0</v>
      </c>
      <c r="F9" s="21" t="n">
        <f aca="false">B9-E9</f>
        <v>209</v>
      </c>
      <c r="G9" s="30" t="n">
        <v>12</v>
      </c>
      <c r="H9" s="9" t="s">
        <v>215</v>
      </c>
      <c r="I9" s="24" t="n">
        <v>8</v>
      </c>
      <c r="J9" s="6" t="n">
        <f aca="false">ROUND(F9*I9,0)</f>
        <v>1672</v>
      </c>
      <c r="K9" s="5" t="s">
        <v>314</v>
      </c>
      <c r="L9" s="5" t="s">
        <v>217</v>
      </c>
      <c r="M9" s="8" t="s">
        <v>218</v>
      </c>
      <c r="N9" s="5" t="n">
        <v>0</v>
      </c>
      <c r="O9" s="9" t="s">
        <v>693</v>
      </c>
      <c r="P9" s="5" t="s">
        <v>220</v>
      </c>
      <c r="Q9" s="9" t="s">
        <v>694</v>
      </c>
    </row>
    <row r="10" customFormat="false" ht="22.35" hidden="false" customHeight="false" outlineLevel="0" collapsed="false">
      <c r="A10" s="9" t="s">
        <v>695</v>
      </c>
      <c r="B10" s="21" t="n">
        <v>215</v>
      </c>
      <c r="C10" s="25" t="s">
        <v>154</v>
      </c>
      <c r="D10" s="8" t="n">
        <v>0</v>
      </c>
      <c r="E10" s="21" t="n">
        <f aca="false">ROUND(B10*D10,1)</f>
        <v>0</v>
      </c>
      <c r="F10" s="21" t="n">
        <f aca="false">B10-E10</f>
        <v>215</v>
      </c>
      <c r="G10" s="30" t="n">
        <v>12</v>
      </c>
      <c r="H10" s="9" t="s">
        <v>215</v>
      </c>
      <c r="I10" s="24" t="n">
        <v>8</v>
      </c>
      <c r="J10" s="6" t="n">
        <f aca="false">ROUND(F10*I10,0)</f>
        <v>1720</v>
      </c>
      <c r="K10" s="5" t="s">
        <v>216</v>
      </c>
      <c r="L10" s="5" t="s">
        <v>217</v>
      </c>
      <c r="M10" s="8" t="s">
        <v>218</v>
      </c>
      <c r="N10" s="5" t="n">
        <v>0</v>
      </c>
      <c r="O10" s="9" t="s">
        <v>219</v>
      </c>
      <c r="P10" s="5" t="s">
        <v>220</v>
      </c>
      <c r="Q10" s="9" t="s">
        <v>696</v>
      </c>
    </row>
    <row r="11" customFormat="false" ht="15" hidden="false" customHeight="false" outlineLevel="0" collapsed="false">
      <c r="A11" s="12" t="s">
        <v>189</v>
      </c>
      <c r="B11" s="13" t="n">
        <f aca="false">SUM(B6:B10)</f>
        <v>1073</v>
      </c>
      <c r="C11" s="12"/>
      <c r="D11" s="14" t="n">
        <f aca="false">IF(B11=0,0,E11/B11)</f>
        <v>0</v>
      </c>
      <c r="E11" s="13" t="n">
        <f aca="false">SUM(E6:E10)</f>
        <v>0</v>
      </c>
      <c r="F11" s="13" t="n">
        <f aca="false">SUM(F6:F10)</f>
        <v>1073</v>
      </c>
      <c r="G11" s="12"/>
      <c r="H11" s="12"/>
      <c r="I11" s="12"/>
      <c r="J11" s="13" t="n">
        <f aca="false">SUM(J6:J10)</f>
        <v>9855</v>
      </c>
      <c r="K11" s="12"/>
      <c r="L11" s="12"/>
      <c r="M11" s="12"/>
      <c r="N11" s="12"/>
      <c r="O11" s="12"/>
      <c r="P11" s="12"/>
      <c r="Q11" s="12"/>
    </row>
    <row r="13" customFormat="false" ht="15" hidden="false" customHeight="false" outlineLevel="0" collapsed="false">
      <c r="A13" s="16" t="s">
        <v>190</v>
      </c>
      <c r="D13" s="27" t="n">
        <f aca="false">J11</f>
        <v>9855</v>
      </c>
      <c r="F13" s="20" t="s">
        <v>191</v>
      </c>
    </row>
    <row r="14" customFormat="false" ht="15" hidden="false" customHeight="false" outlineLevel="0" collapsed="false">
      <c r="A14" s="16" t="s">
        <v>192</v>
      </c>
      <c r="D14" s="27" t="n">
        <f aca="false">F11*8</f>
        <v>8584</v>
      </c>
      <c r="F14" s="20" t="s">
        <v>193</v>
      </c>
    </row>
    <row r="15" customFormat="false" ht="15" hidden="false" customHeight="false" outlineLevel="0" collapsed="false">
      <c r="A15" s="16" t="s">
        <v>194</v>
      </c>
      <c r="D15" s="28" t="n">
        <v>0</v>
      </c>
      <c r="F15" s="20" t="s">
        <v>195</v>
      </c>
    </row>
    <row r="16" customFormat="false" ht="15" hidden="false" customHeight="false" outlineLevel="0" collapsed="false">
      <c r="A16" s="16" t="s">
        <v>196</v>
      </c>
      <c r="D16" s="29" t="n">
        <v>0.28</v>
      </c>
      <c r="F16" s="20" t="s">
        <v>82</v>
      </c>
    </row>
    <row r="17" customFormat="false" ht="15" hidden="false" customHeight="false" outlineLevel="0" collapsed="false">
      <c r="A17" s="16" t="s">
        <v>197</v>
      </c>
      <c r="D17" s="27" t="n">
        <f aca="false">(B11-D15)*(1-D16)</f>
        <v>772.56</v>
      </c>
      <c r="F17" s="20" t="s">
        <v>198</v>
      </c>
    </row>
    <row r="18" customFormat="false" ht="15" hidden="false" customHeight="false" outlineLevel="0" collapsed="false">
      <c r="A18" s="16" t="s">
        <v>199</v>
      </c>
      <c r="D18" s="27" t="n">
        <f aca="false">ROUND(D17*4.215,0)</f>
        <v>3256</v>
      </c>
      <c r="F18" s="20" t="s">
        <v>697</v>
      </c>
    </row>
    <row r="19" customFormat="false" ht="15" hidden="false" customHeight="false" outlineLevel="0" collapsed="false">
      <c r="A19" s="16" t="s">
        <v>201</v>
      </c>
      <c r="D19" s="28" t="n">
        <v>0</v>
      </c>
    </row>
    <row r="20" customFormat="false" ht="15" hidden="false" customHeight="false" outlineLevel="0" collapsed="false">
      <c r="A20" s="16" t="s">
        <v>202</v>
      </c>
      <c r="D20" s="28" t="n">
        <v>14</v>
      </c>
      <c r="F20" s="20" t="s">
        <v>203</v>
      </c>
    </row>
    <row r="21" customFormat="false" ht="15" hidden="false" customHeight="false" outlineLevel="0" collapsed="false">
      <c r="A21" s="16" t="s">
        <v>204</v>
      </c>
      <c r="D21" s="28" t="n">
        <v>0</v>
      </c>
    </row>
    <row r="22" customFormat="false" ht="15" hidden="false" customHeight="false" outlineLevel="0" collapsed="false">
      <c r="A22" s="16" t="s">
        <v>205</v>
      </c>
      <c r="D22" s="28" t="n">
        <v>0</v>
      </c>
      <c r="F22" s="20" t="s">
        <v>206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6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7"/>
    <col collapsed="false" customWidth="true" hidden="false" outlineLevel="0" max="3" min="3" style="0" width="26"/>
    <col collapsed="false" customWidth="true" hidden="false" outlineLevel="0" max="4" min="4" style="0" width="32"/>
    <col collapsed="false" customWidth="true" hidden="false" outlineLevel="0" max="7" min="5" style="0" width="12"/>
    <col collapsed="false" customWidth="true" hidden="false" outlineLevel="0" max="9" min="8" style="0" width="13"/>
    <col collapsed="false" customWidth="true" hidden="false" outlineLevel="0" max="10" min="10" style="0" width="12"/>
    <col collapsed="false" customWidth="true" hidden="false" outlineLevel="0" max="11" min="11" style="0" width="14"/>
    <col collapsed="false" customWidth="true" hidden="false" outlineLevel="0" max="12" min="12" style="0" width="12"/>
    <col collapsed="false" customWidth="true" hidden="false" outlineLevel="0" max="13" min="13" style="0" width="11"/>
    <col collapsed="false" customWidth="true" hidden="false" outlineLevel="0" max="14" min="14" style="0" width="52"/>
  </cols>
  <sheetData>
    <row r="1" customFormat="false" ht="16.15" hidden="false" customHeight="false" outlineLevel="0" collapsed="false">
      <c r="A1" s="18" t="s">
        <v>698</v>
      </c>
    </row>
    <row r="2" customFormat="false" ht="33.75" hidden="false" customHeight="true" outlineLevel="0" collapsed="false">
      <c r="A2" s="3" t="s">
        <v>699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4" customFormat="false" ht="43.25" hidden="false" customHeight="false" outlineLevel="0" collapsed="false">
      <c r="A4" s="4" t="s">
        <v>700</v>
      </c>
      <c r="B4" s="4" t="s">
        <v>701</v>
      </c>
      <c r="C4" s="4" t="s">
        <v>4</v>
      </c>
      <c r="D4" s="4" t="s">
        <v>702</v>
      </c>
      <c r="E4" s="4" t="s">
        <v>703</v>
      </c>
      <c r="F4" s="4" t="s">
        <v>704</v>
      </c>
      <c r="G4" s="4" t="s">
        <v>705</v>
      </c>
      <c r="H4" s="4" t="s">
        <v>706</v>
      </c>
      <c r="I4" s="4" t="s">
        <v>707</v>
      </c>
      <c r="J4" s="4" t="s">
        <v>708</v>
      </c>
      <c r="K4" s="4" t="s">
        <v>709</v>
      </c>
      <c r="L4" s="4" t="s">
        <v>710</v>
      </c>
      <c r="M4" s="4" t="s">
        <v>711</v>
      </c>
      <c r="N4" s="4" t="s">
        <v>712</v>
      </c>
    </row>
    <row r="5" customFormat="false" ht="15" hidden="false" customHeight="false" outlineLevel="0" collapsed="false">
      <c r="A5" s="5" t="n">
        <v>1</v>
      </c>
      <c r="B5" s="5" t="n">
        <v>25</v>
      </c>
      <c r="C5" s="5" t="s">
        <v>50</v>
      </c>
      <c r="D5" s="5" t="s">
        <v>149</v>
      </c>
      <c r="E5" s="33" t="n">
        <v>-18.739844</v>
      </c>
      <c r="F5" s="33" t="n">
        <v>-39.751302</v>
      </c>
      <c r="G5" s="5" t="s">
        <v>713</v>
      </c>
      <c r="H5" s="5" t="s">
        <v>714</v>
      </c>
      <c r="I5" s="22" t="s">
        <v>715</v>
      </c>
      <c r="J5" s="5" t="s">
        <v>716</v>
      </c>
      <c r="K5" s="5" t="s">
        <v>717</v>
      </c>
      <c r="L5" s="21" t="n">
        <v>334.2</v>
      </c>
      <c r="M5" s="5" t="s">
        <v>218</v>
      </c>
      <c r="N5" s="9" t="s">
        <v>718</v>
      </c>
    </row>
    <row r="6" customFormat="false" ht="15" hidden="false" customHeight="false" outlineLevel="0" collapsed="false">
      <c r="A6" s="5" t="n">
        <v>2</v>
      </c>
      <c r="B6" s="5" t="n">
        <v>25</v>
      </c>
      <c r="C6" s="5" t="s">
        <v>50</v>
      </c>
      <c r="D6" s="5" t="s">
        <v>149</v>
      </c>
      <c r="E6" s="33" t="n">
        <v>-18.742862</v>
      </c>
      <c r="F6" s="33" t="n">
        <v>-39.751408</v>
      </c>
      <c r="G6" s="5" t="s">
        <v>713</v>
      </c>
      <c r="H6" s="5" t="s">
        <v>719</v>
      </c>
      <c r="I6" s="22" t="s">
        <v>715</v>
      </c>
      <c r="J6" s="5" t="s">
        <v>716</v>
      </c>
      <c r="K6" s="5" t="s">
        <v>720</v>
      </c>
      <c r="L6" s="21" t="n">
        <v>334.2</v>
      </c>
      <c r="M6" s="5" t="s">
        <v>218</v>
      </c>
      <c r="N6" s="9"/>
    </row>
    <row r="7" customFormat="false" ht="15" hidden="false" customHeight="false" outlineLevel="0" collapsed="false">
      <c r="A7" s="5" t="n">
        <v>3</v>
      </c>
      <c r="B7" s="5" t="n">
        <v>25</v>
      </c>
      <c r="C7" s="5" t="s">
        <v>50</v>
      </c>
      <c r="D7" s="5" t="s">
        <v>153</v>
      </c>
      <c r="E7" s="33" t="n">
        <v>-18.7425</v>
      </c>
      <c r="F7" s="33" t="n">
        <v>-39.75669</v>
      </c>
      <c r="G7" s="5" t="s">
        <v>713</v>
      </c>
      <c r="H7" s="5" t="s">
        <v>719</v>
      </c>
      <c r="I7" s="25" t="s">
        <v>721</v>
      </c>
      <c r="J7" s="5" t="s">
        <v>174</v>
      </c>
      <c r="K7" s="5" t="s">
        <v>722</v>
      </c>
      <c r="L7" s="21" t="n">
        <v>377.7</v>
      </c>
      <c r="M7" s="5" t="s">
        <v>218</v>
      </c>
      <c r="N7" s="9"/>
    </row>
    <row r="8" customFormat="false" ht="15" hidden="false" customHeight="false" outlineLevel="0" collapsed="false">
      <c r="A8" s="5" t="n">
        <v>4</v>
      </c>
      <c r="B8" s="5" t="n">
        <v>25</v>
      </c>
      <c r="C8" s="5" t="s">
        <v>50</v>
      </c>
      <c r="D8" s="5" t="s">
        <v>153</v>
      </c>
      <c r="E8" s="33" t="n">
        <v>-18.742642</v>
      </c>
      <c r="F8" s="33" t="n">
        <v>-39.75311</v>
      </c>
      <c r="G8" s="5" t="s">
        <v>713</v>
      </c>
      <c r="H8" s="5" t="s">
        <v>719</v>
      </c>
      <c r="I8" s="25" t="s">
        <v>721</v>
      </c>
      <c r="J8" s="5" t="s">
        <v>174</v>
      </c>
      <c r="K8" s="5" t="s">
        <v>717</v>
      </c>
      <c r="L8" s="21" t="n">
        <v>377.7</v>
      </c>
      <c r="M8" s="5" t="s">
        <v>218</v>
      </c>
      <c r="N8" s="9"/>
    </row>
    <row r="9" customFormat="false" ht="15" hidden="false" customHeight="false" outlineLevel="0" collapsed="false">
      <c r="A9" s="5" t="n">
        <v>5</v>
      </c>
      <c r="B9" s="5" t="n">
        <v>25</v>
      </c>
      <c r="C9" s="5" t="s">
        <v>50</v>
      </c>
      <c r="D9" s="5" t="s">
        <v>173</v>
      </c>
      <c r="E9" s="33" t="n">
        <v>-18.741448</v>
      </c>
      <c r="F9" s="33" t="n">
        <v>-39.757</v>
      </c>
      <c r="G9" s="5" t="s">
        <v>713</v>
      </c>
      <c r="H9" s="5" t="s">
        <v>719</v>
      </c>
      <c r="I9" s="25" t="s">
        <v>723</v>
      </c>
      <c r="J9" s="5" t="s">
        <v>174</v>
      </c>
      <c r="K9" s="5" t="s">
        <v>720</v>
      </c>
      <c r="L9" s="21" t="n">
        <v>396</v>
      </c>
      <c r="M9" s="5" t="s">
        <v>218</v>
      </c>
      <c r="N9" s="9"/>
    </row>
    <row r="10" customFormat="false" ht="15" hidden="false" customHeight="false" outlineLevel="0" collapsed="false">
      <c r="A10" s="5" t="n">
        <v>6</v>
      </c>
      <c r="B10" s="5" t="n">
        <v>25</v>
      </c>
      <c r="C10" s="5" t="s">
        <v>50</v>
      </c>
      <c r="D10" s="5" t="s">
        <v>173</v>
      </c>
      <c r="E10" s="33" t="n">
        <v>-18.741596</v>
      </c>
      <c r="F10" s="33" t="n">
        <v>-39.753247</v>
      </c>
      <c r="G10" s="5" t="s">
        <v>713</v>
      </c>
      <c r="H10" s="5" t="s">
        <v>719</v>
      </c>
      <c r="I10" s="25" t="s">
        <v>721</v>
      </c>
      <c r="J10" s="5" t="s">
        <v>174</v>
      </c>
      <c r="K10" s="5" t="s">
        <v>720</v>
      </c>
      <c r="L10" s="21" t="n">
        <v>396</v>
      </c>
      <c r="M10" s="5" t="s">
        <v>218</v>
      </c>
      <c r="N10" s="9"/>
    </row>
    <row r="11" customFormat="false" ht="15" hidden="false" customHeight="false" outlineLevel="0" collapsed="false">
      <c r="A11" s="5" t="n">
        <v>7</v>
      </c>
      <c r="B11" s="5" t="n">
        <v>25</v>
      </c>
      <c r="C11" s="5" t="s">
        <v>50</v>
      </c>
      <c r="D11" s="5" t="s">
        <v>185</v>
      </c>
      <c r="E11" s="33" t="n">
        <v>-18.739967</v>
      </c>
      <c r="F11" s="33" t="n">
        <v>-39.756984</v>
      </c>
      <c r="G11" s="5" t="s">
        <v>713</v>
      </c>
      <c r="H11" s="5" t="s">
        <v>719</v>
      </c>
      <c r="I11" s="25" t="s">
        <v>723</v>
      </c>
      <c r="J11" s="5" t="s">
        <v>174</v>
      </c>
      <c r="K11" s="5" t="s">
        <v>720</v>
      </c>
      <c r="L11" s="21" t="n">
        <v>399.2</v>
      </c>
      <c r="M11" s="5" t="s">
        <v>218</v>
      </c>
      <c r="N11" s="9"/>
    </row>
    <row r="12" customFormat="false" ht="15" hidden="false" customHeight="false" outlineLevel="0" collapsed="false">
      <c r="A12" s="5" t="n">
        <v>8</v>
      </c>
      <c r="B12" s="5" t="n">
        <v>25</v>
      </c>
      <c r="C12" s="5" t="s">
        <v>50</v>
      </c>
      <c r="D12" s="5" t="s">
        <v>185</v>
      </c>
      <c r="E12" s="33" t="n">
        <v>-18.740126</v>
      </c>
      <c r="F12" s="33" t="n">
        <v>-39.753202</v>
      </c>
      <c r="G12" s="5" t="s">
        <v>713</v>
      </c>
      <c r="H12" s="5" t="s">
        <v>719</v>
      </c>
      <c r="I12" s="25" t="s">
        <v>721</v>
      </c>
      <c r="J12" s="5" t="s">
        <v>174</v>
      </c>
      <c r="K12" s="5" t="s">
        <v>720</v>
      </c>
      <c r="L12" s="21" t="n">
        <v>399.2</v>
      </c>
      <c r="M12" s="5" t="s">
        <v>218</v>
      </c>
      <c r="N12" s="9"/>
    </row>
    <row r="13" customFormat="false" ht="15" hidden="false" customHeight="false" outlineLevel="0" collapsed="false">
      <c r="A13" s="5" t="n">
        <v>9</v>
      </c>
      <c r="B13" s="5" t="n">
        <v>25</v>
      </c>
      <c r="C13" s="5" t="s">
        <v>50</v>
      </c>
      <c r="D13" s="5" t="s">
        <v>294</v>
      </c>
      <c r="E13" s="33" t="n">
        <v>-18.742079</v>
      </c>
      <c r="F13" s="33" t="n">
        <v>-39.754921</v>
      </c>
      <c r="G13" s="5" t="s">
        <v>713</v>
      </c>
      <c r="H13" s="5" t="s">
        <v>719</v>
      </c>
      <c r="I13" s="25" t="s">
        <v>721</v>
      </c>
      <c r="J13" s="5" t="s">
        <v>174</v>
      </c>
      <c r="K13" s="5" t="s">
        <v>722</v>
      </c>
      <c r="L13" s="21" t="n">
        <v>464.9</v>
      </c>
      <c r="M13" s="5" t="s">
        <v>218</v>
      </c>
      <c r="N13" s="9"/>
    </row>
    <row r="14" customFormat="false" ht="15" hidden="false" customHeight="false" outlineLevel="0" collapsed="false">
      <c r="A14" s="5" t="n">
        <v>10</v>
      </c>
      <c r="B14" s="5" t="n">
        <v>25</v>
      </c>
      <c r="C14" s="5" t="s">
        <v>50</v>
      </c>
      <c r="D14" s="5" t="s">
        <v>160</v>
      </c>
      <c r="E14" s="33" t="n">
        <v>-18.743932</v>
      </c>
      <c r="F14" s="33" t="n">
        <v>-39.756742</v>
      </c>
      <c r="G14" s="5" t="s">
        <v>713</v>
      </c>
      <c r="H14" s="5" t="s">
        <v>719</v>
      </c>
      <c r="I14" s="25" t="s">
        <v>721</v>
      </c>
      <c r="J14" s="5" t="s">
        <v>174</v>
      </c>
      <c r="K14" s="5" t="s">
        <v>722</v>
      </c>
      <c r="L14" s="21" t="n">
        <v>450.3</v>
      </c>
      <c r="M14" s="5" t="s">
        <v>218</v>
      </c>
      <c r="N14" s="9"/>
    </row>
    <row r="15" customFormat="false" ht="15" hidden="false" customHeight="false" outlineLevel="0" collapsed="false">
      <c r="A15" s="5" t="n">
        <v>11</v>
      </c>
      <c r="B15" s="5" t="n">
        <v>25</v>
      </c>
      <c r="C15" s="5" t="s">
        <v>50</v>
      </c>
      <c r="D15" s="5" t="s">
        <v>160</v>
      </c>
      <c r="E15" s="33" t="n">
        <v>-18.744067</v>
      </c>
      <c r="F15" s="33" t="n">
        <v>-39.753046</v>
      </c>
      <c r="G15" s="5" t="s">
        <v>713</v>
      </c>
      <c r="H15" s="5" t="s">
        <v>719</v>
      </c>
      <c r="I15" s="25" t="s">
        <v>721</v>
      </c>
      <c r="J15" s="5" t="s">
        <v>174</v>
      </c>
      <c r="K15" s="5" t="s">
        <v>720</v>
      </c>
      <c r="L15" s="21" t="n">
        <v>332.4</v>
      </c>
      <c r="M15" s="5" t="s">
        <v>218</v>
      </c>
      <c r="N15" s="9"/>
    </row>
    <row r="16" customFormat="false" ht="15" hidden="false" customHeight="false" outlineLevel="0" collapsed="false">
      <c r="A16" s="5" t="n">
        <v>12</v>
      </c>
      <c r="B16" s="5" t="n">
        <v>25</v>
      </c>
      <c r="C16" s="5" t="s">
        <v>50</v>
      </c>
      <c r="D16" s="5" t="s">
        <v>293</v>
      </c>
      <c r="E16" s="33" t="n">
        <v>-18.741862</v>
      </c>
      <c r="F16" s="33" t="n">
        <v>-39.758458</v>
      </c>
      <c r="G16" s="5" t="s">
        <v>713</v>
      </c>
      <c r="H16" s="5" t="s">
        <v>719</v>
      </c>
      <c r="I16" s="25" t="s">
        <v>721</v>
      </c>
      <c r="J16" s="5" t="s">
        <v>174</v>
      </c>
      <c r="K16" s="5" t="s">
        <v>720</v>
      </c>
      <c r="L16" s="21" t="n">
        <v>447</v>
      </c>
      <c r="M16" s="5" t="s">
        <v>218</v>
      </c>
      <c r="N16" s="9"/>
    </row>
    <row r="17" customFormat="false" ht="15" hidden="false" customHeight="false" outlineLevel="0" collapsed="false">
      <c r="A17" s="5" t="n">
        <v>13</v>
      </c>
      <c r="B17" s="5" t="n">
        <v>25</v>
      </c>
      <c r="C17" s="5" t="s">
        <v>50</v>
      </c>
      <c r="D17" s="5" t="s">
        <v>295</v>
      </c>
      <c r="E17" s="33" t="n">
        <v>-18.7399</v>
      </c>
      <c r="F17" s="33" t="n">
        <v>-39.751876</v>
      </c>
      <c r="G17" s="5" t="s">
        <v>713</v>
      </c>
      <c r="H17" s="5" t="s">
        <v>719</v>
      </c>
      <c r="I17" s="25" t="s">
        <v>721</v>
      </c>
      <c r="J17" s="5" t="s">
        <v>174</v>
      </c>
      <c r="K17" s="5" t="s">
        <v>720</v>
      </c>
      <c r="L17" s="21" t="n">
        <v>327.7</v>
      </c>
      <c r="M17" s="5" t="s">
        <v>218</v>
      </c>
      <c r="N17" s="9"/>
    </row>
    <row r="18" customFormat="false" ht="15" hidden="false" customHeight="false" outlineLevel="0" collapsed="false">
      <c r="A18" s="5" t="n">
        <v>14</v>
      </c>
      <c r="B18" s="5" t="n">
        <v>25</v>
      </c>
      <c r="C18" s="5" t="s">
        <v>50</v>
      </c>
      <c r="D18" s="5" t="s">
        <v>295</v>
      </c>
      <c r="E18" s="33" t="n">
        <v>-18.74286</v>
      </c>
      <c r="F18" s="33" t="n">
        <v>-39.75199</v>
      </c>
      <c r="G18" s="5" t="s">
        <v>713</v>
      </c>
      <c r="H18" s="5" t="s">
        <v>719</v>
      </c>
      <c r="I18" s="25" t="s">
        <v>721</v>
      </c>
      <c r="J18" s="5" t="s">
        <v>174</v>
      </c>
      <c r="K18" s="5" t="s">
        <v>720</v>
      </c>
      <c r="L18" s="21" t="n">
        <v>327.7</v>
      </c>
      <c r="M18" s="5" t="s">
        <v>218</v>
      </c>
      <c r="N18" s="9"/>
    </row>
    <row r="19" customFormat="false" ht="15" hidden="false" customHeight="false" outlineLevel="0" collapsed="false">
      <c r="A19" s="5" t="n">
        <v>15</v>
      </c>
      <c r="B19" s="5" t="n">
        <v>25</v>
      </c>
      <c r="C19" s="5" t="s">
        <v>50</v>
      </c>
      <c r="D19" s="5" t="s">
        <v>297</v>
      </c>
      <c r="E19" s="33" t="n">
        <v>-18.740038</v>
      </c>
      <c r="F19" s="33" t="n">
        <v>-39.753076</v>
      </c>
      <c r="G19" s="5" t="s">
        <v>713</v>
      </c>
      <c r="H19" s="5" t="s">
        <v>719</v>
      </c>
      <c r="I19" s="25" t="s">
        <v>721</v>
      </c>
      <c r="J19" s="5" t="s">
        <v>174</v>
      </c>
      <c r="K19" s="5" t="s">
        <v>720</v>
      </c>
      <c r="L19" s="21" t="n">
        <v>312.7</v>
      </c>
      <c r="M19" s="5" t="s">
        <v>218</v>
      </c>
      <c r="N19" s="9"/>
    </row>
    <row r="20" customFormat="false" ht="15" hidden="false" customHeight="false" outlineLevel="0" collapsed="false">
      <c r="A20" s="5" t="n">
        <v>16</v>
      </c>
      <c r="B20" s="5" t="n">
        <v>25</v>
      </c>
      <c r="C20" s="5" t="s">
        <v>50</v>
      </c>
      <c r="D20" s="5" t="s">
        <v>290</v>
      </c>
      <c r="E20" s="33" t="n">
        <v>-18.742052</v>
      </c>
      <c r="F20" s="33" t="n">
        <v>-39.755506</v>
      </c>
      <c r="G20" s="5" t="s">
        <v>713</v>
      </c>
      <c r="H20" s="5" t="s">
        <v>719</v>
      </c>
      <c r="I20" s="25" t="s">
        <v>721</v>
      </c>
      <c r="J20" s="5" t="s">
        <v>174</v>
      </c>
      <c r="K20" s="5" t="s">
        <v>717</v>
      </c>
      <c r="L20" s="21" t="n">
        <v>463.8</v>
      </c>
      <c r="M20" s="5" t="s">
        <v>218</v>
      </c>
      <c r="N20" s="9"/>
    </row>
    <row r="21" customFormat="false" ht="15" hidden="false" customHeight="false" outlineLevel="0" collapsed="false">
      <c r="A21" s="5" t="n">
        <v>17</v>
      </c>
      <c r="B21" s="5" t="n">
        <v>25</v>
      </c>
      <c r="C21" s="5" t="s">
        <v>50</v>
      </c>
      <c r="D21" s="5" t="s">
        <v>178</v>
      </c>
      <c r="E21" s="33" t="n">
        <v>-18.745417</v>
      </c>
      <c r="F21" s="33" t="n">
        <v>-39.757536</v>
      </c>
      <c r="G21" s="5" t="s">
        <v>713</v>
      </c>
      <c r="H21" s="5" t="s">
        <v>719</v>
      </c>
      <c r="I21" s="25" t="s">
        <v>721</v>
      </c>
      <c r="J21" s="5" t="s">
        <v>174</v>
      </c>
      <c r="K21" s="5" t="s">
        <v>720</v>
      </c>
      <c r="L21" s="21" t="n">
        <v>282.8</v>
      </c>
      <c r="M21" s="5" t="s">
        <v>218</v>
      </c>
      <c r="N21" s="9"/>
    </row>
    <row r="22" customFormat="false" ht="15" hidden="false" customHeight="false" outlineLevel="0" collapsed="false">
      <c r="A22" s="5" t="n">
        <v>18</v>
      </c>
      <c r="B22" s="5" t="n">
        <v>25</v>
      </c>
      <c r="C22" s="5" t="s">
        <v>50</v>
      </c>
      <c r="D22" s="5" t="s">
        <v>286</v>
      </c>
      <c r="E22" s="33" t="n">
        <v>-18.741958</v>
      </c>
      <c r="F22" s="33" t="n">
        <v>-39.756089</v>
      </c>
      <c r="G22" s="5" t="s">
        <v>713</v>
      </c>
      <c r="H22" s="5" t="s">
        <v>719</v>
      </c>
      <c r="I22" s="25" t="s">
        <v>721</v>
      </c>
      <c r="J22" s="5" t="s">
        <v>174</v>
      </c>
      <c r="K22" s="5" t="s">
        <v>722</v>
      </c>
      <c r="L22" s="21" t="n">
        <v>448</v>
      </c>
      <c r="M22" s="5" t="s">
        <v>218</v>
      </c>
      <c r="N22" s="9"/>
    </row>
    <row r="23" customFormat="false" ht="15" hidden="false" customHeight="false" outlineLevel="0" collapsed="false">
      <c r="A23" s="5" t="n">
        <v>19</v>
      </c>
      <c r="B23" s="5" t="n">
        <v>25</v>
      </c>
      <c r="C23" s="5" t="s">
        <v>50</v>
      </c>
      <c r="D23" s="5" t="s">
        <v>414</v>
      </c>
      <c r="E23" s="33" t="n">
        <v>-18.748244</v>
      </c>
      <c r="F23" s="33" t="n">
        <v>-39.758135</v>
      </c>
      <c r="G23" s="5" t="s">
        <v>713</v>
      </c>
      <c r="H23" s="5" t="s">
        <v>719</v>
      </c>
      <c r="I23" s="25" t="s">
        <v>721</v>
      </c>
      <c r="J23" s="5" t="s">
        <v>174</v>
      </c>
      <c r="K23" s="5" t="s">
        <v>722</v>
      </c>
      <c r="L23" s="21" t="n">
        <v>321.5</v>
      </c>
      <c r="M23" s="5" t="s">
        <v>218</v>
      </c>
      <c r="N23" s="9"/>
    </row>
    <row r="24" customFormat="false" ht="15" hidden="false" customHeight="false" outlineLevel="0" collapsed="false">
      <c r="A24" s="5" t="n">
        <v>20</v>
      </c>
      <c r="B24" s="5" t="n">
        <v>25</v>
      </c>
      <c r="C24" s="5" t="s">
        <v>50</v>
      </c>
      <c r="D24" s="5" t="s">
        <v>414</v>
      </c>
      <c r="E24" s="33" t="n">
        <v>-18.745341</v>
      </c>
      <c r="F24" s="33" t="n">
        <v>-39.758017</v>
      </c>
      <c r="G24" s="5" t="s">
        <v>713</v>
      </c>
      <c r="H24" s="5" t="s">
        <v>719</v>
      </c>
      <c r="I24" s="25" t="s">
        <v>721</v>
      </c>
      <c r="J24" s="5" t="s">
        <v>174</v>
      </c>
      <c r="K24" s="5" t="s">
        <v>720</v>
      </c>
      <c r="L24" s="21" t="n">
        <v>321.5</v>
      </c>
      <c r="M24" s="5" t="s">
        <v>218</v>
      </c>
      <c r="N24" s="9"/>
    </row>
    <row r="25" customFormat="false" ht="15" hidden="false" customHeight="false" outlineLevel="0" collapsed="false">
      <c r="A25" s="5" t="n">
        <v>21</v>
      </c>
      <c r="B25" s="5" t="n">
        <v>25</v>
      </c>
      <c r="C25" s="5" t="s">
        <v>50</v>
      </c>
      <c r="D25" s="5" t="s">
        <v>292</v>
      </c>
      <c r="E25" s="33" t="n">
        <v>-18.741921</v>
      </c>
      <c r="F25" s="33" t="n">
        <v>-39.756677</v>
      </c>
      <c r="G25" s="5" t="s">
        <v>713</v>
      </c>
      <c r="H25" s="5" t="s">
        <v>719</v>
      </c>
      <c r="I25" s="25" t="s">
        <v>721</v>
      </c>
      <c r="J25" s="5" t="s">
        <v>174</v>
      </c>
      <c r="K25" s="5" t="s">
        <v>717</v>
      </c>
      <c r="L25" s="21" t="n">
        <v>445</v>
      </c>
      <c r="M25" s="5" t="s">
        <v>218</v>
      </c>
      <c r="N25" s="9"/>
    </row>
    <row r="26" customFormat="false" ht="15" hidden="false" customHeight="false" outlineLevel="0" collapsed="false">
      <c r="A26" s="5" t="n">
        <v>22</v>
      </c>
      <c r="B26" s="5" t="n">
        <v>25</v>
      </c>
      <c r="C26" s="5" t="s">
        <v>50</v>
      </c>
      <c r="D26" s="5" t="s">
        <v>420</v>
      </c>
      <c r="E26" s="33" t="n">
        <v>-18.746792</v>
      </c>
      <c r="F26" s="33" t="n">
        <v>-39.758768</v>
      </c>
      <c r="G26" s="5" t="s">
        <v>713</v>
      </c>
      <c r="H26" s="5" t="s">
        <v>719</v>
      </c>
      <c r="I26" s="25" t="s">
        <v>721</v>
      </c>
      <c r="J26" s="5" t="s">
        <v>174</v>
      </c>
      <c r="K26" s="5" t="s">
        <v>720</v>
      </c>
      <c r="L26" s="21" t="n">
        <v>22.8</v>
      </c>
      <c r="M26" s="5" t="s">
        <v>218</v>
      </c>
      <c r="N26" s="9"/>
    </row>
    <row r="27" customFormat="false" ht="15" hidden="false" customHeight="false" outlineLevel="0" collapsed="false">
      <c r="A27" s="5" t="n">
        <v>23</v>
      </c>
      <c r="B27" s="5" t="n">
        <v>25</v>
      </c>
      <c r="C27" s="5" t="s">
        <v>50</v>
      </c>
      <c r="D27" s="5" t="s">
        <v>415</v>
      </c>
      <c r="E27" s="33" t="n">
        <v>-18.748269</v>
      </c>
      <c r="F27" s="33" t="n">
        <v>-39.757551</v>
      </c>
      <c r="G27" s="5" t="s">
        <v>713</v>
      </c>
      <c r="H27" s="5" t="s">
        <v>719</v>
      </c>
      <c r="I27" s="25" t="s">
        <v>721</v>
      </c>
      <c r="J27" s="5" t="s">
        <v>174</v>
      </c>
      <c r="K27" s="5" t="s">
        <v>722</v>
      </c>
      <c r="L27" s="21" t="n">
        <v>321.1</v>
      </c>
      <c r="M27" s="5" t="s">
        <v>218</v>
      </c>
      <c r="N27" s="9"/>
    </row>
    <row r="28" customFormat="false" ht="15" hidden="false" customHeight="false" outlineLevel="0" collapsed="false">
      <c r="A28" s="5" t="n">
        <v>24</v>
      </c>
      <c r="B28" s="5" t="n">
        <v>25</v>
      </c>
      <c r="C28" s="5" t="s">
        <v>50</v>
      </c>
      <c r="D28" s="5" t="s">
        <v>186</v>
      </c>
      <c r="E28" s="33" t="n">
        <v>-18.749645</v>
      </c>
      <c r="F28" s="33" t="n">
        <v>-39.757906</v>
      </c>
      <c r="G28" s="5" t="s">
        <v>713</v>
      </c>
      <c r="H28" s="5" t="s">
        <v>724</v>
      </c>
      <c r="I28" s="25" t="s">
        <v>721</v>
      </c>
      <c r="J28" s="5" t="s">
        <v>174</v>
      </c>
      <c r="K28" s="5" t="s">
        <v>717</v>
      </c>
      <c r="L28" s="21" t="n">
        <v>204.7</v>
      </c>
      <c r="M28" s="5" t="s">
        <v>218</v>
      </c>
      <c r="N28" s="9"/>
    </row>
    <row r="29" customFormat="false" ht="15" hidden="false" customHeight="false" outlineLevel="0" collapsed="false">
      <c r="A29" s="5" t="n">
        <v>25</v>
      </c>
      <c r="B29" s="5" t="n">
        <v>25</v>
      </c>
      <c r="C29" s="5" t="s">
        <v>50</v>
      </c>
      <c r="D29" s="5" t="s">
        <v>406</v>
      </c>
      <c r="E29" s="33" t="n">
        <v>-18.746831</v>
      </c>
      <c r="F29" s="33" t="n">
        <v>-39.757463</v>
      </c>
      <c r="G29" s="5" t="s">
        <v>713</v>
      </c>
      <c r="H29" s="5" t="s">
        <v>719</v>
      </c>
      <c r="I29" s="25" t="s">
        <v>721</v>
      </c>
      <c r="J29" s="5" t="s">
        <v>174</v>
      </c>
      <c r="K29" s="5" t="s">
        <v>720</v>
      </c>
      <c r="L29" s="21" t="n">
        <v>252.5</v>
      </c>
      <c r="M29" s="5" t="s">
        <v>218</v>
      </c>
      <c r="N29" s="9"/>
    </row>
    <row r="30" customFormat="false" ht="15" hidden="false" customHeight="false" outlineLevel="0" collapsed="false">
      <c r="A30" s="5" t="n">
        <v>26</v>
      </c>
      <c r="B30" s="5" t="n">
        <v>25</v>
      </c>
      <c r="C30" s="5" t="s">
        <v>50</v>
      </c>
      <c r="D30" s="5" t="s">
        <v>171</v>
      </c>
      <c r="E30" s="33" t="n">
        <v>-18.743452</v>
      </c>
      <c r="F30" s="33" t="n">
        <v>-39.751353</v>
      </c>
      <c r="G30" s="5" t="s">
        <v>713</v>
      </c>
      <c r="H30" s="5" t="s">
        <v>724</v>
      </c>
      <c r="I30" s="22" t="s">
        <v>725</v>
      </c>
      <c r="J30" s="5" t="s">
        <v>716</v>
      </c>
      <c r="K30" s="5" t="s">
        <v>717</v>
      </c>
      <c r="L30" s="21" t="n">
        <v>174.6</v>
      </c>
      <c r="M30" s="5" t="s">
        <v>218</v>
      </c>
      <c r="N30" s="9" t="s">
        <v>726</v>
      </c>
    </row>
    <row r="31" customFormat="false" ht="15" hidden="false" customHeight="false" outlineLevel="0" collapsed="false">
      <c r="A31" s="5" t="n">
        <v>27</v>
      </c>
      <c r="B31" s="5" t="n">
        <v>25</v>
      </c>
      <c r="C31" s="5" t="s">
        <v>50</v>
      </c>
      <c r="D31" s="5" t="s">
        <v>312</v>
      </c>
      <c r="E31" s="33" t="n">
        <v>-18.73994</v>
      </c>
      <c r="F31" s="33" t="n">
        <v>-39.75247</v>
      </c>
      <c r="G31" s="5" t="s">
        <v>713</v>
      </c>
      <c r="H31" s="5" t="s">
        <v>719</v>
      </c>
      <c r="I31" s="22" t="s">
        <v>715</v>
      </c>
      <c r="J31" s="5" t="s">
        <v>716</v>
      </c>
      <c r="K31" s="5" t="s">
        <v>720</v>
      </c>
      <c r="L31" s="21" t="n">
        <v>313.8</v>
      </c>
      <c r="M31" s="5" t="s">
        <v>218</v>
      </c>
      <c r="N31" s="9" t="s">
        <v>727</v>
      </c>
    </row>
    <row r="32" customFormat="false" ht="15" hidden="false" customHeight="false" outlineLevel="0" collapsed="false">
      <c r="A32" s="5" t="n">
        <v>28</v>
      </c>
      <c r="B32" s="5" t="n">
        <v>25</v>
      </c>
      <c r="C32" s="5" t="s">
        <v>50</v>
      </c>
      <c r="D32" s="5" t="s">
        <v>312</v>
      </c>
      <c r="E32" s="33" t="n">
        <v>-18.742773</v>
      </c>
      <c r="F32" s="33" t="n">
        <v>-39.752604</v>
      </c>
      <c r="G32" s="5" t="s">
        <v>713</v>
      </c>
      <c r="H32" s="5" t="s">
        <v>719</v>
      </c>
      <c r="I32" s="25" t="s">
        <v>721</v>
      </c>
      <c r="J32" s="5" t="s">
        <v>174</v>
      </c>
      <c r="K32" s="5" t="s">
        <v>720</v>
      </c>
      <c r="L32" s="21" t="n">
        <v>313.8</v>
      </c>
      <c r="M32" s="5" t="s">
        <v>218</v>
      </c>
      <c r="N32" s="9"/>
    </row>
    <row r="33" customFormat="false" ht="15" hidden="false" customHeight="false" outlineLevel="0" collapsed="false">
      <c r="A33" s="5" t="n">
        <v>29</v>
      </c>
      <c r="B33" s="5" t="n">
        <v>25</v>
      </c>
      <c r="C33" s="5" t="s">
        <v>50</v>
      </c>
      <c r="D33" s="5" t="s">
        <v>417</v>
      </c>
      <c r="E33" s="33" t="n">
        <v>-18.746014</v>
      </c>
      <c r="F33" s="33" t="n">
        <v>-39.756257</v>
      </c>
      <c r="G33" s="5" t="s">
        <v>713</v>
      </c>
      <c r="H33" s="5" t="s">
        <v>719</v>
      </c>
      <c r="I33" s="25" t="s">
        <v>721</v>
      </c>
      <c r="J33" s="5" t="s">
        <v>174</v>
      </c>
      <c r="K33" s="5" t="s">
        <v>717</v>
      </c>
      <c r="L33" s="21" t="n">
        <v>450.5</v>
      </c>
      <c r="M33" s="5" t="s">
        <v>218</v>
      </c>
      <c r="N33" s="9"/>
    </row>
    <row r="34" customFormat="false" ht="15" hidden="false" customHeight="false" outlineLevel="0" collapsed="false">
      <c r="A34" s="5" t="n">
        <v>30</v>
      </c>
      <c r="B34" s="5" t="n">
        <v>25</v>
      </c>
      <c r="C34" s="5" t="s">
        <v>50</v>
      </c>
      <c r="D34" s="5" t="s">
        <v>409</v>
      </c>
      <c r="E34" s="33" t="n">
        <v>-18.748751</v>
      </c>
      <c r="F34" s="33" t="n">
        <v>-39.757833</v>
      </c>
      <c r="G34" s="5" t="s">
        <v>713</v>
      </c>
      <c r="H34" s="5" t="s">
        <v>724</v>
      </c>
      <c r="I34" s="25" t="s">
        <v>721</v>
      </c>
      <c r="J34" s="5" t="s">
        <v>174</v>
      </c>
      <c r="K34" s="5" t="s">
        <v>720</v>
      </c>
      <c r="L34" s="21" t="n">
        <v>197.7</v>
      </c>
      <c r="M34" s="5" t="s">
        <v>218</v>
      </c>
      <c r="N34" s="9"/>
    </row>
    <row r="35" customFormat="false" ht="15" hidden="false" customHeight="false" outlineLevel="0" collapsed="false">
      <c r="A35" s="5" t="n">
        <v>31</v>
      </c>
      <c r="B35" s="5" t="n">
        <v>25</v>
      </c>
      <c r="C35" s="5" t="s">
        <v>50</v>
      </c>
      <c r="D35" s="5" t="s">
        <v>313</v>
      </c>
      <c r="E35" s="33" t="n">
        <v>-18.742697</v>
      </c>
      <c r="F35" s="33" t="n">
        <v>-39.753773</v>
      </c>
      <c r="G35" s="5" t="s">
        <v>713</v>
      </c>
      <c r="H35" s="5" t="s">
        <v>719</v>
      </c>
      <c r="I35" s="25" t="s">
        <v>721</v>
      </c>
      <c r="J35" s="5" t="s">
        <v>174</v>
      </c>
      <c r="K35" s="5" t="s">
        <v>722</v>
      </c>
      <c r="L35" s="21" t="n">
        <v>293.1</v>
      </c>
      <c r="M35" s="5" t="s">
        <v>218</v>
      </c>
      <c r="N35" s="9"/>
    </row>
    <row r="36" customFormat="false" ht="15" hidden="false" customHeight="false" outlineLevel="0" collapsed="false">
      <c r="A36" s="5" t="n">
        <v>32</v>
      </c>
      <c r="B36" s="5" t="n">
        <v>25</v>
      </c>
      <c r="C36" s="5" t="s">
        <v>50</v>
      </c>
      <c r="D36" s="5" t="s">
        <v>313</v>
      </c>
      <c r="E36" s="33" t="n">
        <v>-18.74005</v>
      </c>
      <c r="F36" s="33" t="n">
        <v>-39.753667</v>
      </c>
      <c r="G36" s="5" t="s">
        <v>713</v>
      </c>
      <c r="H36" s="5" t="s">
        <v>719</v>
      </c>
      <c r="I36" s="25" t="s">
        <v>721</v>
      </c>
      <c r="J36" s="5" t="s">
        <v>174</v>
      </c>
      <c r="K36" s="5" t="s">
        <v>722</v>
      </c>
      <c r="L36" s="21" t="n">
        <v>293.1</v>
      </c>
      <c r="M36" s="5" t="s">
        <v>218</v>
      </c>
      <c r="N36" s="9"/>
    </row>
    <row r="37" customFormat="false" ht="15" hidden="false" customHeight="false" outlineLevel="0" collapsed="false">
      <c r="A37" s="5" t="n">
        <v>33</v>
      </c>
      <c r="B37" s="5" t="n">
        <v>25</v>
      </c>
      <c r="C37" s="5" t="s">
        <v>50</v>
      </c>
      <c r="D37" s="5" t="s">
        <v>418</v>
      </c>
      <c r="E37" s="33" t="n">
        <v>-18.744131</v>
      </c>
      <c r="F37" s="33" t="n">
        <v>-39.75384</v>
      </c>
      <c r="G37" s="5" t="s">
        <v>713</v>
      </c>
      <c r="H37" s="5" t="s">
        <v>719</v>
      </c>
      <c r="I37" s="25" t="s">
        <v>721</v>
      </c>
      <c r="J37" s="5" t="s">
        <v>174</v>
      </c>
      <c r="K37" s="5" t="s">
        <v>722</v>
      </c>
      <c r="L37" s="21" t="n">
        <v>24.6</v>
      </c>
      <c r="M37" s="5" t="s">
        <v>218</v>
      </c>
      <c r="N37" s="9"/>
    </row>
    <row r="38" customFormat="false" ht="15" hidden="false" customHeight="false" outlineLevel="0" collapsed="false">
      <c r="A38" s="5" t="n">
        <v>34</v>
      </c>
      <c r="B38" s="5" t="n">
        <v>25</v>
      </c>
      <c r="C38" s="5" t="s">
        <v>50</v>
      </c>
      <c r="D38" s="5" t="s">
        <v>284</v>
      </c>
      <c r="E38" s="33" t="n">
        <v>-18.741905</v>
      </c>
      <c r="F38" s="33" t="n">
        <v>-39.757272</v>
      </c>
      <c r="G38" s="5" t="s">
        <v>713</v>
      </c>
      <c r="H38" s="5" t="s">
        <v>719</v>
      </c>
      <c r="I38" s="25" t="s">
        <v>721</v>
      </c>
      <c r="J38" s="5" t="s">
        <v>174</v>
      </c>
      <c r="K38" s="5" t="s">
        <v>717</v>
      </c>
      <c r="L38" s="21" t="n">
        <v>446.4</v>
      </c>
      <c r="M38" s="5" t="s">
        <v>218</v>
      </c>
      <c r="N38" s="9"/>
    </row>
    <row r="39" customFormat="false" ht="15" hidden="false" customHeight="false" outlineLevel="0" collapsed="false">
      <c r="A39" s="5" t="n">
        <v>35</v>
      </c>
      <c r="B39" s="5" t="n">
        <v>25</v>
      </c>
      <c r="C39" s="5" t="s">
        <v>50</v>
      </c>
      <c r="D39" s="5" t="s">
        <v>317</v>
      </c>
      <c r="E39" s="33" t="n">
        <v>-18.741879</v>
      </c>
      <c r="F39" s="33" t="n">
        <v>-39.757848</v>
      </c>
      <c r="G39" s="5" t="s">
        <v>713</v>
      </c>
      <c r="H39" s="5" t="s">
        <v>719</v>
      </c>
      <c r="I39" s="25" t="s">
        <v>721</v>
      </c>
      <c r="J39" s="5" t="s">
        <v>174</v>
      </c>
      <c r="K39" s="5" t="s">
        <v>722</v>
      </c>
      <c r="L39" s="21" t="n">
        <v>445.6</v>
      </c>
      <c r="M39" s="5" t="s">
        <v>218</v>
      </c>
      <c r="N39" s="9"/>
    </row>
    <row r="40" customFormat="false" ht="15" hidden="false" customHeight="false" outlineLevel="0" collapsed="false">
      <c r="A40" s="5" t="n">
        <v>36</v>
      </c>
      <c r="B40" s="5" t="n">
        <v>25</v>
      </c>
      <c r="C40" s="5" t="s">
        <v>50</v>
      </c>
      <c r="D40" s="5" t="s">
        <v>413</v>
      </c>
      <c r="E40" s="33" t="n">
        <v>-18.745328</v>
      </c>
      <c r="F40" s="33" t="n">
        <v>-39.758608</v>
      </c>
      <c r="G40" s="5" t="s">
        <v>713</v>
      </c>
      <c r="H40" s="5" t="s">
        <v>719</v>
      </c>
      <c r="I40" s="25" t="s">
        <v>721</v>
      </c>
      <c r="J40" s="5" t="s">
        <v>174</v>
      </c>
      <c r="K40" s="5" t="s">
        <v>722</v>
      </c>
      <c r="L40" s="21" t="n">
        <v>320.8</v>
      </c>
      <c r="M40" s="5" t="s">
        <v>218</v>
      </c>
      <c r="N40" s="9" t="s">
        <v>728</v>
      </c>
    </row>
    <row r="41" customFormat="false" ht="15" hidden="false" customHeight="false" outlineLevel="0" collapsed="false">
      <c r="A41" s="5" t="n">
        <v>37</v>
      </c>
      <c r="B41" s="5" t="n">
        <v>25</v>
      </c>
      <c r="C41" s="5" t="s">
        <v>50</v>
      </c>
      <c r="D41" s="5" t="s">
        <v>413</v>
      </c>
      <c r="E41" s="33" t="n">
        <v>-18.748224</v>
      </c>
      <c r="F41" s="33" t="n">
        <v>-39.758746</v>
      </c>
      <c r="G41" s="5" t="s">
        <v>713</v>
      </c>
      <c r="H41" s="5" t="s">
        <v>719</v>
      </c>
      <c r="I41" s="25" t="s">
        <v>721</v>
      </c>
      <c r="J41" s="5" t="s">
        <v>174</v>
      </c>
      <c r="K41" s="5" t="s">
        <v>722</v>
      </c>
      <c r="L41" s="21" t="n">
        <v>320.8</v>
      </c>
      <c r="M41" s="5" t="s">
        <v>218</v>
      </c>
      <c r="N41" s="9" t="s">
        <v>728</v>
      </c>
    </row>
    <row r="42" customFormat="false" ht="15" hidden="false" customHeight="false" outlineLevel="0" collapsed="false">
      <c r="A42" s="5" t="n">
        <v>38</v>
      </c>
      <c r="B42" s="5" t="n">
        <v>25</v>
      </c>
      <c r="C42" s="5" t="s">
        <v>50</v>
      </c>
      <c r="D42" s="5" t="s">
        <v>416</v>
      </c>
      <c r="E42" s="33" t="n">
        <v>-18.745383</v>
      </c>
      <c r="F42" s="33" t="n">
        <v>-39.756837</v>
      </c>
      <c r="G42" s="5" t="s">
        <v>713</v>
      </c>
      <c r="H42" s="5" t="s">
        <v>719</v>
      </c>
      <c r="I42" s="25" t="s">
        <v>721</v>
      </c>
      <c r="J42" s="5" t="s">
        <v>174</v>
      </c>
      <c r="K42" s="5" t="s">
        <v>720</v>
      </c>
      <c r="L42" s="21" t="n">
        <v>321.8</v>
      </c>
      <c r="M42" s="5" t="s">
        <v>218</v>
      </c>
      <c r="N42" s="9"/>
    </row>
    <row r="43" customFormat="false" ht="15" hidden="false" customHeight="false" outlineLevel="0" collapsed="false">
      <c r="A43" s="5" t="n">
        <v>39</v>
      </c>
      <c r="B43" s="5" t="n">
        <v>25</v>
      </c>
      <c r="C43" s="5" t="s">
        <v>50</v>
      </c>
      <c r="D43" s="5" t="s">
        <v>416</v>
      </c>
      <c r="E43" s="33" t="n">
        <v>-18.748289</v>
      </c>
      <c r="F43" s="33" t="n">
        <v>-39.756961</v>
      </c>
      <c r="G43" s="5" t="s">
        <v>713</v>
      </c>
      <c r="H43" s="5" t="s">
        <v>719</v>
      </c>
      <c r="I43" s="25" t="s">
        <v>721</v>
      </c>
      <c r="J43" s="5" t="s">
        <v>174</v>
      </c>
      <c r="K43" s="5" t="s">
        <v>720</v>
      </c>
      <c r="L43" s="21" t="n">
        <v>321.8</v>
      </c>
      <c r="M43" s="5" t="s">
        <v>218</v>
      </c>
      <c r="N43" s="9"/>
    </row>
    <row r="44" customFormat="false" ht="15" hidden="false" customHeight="false" outlineLevel="0" collapsed="false">
      <c r="A44" s="5" t="n">
        <v>40</v>
      </c>
      <c r="B44" s="5" t="n">
        <v>25</v>
      </c>
      <c r="C44" s="5" t="s">
        <v>50</v>
      </c>
      <c r="D44" s="5" t="s">
        <v>167</v>
      </c>
      <c r="E44" s="33" t="n">
        <v>-18.747748</v>
      </c>
      <c r="F44" s="33" t="n">
        <v>-39.757595</v>
      </c>
      <c r="G44" s="5" t="s">
        <v>713</v>
      </c>
      <c r="H44" s="5" t="s">
        <v>719</v>
      </c>
      <c r="I44" s="25" t="s">
        <v>721</v>
      </c>
      <c r="J44" s="5" t="s">
        <v>174</v>
      </c>
      <c r="K44" s="5" t="s">
        <v>720</v>
      </c>
      <c r="L44" s="21" t="n">
        <v>270.4</v>
      </c>
      <c r="M44" s="5" t="s">
        <v>218</v>
      </c>
      <c r="N44" s="9"/>
    </row>
    <row r="45" customFormat="false" ht="15" hidden="false" customHeight="false" outlineLevel="0" collapsed="false">
      <c r="A45" s="5" t="n">
        <v>41</v>
      </c>
      <c r="B45" s="5" t="n">
        <v>25</v>
      </c>
      <c r="C45" s="5" t="s">
        <v>50</v>
      </c>
      <c r="D45" s="5" t="s">
        <v>303</v>
      </c>
      <c r="E45" s="33" t="n">
        <v>-18.741997</v>
      </c>
      <c r="F45" s="33" t="n">
        <v>-39.754327</v>
      </c>
      <c r="G45" s="5" t="s">
        <v>713</v>
      </c>
      <c r="H45" s="5" t="s">
        <v>719</v>
      </c>
      <c r="I45" s="25" t="s">
        <v>721</v>
      </c>
      <c r="J45" s="5" t="s">
        <v>174</v>
      </c>
      <c r="K45" s="5" t="s">
        <v>722</v>
      </c>
      <c r="L45" s="21" t="n">
        <v>441.6</v>
      </c>
      <c r="M45" s="5" t="s">
        <v>218</v>
      </c>
      <c r="N45" s="9"/>
    </row>
    <row r="46" customFormat="false" ht="15" hidden="false" customHeight="false" outlineLevel="0" collapsed="false">
      <c r="A46" s="5" t="n">
        <v>42</v>
      </c>
      <c r="B46" s="5" t="n">
        <v>31</v>
      </c>
      <c r="C46" s="5" t="s">
        <v>58</v>
      </c>
      <c r="D46" s="5" t="s">
        <v>149</v>
      </c>
      <c r="E46" s="33" t="n">
        <v>-18.744972</v>
      </c>
      <c r="F46" s="33" t="n">
        <v>-39.751516</v>
      </c>
      <c r="G46" s="5" t="s">
        <v>713</v>
      </c>
      <c r="H46" s="5" t="s">
        <v>714</v>
      </c>
      <c r="I46" s="22" t="s">
        <v>715</v>
      </c>
      <c r="J46" s="5" t="s">
        <v>716</v>
      </c>
      <c r="K46" s="5" t="s">
        <v>720</v>
      </c>
      <c r="L46" s="21" t="n">
        <v>156</v>
      </c>
      <c r="M46" s="5" t="s">
        <v>218</v>
      </c>
      <c r="N46" s="9" t="s">
        <v>729</v>
      </c>
    </row>
    <row r="47" customFormat="false" ht="15" hidden="false" customHeight="false" outlineLevel="0" collapsed="false">
      <c r="A47" s="5" t="n">
        <v>43</v>
      </c>
      <c r="B47" s="5" t="n">
        <v>31</v>
      </c>
      <c r="C47" s="5" t="s">
        <v>58</v>
      </c>
      <c r="D47" s="5" t="s">
        <v>294</v>
      </c>
      <c r="E47" s="33" t="n">
        <v>-18.744823</v>
      </c>
      <c r="F47" s="33" t="n">
        <v>-39.755028</v>
      </c>
      <c r="G47" s="5" t="s">
        <v>713</v>
      </c>
      <c r="H47" s="5" t="s">
        <v>719</v>
      </c>
      <c r="I47" s="25" t="s">
        <v>723</v>
      </c>
      <c r="J47" s="5" t="s">
        <v>174</v>
      </c>
      <c r="K47" s="5" t="s">
        <v>722</v>
      </c>
      <c r="L47" s="21" t="n">
        <v>158.6</v>
      </c>
      <c r="M47" s="5" t="s">
        <v>218</v>
      </c>
      <c r="N47" s="9"/>
    </row>
    <row r="48" customFormat="false" ht="15" hidden="false" customHeight="false" outlineLevel="0" collapsed="false">
      <c r="A48" s="5" t="n">
        <v>44</v>
      </c>
      <c r="B48" s="5" t="n">
        <v>31</v>
      </c>
      <c r="C48" s="5" t="s">
        <v>58</v>
      </c>
      <c r="D48" s="5" t="s">
        <v>295</v>
      </c>
      <c r="E48" s="33" t="n">
        <v>-18.744947</v>
      </c>
      <c r="F48" s="33" t="n">
        <v>-39.752101</v>
      </c>
      <c r="G48" s="5" t="s">
        <v>713</v>
      </c>
      <c r="H48" s="5" t="s">
        <v>719</v>
      </c>
      <c r="I48" s="25" t="s">
        <v>723</v>
      </c>
      <c r="J48" s="5" t="s">
        <v>174</v>
      </c>
      <c r="K48" s="5" t="s">
        <v>722</v>
      </c>
      <c r="L48" s="21" t="n">
        <v>157.9</v>
      </c>
      <c r="M48" s="5" t="s">
        <v>218</v>
      </c>
      <c r="N48" s="9"/>
    </row>
    <row r="49" customFormat="false" ht="15" hidden="false" customHeight="false" outlineLevel="0" collapsed="false">
      <c r="A49" s="5" t="n">
        <v>45</v>
      </c>
      <c r="B49" s="5" t="n">
        <v>31</v>
      </c>
      <c r="C49" s="5" t="s">
        <v>58</v>
      </c>
      <c r="D49" s="5" t="s">
        <v>290</v>
      </c>
      <c r="E49" s="33" t="n">
        <v>-18.744798</v>
      </c>
      <c r="F49" s="33" t="n">
        <v>-39.755622</v>
      </c>
      <c r="G49" s="5" t="s">
        <v>713</v>
      </c>
      <c r="H49" s="5" t="s">
        <v>719</v>
      </c>
      <c r="I49" s="25" t="s">
        <v>723</v>
      </c>
      <c r="J49" s="5" t="s">
        <v>174</v>
      </c>
      <c r="K49" s="5" t="s">
        <v>720</v>
      </c>
      <c r="L49" s="21" t="n">
        <v>158.7</v>
      </c>
      <c r="M49" s="5" t="s">
        <v>218</v>
      </c>
      <c r="N49" s="9"/>
    </row>
    <row r="50" customFormat="false" ht="15" hidden="false" customHeight="false" outlineLevel="0" collapsed="false">
      <c r="A50" s="5" t="n">
        <v>46</v>
      </c>
      <c r="B50" s="5" t="n">
        <v>31</v>
      </c>
      <c r="C50" s="5" t="s">
        <v>58</v>
      </c>
      <c r="D50" s="5" t="s">
        <v>178</v>
      </c>
      <c r="E50" s="33" t="n">
        <v>-18.74557</v>
      </c>
      <c r="F50" s="33" t="n">
        <v>-39.753886</v>
      </c>
      <c r="G50" s="5" t="s">
        <v>713</v>
      </c>
      <c r="H50" s="5" t="s">
        <v>714</v>
      </c>
      <c r="I50" s="22" t="s">
        <v>715</v>
      </c>
      <c r="J50" s="5" t="s">
        <v>716</v>
      </c>
      <c r="K50" s="5" t="s">
        <v>722</v>
      </c>
      <c r="L50" s="21" t="n">
        <v>495.7</v>
      </c>
      <c r="M50" s="5" t="s">
        <v>218</v>
      </c>
      <c r="N50" s="9" t="s">
        <v>729</v>
      </c>
    </row>
    <row r="51" customFormat="false" ht="15" hidden="false" customHeight="false" outlineLevel="0" collapsed="false">
      <c r="A51" s="5" t="n">
        <v>47</v>
      </c>
      <c r="B51" s="5" t="n">
        <v>31</v>
      </c>
      <c r="C51" s="5" t="s">
        <v>58</v>
      </c>
      <c r="D51" s="5" t="s">
        <v>303</v>
      </c>
      <c r="E51" s="33" t="n">
        <v>-18.744847</v>
      </c>
      <c r="F51" s="33" t="n">
        <v>-39.754466</v>
      </c>
      <c r="G51" s="5" t="s">
        <v>713</v>
      </c>
      <c r="H51" s="5" t="s">
        <v>719</v>
      </c>
      <c r="I51" s="25" t="s">
        <v>723</v>
      </c>
      <c r="J51" s="5" t="s">
        <v>174</v>
      </c>
      <c r="K51" s="5" t="s">
        <v>720</v>
      </c>
      <c r="L51" s="21" t="n">
        <v>158.4</v>
      </c>
      <c r="M51" s="5" t="s">
        <v>218</v>
      </c>
      <c r="N51" s="9"/>
    </row>
    <row r="52" customFormat="false" ht="15" hidden="false" customHeight="false" outlineLevel="0" collapsed="false">
      <c r="A52" s="5" t="n">
        <v>48</v>
      </c>
      <c r="B52" s="5" t="n">
        <v>31</v>
      </c>
      <c r="C52" s="5" t="s">
        <v>58</v>
      </c>
      <c r="D52" s="5" t="s">
        <v>417</v>
      </c>
      <c r="E52" s="33" t="n">
        <v>-18.744776</v>
      </c>
      <c r="F52" s="33" t="n">
        <v>-39.756207</v>
      </c>
      <c r="G52" s="5" t="s">
        <v>713</v>
      </c>
      <c r="H52" s="5" t="s">
        <v>719</v>
      </c>
      <c r="I52" s="25" t="s">
        <v>723</v>
      </c>
      <c r="J52" s="5" t="s">
        <v>174</v>
      </c>
      <c r="K52" s="5" t="s">
        <v>720</v>
      </c>
      <c r="L52" s="21" t="n">
        <v>154.5</v>
      </c>
      <c r="M52" s="5" t="s">
        <v>218</v>
      </c>
      <c r="N52" s="9"/>
    </row>
    <row r="53" customFormat="false" ht="15" hidden="false" customHeight="false" outlineLevel="0" collapsed="false">
      <c r="A53" s="5" t="n">
        <v>49</v>
      </c>
      <c r="B53" s="5" t="n">
        <v>31</v>
      </c>
      <c r="C53" s="5" t="s">
        <v>58</v>
      </c>
      <c r="D53" s="5" t="s">
        <v>390</v>
      </c>
      <c r="E53" s="33" t="n">
        <v>-18.744922</v>
      </c>
      <c r="F53" s="33" t="n">
        <v>-39.752686</v>
      </c>
      <c r="G53" s="5" t="s">
        <v>713</v>
      </c>
      <c r="H53" s="5" t="s">
        <v>719</v>
      </c>
      <c r="I53" s="25" t="s">
        <v>723</v>
      </c>
      <c r="J53" s="5" t="s">
        <v>174</v>
      </c>
      <c r="K53" s="5" t="s">
        <v>722</v>
      </c>
      <c r="L53" s="21" t="n">
        <v>158</v>
      </c>
      <c r="M53" s="5" t="s">
        <v>218</v>
      </c>
      <c r="N53" s="9"/>
    </row>
    <row r="54" customFormat="false" ht="15" hidden="false" customHeight="false" outlineLevel="0" collapsed="false">
      <c r="A54" s="5" t="n">
        <v>50</v>
      </c>
      <c r="B54" s="5" t="n">
        <v>31</v>
      </c>
      <c r="C54" s="5" t="s">
        <v>58</v>
      </c>
      <c r="D54" s="5" t="s">
        <v>418</v>
      </c>
      <c r="E54" s="33" t="n">
        <v>-18.744872</v>
      </c>
      <c r="F54" s="33" t="n">
        <v>-39.753866</v>
      </c>
      <c r="G54" s="5" t="s">
        <v>713</v>
      </c>
      <c r="H54" s="5" t="s">
        <v>719</v>
      </c>
      <c r="I54" s="25" t="s">
        <v>723</v>
      </c>
      <c r="J54" s="5" t="s">
        <v>174</v>
      </c>
      <c r="K54" s="5" t="s">
        <v>717</v>
      </c>
      <c r="L54" s="21" t="n">
        <v>158.3</v>
      </c>
      <c r="M54" s="5" t="s">
        <v>218</v>
      </c>
      <c r="N54" s="9"/>
    </row>
    <row r="55" customFormat="false" ht="15" hidden="false" customHeight="false" outlineLevel="0" collapsed="false">
      <c r="A55" s="5" t="n">
        <v>51</v>
      </c>
      <c r="B55" s="5" t="n">
        <v>31</v>
      </c>
      <c r="C55" s="5" t="s">
        <v>58</v>
      </c>
      <c r="D55" s="5" t="s">
        <v>297</v>
      </c>
      <c r="E55" s="33" t="n">
        <v>-18.744897</v>
      </c>
      <c r="F55" s="33" t="n">
        <v>-39.753276</v>
      </c>
      <c r="G55" s="5" t="s">
        <v>713</v>
      </c>
      <c r="H55" s="5" t="s">
        <v>719</v>
      </c>
      <c r="I55" s="25" t="s">
        <v>723</v>
      </c>
      <c r="J55" s="5" t="s">
        <v>174</v>
      </c>
      <c r="K55" s="5" t="s">
        <v>720</v>
      </c>
      <c r="L55" s="21" t="n">
        <v>158.2</v>
      </c>
      <c r="M55" s="5" t="s">
        <v>218</v>
      </c>
      <c r="N55" s="9"/>
    </row>
    <row r="56" customFormat="false" ht="15" hidden="false" customHeight="false" outlineLevel="0" collapsed="false">
      <c r="A56" s="5" t="n">
        <v>52</v>
      </c>
      <c r="B56" s="5" t="n">
        <v>39</v>
      </c>
      <c r="C56" s="5" t="s">
        <v>70</v>
      </c>
      <c r="D56" s="5" t="s">
        <v>149</v>
      </c>
      <c r="E56" s="33" t="n">
        <v>-18.747018</v>
      </c>
      <c r="F56" s="33" t="n">
        <v>-39.751608</v>
      </c>
      <c r="G56" s="5" t="s">
        <v>713</v>
      </c>
      <c r="H56" s="5" t="s">
        <v>714</v>
      </c>
      <c r="I56" s="22" t="s">
        <v>715</v>
      </c>
      <c r="J56" s="5" t="s">
        <v>716</v>
      </c>
      <c r="K56" s="5" t="s">
        <v>717</v>
      </c>
      <c r="L56" s="21" t="n">
        <v>304.3</v>
      </c>
      <c r="M56" s="5" t="s">
        <v>218</v>
      </c>
      <c r="N56" s="9" t="s">
        <v>730</v>
      </c>
    </row>
    <row r="57" customFormat="false" ht="15" hidden="false" customHeight="false" outlineLevel="0" collapsed="false">
      <c r="A57" s="5" t="n">
        <v>53</v>
      </c>
      <c r="B57" s="5" t="n">
        <v>39</v>
      </c>
      <c r="C57" s="5" t="s">
        <v>70</v>
      </c>
      <c r="D57" s="5" t="s">
        <v>294</v>
      </c>
      <c r="E57" s="33" t="n">
        <v>-18.746827</v>
      </c>
      <c r="F57" s="33" t="n">
        <v>-39.755124</v>
      </c>
      <c r="G57" s="5" t="s">
        <v>713</v>
      </c>
      <c r="H57" s="5" t="s">
        <v>731</v>
      </c>
      <c r="I57" s="25" t="s">
        <v>723</v>
      </c>
      <c r="J57" s="5" t="s">
        <v>174</v>
      </c>
      <c r="K57" s="5" t="s">
        <v>722</v>
      </c>
      <c r="L57" s="21" t="n">
        <v>295.3</v>
      </c>
      <c r="M57" s="5" t="s">
        <v>218</v>
      </c>
      <c r="N57" s="9"/>
    </row>
    <row r="58" customFormat="false" ht="15" hidden="false" customHeight="false" outlineLevel="0" collapsed="false">
      <c r="A58" s="5" t="n">
        <v>54</v>
      </c>
      <c r="B58" s="5" t="n">
        <v>39</v>
      </c>
      <c r="C58" s="5" t="s">
        <v>70</v>
      </c>
      <c r="D58" s="5" t="s">
        <v>295</v>
      </c>
      <c r="E58" s="33" t="n">
        <v>-18.746985</v>
      </c>
      <c r="F58" s="33" t="n">
        <v>-39.752187</v>
      </c>
      <c r="G58" s="5" t="s">
        <v>713</v>
      </c>
      <c r="H58" s="5" t="s">
        <v>719</v>
      </c>
      <c r="I58" s="25" t="s">
        <v>723</v>
      </c>
      <c r="J58" s="5" t="s">
        <v>174</v>
      </c>
      <c r="K58" s="5" t="s">
        <v>722</v>
      </c>
      <c r="L58" s="21" t="n">
        <v>303.3</v>
      </c>
      <c r="M58" s="5" t="s">
        <v>218</v>
      </c>
      <c r="N58" s="9"/>
    </row>
    <row r="59" customFormat="false" ht="15" hidden="false" customHeight="false" outlineLevel="0" collapsed="false">
      <c r="A59" s="5" t="n">
        <v>55</v>
      </c>
      <c r="B59" s="5" t="n">
        <v>39</v>
      </c>
      <c r="C59" s="5" t="s">
        <v>70</v>
      </c>
      <c r="D59" s="5" t="s">
        <v>290</v>
      </c>
      <c r="E59" s="33" t="n">
        <v>-18.746795</v>
      </c>
      <c r="F59" s="33" t="n">
        <v>-39.755714</v>
      </c>
      <c r="G59" s="5" t="s">
        <v>713</v>
      </c>
      <c r="H59" s="5" t="s">
        <v>719</v>
      </c>
      <c r="I59" s="25" t="s">
        <v>723</v>
      </c>
      <c r="J59" s="5" t="s">
        <v>174</v>
      </c>
      <c r="K59" s="5" t="s">
        <v>722</v>
      </c>
      <c r="L59" s="21" t="n">
        <v>293.7</v>
      </c>
      <c r="M59" s="5" t="s">
        <v>218</v>
      </c>
      <c r="N59" s="9"/>
    </row>
    <row r="60" customFormat="false" ht="15" hidden="false" customHeight="false" outlineLevel="0" collapsed="false">
      <c r="A60" s="5" t="n">
        <v>56</v>
      </c>
      <c r="B60" s="5" t="n">
        <v>39</v>
      </c>
      <c r="C60" s="5" t="s">
        <v>70</v>
      </c>
      <c r="D60" s="5" t="s">
        <v>303</v>
      </c>
      <c r="E60" s="33" t="n">
        <v>-18.746859</v>
      </c>
      <c r="F60" s="33" t="n">
        <v>-39.754518</v>
      </c>
      <c r="G60" s="5" t="s">
        <v>713</v>
      </c>
      <c r="H60" s="5" t="s">
        <v>714</v>
      </c>
      <c r="I60" s="25" t="s">
        <v>723</v>
      </c>
      <c r="J60" s="5" t="s">
        <v>174</v>
      </c>
      <c r="K60" s="5" t="s">
        <v>720</v>
      </c>
      <c r="L60" s="21" t="n">
        <v>296.9</v>
      </c>
      <c r="M60" s="5" t="s">
        <v>218</v>
      </c>
      <c r="N60" s="9"/>
    </row>
    <row r="61" customFormat="false" ht="15" hidden="false" customHeight="false" outlineLevel="0" collapsed="false">
      <c r="A61" s="5" t="n">
        <v>57</v>
      </c>
      <c r="B61" s="5" t="n">
        <v>39</v>
      </c>
      <c r="C61" s="5" t="s">
        <v>70</v>
      </c>
      <c r="D61" s="5" t="s">
        <v>548</v>
      </c>
      <c r="E61" s="33" t="n">
        <v>-18.747009</v>
      </c>
      <c r="F61" s="33" t="n">
        <v>-39.75337</v>
      </c>
      <c r="G61" s="5" t="s">
        <v>713</v>
      </c>
      <c r="H61" s="5" t="s">
        <v>714</v>
      </c>
      <c r="I61" s="25" t="s">
        <v>723</v>
      </c>
      <c r="J61" s="5" t="s">
        <v>174</v>
      </c>
      <c r="K61" s="5" t="s">
        <v>720</v>
      </c>
      <c r="L61" s="21" t="n">
        <v>371.4</v>
      </c>
      <c r="M61" s="5" t="s">
        <v>218</v>
      </c>
      <c r="N61" s="9"/>
    </row>
    <row r="62" customFormat="false" ht="15" hidden="false" customHeight="false" outlineLevel="0" collapsed="false">
      <c r="A62" s="5" t="n">
        <v>58</v>
      </c>
      <c r="B62" s="5" t="n">
        <v>39</v>
      </c>
      <c r="C62" s="5" t="s">
        <v>70</v>
      </c>
      <c r="D62" s="5" t="s">
        <v>417</v>
      </c>
      <c r="E62" s="33" t="n">
        <v>-18.746774</v>
      </c>
      <c r="F62" s="33" t="n">
        <v>-39.756295</v>
      </c>
      <c r="G62" s="5" t="s">
        <v>713</v>
      </c>
      <c r="H62" s="5" t="s">
        <v>719</v>
      </c>
      <c r="I62" s="25" t="s">
        <v>723</v>
      </c>
      <c r="J62" s="5" t="s">
        <v>174</v>
      </c>
      <c r="K62" s="5" t="s">
        <v>722</v>
      </c>
      <c r="L62" s="21" t="n">
        <v>289.8</v>
      </c>
      <c r="M62" s="5" t="s">
        <v>218</v>
      </c>
      <c r="N62" s="9"/>
    </row>
    <row r="63" customFormat="false" ht="15" hidden="false" customHeight="false" outlineLevel="0" collapsed="false">
      <c r="A63" s="5" t="n">
        <v>59</v>
      </c>
      <c r="B63" s="5" t="n">
        <v>39</v>
      </c>
      <c r="C63" s="5" t="s">
        <v>70</v>
      </c>
      <c r="D63" s="5" t="s">
        <v>390</v>
      </c>
      <c r="E63" s="33" t="n">
        <v>-18.746953</v>
      </c>
      <c r="F63" s="33" t="n">
        <v>-39.752776</v>
      </c>
      <c r="G63" s="5" t="s">
        <v>713</v>
      </c>
      <c r="H63" s="5" t="s">
        <v>719</v>
      </c>
      <c r="I63" s="25" t="s">
        <v>723</v>
      </c>
      <c r="J63" s="5" t="s">
        <v>174</v>
      </c>
      <c r="K63" s="5" t="s">
        <v>722</v>
      </c>
      <c r="L63" s="21" t="n">
        <v>301.7</v>
      </c>
      <c r="M63" s="5" t="s">
        <v>218</v>
      </c>
      <c r="N63" s="9"/>
    </row>
    <row r="64" customFormat="false" ht="15" hidden="false" customHeight="false" outlineLevel="0" collapsed="false">
      <c r="A64" s="5" t="n">
        <v>60</v>
      </c>
      <c r="B64" s="5" t="n">
        <v>39</v>
      </c>
      <c r="C64" s="5" t="s">
        <v>70</v>
      </c>
      <c r="D64" s="5" t="s">
        <v>418</v>
      </c>
      <c r="E64" s="33" t="n">
        <v>-18.74689</v>
      </c>
      <c r="F64" s="33" t="n">
        <v>-39.753946</v>
      </c>
      <c r="G64" s="5" t="s">
        <v>713</v>
      </c>
      <c r="H64" s="5" t="s">
        <v>714</v>
      </c>
      <c r="I64" s="25" t="s">
        <v>723</v>
      </c>
      <c r="J64" s="5" t="s">
        <v>174</v>
      </c>
      <c r="K64" s="5" t="s">
        <v>722</v>
      </c>
      <c r="L64" s="21" t="n">
        <v>298.5</v>
      </c>
      <c r="M64" s="5" t="s">
        <v>218</v>
      </c>
      <c r="N64" s="9"/>
    </row>
    <row r="65" customFormat="false" ht="15" hidden="false" customHeight="false" outlineLevel="0" collapsed="false">
      <c r="A65" s="5" t="n">
        <v>61</v>
      </c>
      <c r="B65" s="5" t="n">
        <v>39</v>
      </c>
      <c r="C65" s="5" t="s">
        <v>70</v>
      </c>
      <c r="D65" s="5" t="s">
        <v>167</v>
      </c>
      <c r="E65" s="33" t="n">
        <v>-18.747878</v>
      </c>
      <c r="F65" s="33" t="n">
        <v>-39.754026</v>
      </c>
      <c r="G65" s="5" t="s">
        <v>713</v>
      </c>
      <c r="H65" s="5" t="s">
        <v>719</v>
      </c>
      <c r="I65" s="25" t="s">
        <v>723</v>
      </c>
      <c r="J65" s="5" t="s">
        <v>174</v>
      </c>
      <c r="K65" s="5" t="s">
        <v>722</v>
      </c>
      <c r="L65" s="21" t="n">
        <v>501.3</v>
      </c>
      <c r="M65" s="5" t="s">
        <v>218</v>
      </c>
      <c r="N65" s="9"/>
    </row>
    <row r="66" customFormat="false" ht="15" hidden="false" customHeight="false" outlineLevel="0" collapsed="false">
      <c r="A66" s="5" t="n">
        <v>62</v>
      </c>
      <c r="B66" s="5" t="n">
        <v>47</v>
      </c>
      <c r="C66" s="5" t="s">
        <v>76</v>
      </c>
      <c r="D66" s="5" t="s">
        <v>149</v>
      </c>
      <c r="E66" s="33" t="n">
        <v>-18.74912</v>
      </c>
      <c r="F66" s="33" t="n">
        <v>-39.7517</v>
      </c>
      <c r="G66" s="5" t="s">
        <v>713</v>
      </c>
      <c r="H66" s="5" t="s">
        <v>714</v>
      </c>
      <c r="I66" s="22" t="s">
        <v>715</v>
      </c>
      <c r="J66" s="5" t="s">
        <v>716</v>
      </c>
      <c r="K66" s="5" t="s">
        <v>722</v>
      </c>
      <c r="L66" s="21" t="n">
        <v>183.5</v>
      </c>
      <c r="M66" s="5" t="s">
        <v>218</v>
      </c>
      <c r="N66" s="9" t="s">
        <v>718</v>
      </c>
    </row>
    <row r="67" customFormat="false" ht="15" hidden="false" customHeight="false" outlineLevel="0" collapsed="false">
      <c r="A67" s="5" t="n">
        <v>63</v>
      </c>
      <c r="B67" s="5" t="n">
        <v>47</v>
      </c>
      <c r="C67" s="5" t="s">
        <v>76</v>
      </c>
      <c r="D67" s="5" t="s">
        <v>294</v>
      </c>
      <c r="E67" s="33" t="n">
        <v>-18.748941</v>
      </c>
      <c r="F67" s="33" t="n">
        <v>-39.755197</v>
      </c>
      <c r="G67" s="5" t="s">
        <v>713</v>
      </c>
      <c r="H67" s="5" t="s">
        <v>719</v>
      </c>
      <c r="I67" s="25" t="s">
        <v>723</v>
      </c>
      <c r="J67" s="5" t="s">
        <v>174</v>
      </c>
      <c r="K67" s="5" t="s">
        <v>720</v>
      </c>
      <c r="L67" s="21" t="n">
        <v>192.9</v>
      </c>
      <c r="M67" s="5" t="s">
        <v>218</v>
      </c>
      <c r="N67" s="9"/>
    </row>
    <row r="68" customFormat="false" ht="15" hidden="false" customHeight="false" outlineLevel="0" collapsed="false">
      <c r="A68" s="5" t="n">
        <v>64</v>
      </c>
      <c r="B68" s="5" t="n">
        <v>47</v>
      </c>
      <c r="C68" s="5" t="s">
        <v>76</v>
      </c>
      <c r="D68" s="5" t="s">
        <v>295</v>
      </c>
      <c r="E68" s="33" t="n">
        <v>-18.749548</v>
      </c>
      <c r="F68" s="33" t="n">
        <v>-39.752301</v>
      </c>
      <c r="G68" s="5" t="s">
        <v>713</v>
      </c>
      <c r="H68" s="5" t="s">
        <v>719</v>
      </c>
      <c r="I68" s="25" t="s">
        <v>723</v>
      </c>
      <c r="J68" s="5" t="s">
        <v>174</v>
      </c>
      <c r="K68" s="5" t="s">
        <v>722</v>
      </c>
      <c r="L68" s="21" t="n">
        <v>83.7</v>
      </c>
      <c r="M68" s="5" t="s">
        <v>218</v>
      </c>
      <c r="N68" s="9"/>
    </row>
    <row r="69" customFormat="false" ht="15" hidden="false" customHeight="false" outlineLevel="0" collapsed="false">
      <c r="A69" s="5" t="n">
        <v>65</v>
      </c>
      <c r="B69" s="5" t="n">
        <v>47</v>
      </c>
      <c r="C69" s="5" t="s">
        <v>76</v>
      </c>
      <c r="D69" s="5" t="s">
        <v>295</v>
      </c>
      <c r="E69" s="33" t="n">
        <v>-18.748347</v>
      </c>
      <c r="F69" s="33" t="n">
        <v>-39.752254</v>
      </c>
      <c r="G69" s="5" t="s">
        <v>713</v>
      </c>
      <c r="H69" s="5" t="s">
        <v>719</v>
      </c>
      <c r="I69" s="25" t="s">
        <v>723</v>
      </c>
      <c r="J69" s="5" t="s">
        <v>174</v>
      </c>
      <c r="K69" s="5" t="s">
        <v>722</v>
      </c>
      <c r="L69" s="21" t="n">
        <v>20.6</v>
      </c>
      <c r="M69" s="5" t="s">
        <v>218</v>
      </c>
      <c r="N69" s="9"/>
    </row>
    <row r="70" customFormat="false" ht="15" hidden="false" customHeight="false" outlineLevel="0" collapsed="false">
      <c r="A70" s="5" t="n">
        <v>66</v>
      </c>
      <c r="B70" s="5" t="n">
        <v>47</v>
      </c>
      <c r="C70" s="5" t="s">
        <v>76</v>
      </c>
      <c r="D70" s="5" t="s">
        <v>290</v>
      </c>
      <c r="E70" s="33" t="n">
        <v>-18.748877</v>
      </c>
      <c r="F70" s="33" t="n">
        <v>-39.755777</v>
      </c>
      <c r="G70" s="5" t="s">
        <v>713</v>
      </c>
      <c r="H70" s="5" t="s">
        <v>719</v>
      </c>
      <c r="I70" s="25" t="s">
        <v>723</v>
      </c>
      <c r="J70" s="5" t="s">
        <v>174</v>
      </c>
      <c r="K70" s="5" t="s">
        <v>722</v>
      </c>
      <c r="L70" s="21" t="n">
        <v>186.9</v>
      </c>
      <c r="M70" s="5" t="s">
        <v>218</v>
      </c>
      <c r="N70" s="9" t="s">
        <v>732</v>
      </c>
    </row>
    <row r="71" customFormat="false" ht="15" hidden="false" customHeight="false" outlineLevel="0" collapsed="false">
      <c r="A71" s="5" t="n">
        <v>67</v>
      </c>
      <c r="B71" s="5" t="n">
        <v>47</v>
      </c>
      <c r="C71" s="5" t="s">
        <v>76</v>
      </c>
      <c r="D71" s="5" t="s">
        <v>303</v>
      </c>
      <c r="E71" s="33" t="n">
        <v>-18.74897</v>
      </c>
      <c r="F71" s="33" t="n">
        <v>-39.754626</v>
      </c>
      <c r="G71" s="5" t="s">
        <v>713</v>
      </c>
      <c r="H71" s="5" t="s">
        <v>719</v>
      </c>
      <c r="I71" s="25" t="s">
        <v>723</v>
      </c>
      <c r="J71" s="5" t="s">
        <v>174</v>
      </c>
      <c r="K71" s="5" t="s">
        <v>722</v>
      </c>
      <c r="L71" s="21" t="n">
        <v>191.3</v>
      </c>
      <c r="M71" s="5" t="s">
        <v>218</v>
      </c>
      <c r="N71" s="9"/>
    </row>
    <row r="72" customFormat="false" ht="15" hidden="false" customHeight="false" outlineLevel="0" collapsed="false">
      <c r="A72" s="5" t="n">
        <v>68</v>
      </c>
      <c r="B72" s="5" t="n">
        <v>47</v>
      </c>
      <c r="C72" s="5" t="s">
        <v>76</v>
      </c>
      <c r="D72" s="5" t="s">
        <v>167</v>
      </c>
      <c r="E72" s="33" t="n">
        <v>-18.748458</v>
      </c>
      <c r="F72" s="33" t="n">
        <v>-39.751584</v>
      </c>
      <c r="G72" s="5" t="s">
        <v>713</v>
      </c>
      <c r="H72" s="5" t="s">
        <v>714</v>
      </c>
      <c r="I72" s="25" t="s">
        <v>723</v>
      </c>
      <c r="J72" s="5" t="s">
        <v>174</v>
      </c>
      <c r="K72" s="5" t="s">
        <v>720</v>
      </c>
      <c r="L72" s="21" t="n">
        <v>18.2</v>
      </c>
      <c r="M72" s="5" t="s">
        <v>218</v>
      </c>
      <c r="N72" s="9" t="s">
        <v>733</v>
      </c>
    </row>
    <row r="73" customFormat="false" ht="15" hidden="false" customHeight="false" outlineLevel="0" collapsed="false">
      <c r="A73" s="5" t="n">
        <v>69</v>
      </c>
      <c r="B73" s="5" t="n">
        <v>47</v>
      </c>
      <c r="C73" s="5" t="s">
        <v>76</v>
      </c>
      <c r="D73" s="5" t="s">
        <v>186</v>
      </c>
      <c r="E73" s="33" t="n">
        <v>-18.749724</v>
      </c>
      <c r="F73" s="33" t="n">
        <v>-39.755705</v>
      </c>
      <c r="G73" s="5" t="s">
        <v>713</v>
      </c>
      <c r="H73" s="5" t="s">
        <v>724</v>
      </c>
      <c r="I73" s="25" t="s">
        <v>723</v>
      </c>
      <c r="J73" s="5" t="s">
        <v>174</v>
      </c>
      <c r="K73" s="5" t="s">
        <v>720</v>
      </c>
      <c r="L73" s="21" t="n">
        <v>291.3</v>
      </c>
      <c r="M73" s="5" t="s">
        <v>218</v>
      </c>
      <c r="N73" s="9"/>
    </row>
    <row r="74" customFormat="false" ht="15" hidden="false" customHeight="false" outlineLevel="0" collapsed="false">
      <c r="A74" s="5" t="n">
        <v>70</v>
      </c>
      <c r="B74" s="5" t="n">
        <v>47</v>
      </c>
      <c r="C74" s="5" t="s">
        <v>76</v>
      </c>
      <c r="D74" s="5" t="s">
        <v>186</v>
      </c>
      <c r="E74" s="33" t="n">
        <v>-18.749838</v>
      </c>
      <c r="F74" s="33" t="n">
        <v>-39.752944</v>
      </c>
      <c r="G74" s="5" t="s">
        <v>713</v>
      </c>
      <c r="H74" s="5" t="s">
        <v>724</v>
      </c>
      <c r="I74" s="25" t="s">
        <v>723</v>
      </c>
      <c r="J74" s="5" t="s">
        <v>174</v>
      </c>
      <c r="K74" s="5" t="s">
        <v>722</v>
      </c>
      <c r="L74" s="21" t="n">
        <v>291.3</v>
      </c>
      <c r="M74" s="5" t="s">
        <v>218</v>
      </c>
      <c r="N74" s="9"/>
    </row>
    <row r="75" customFormat="false" ht="15" hidden="false" customHeight="false" outlineLevel="0" collapsed="false">
      <c r="A75" s="5" t="n">
        <v>71</v>
      </c>
      <c r="B75" s="5" t="n">
        <v>47</v>
      </c>
      <c r="C75" s="5" t="s">
        <v>76</v>
      </c>
      <c r="D75" s="5" t="s">
        <v>417</v>
      </c>
      <c r="E75" s="33" t="n">
        <v>-18.748848</v>
      </c>
      <c r="F75" s="33" t="n">
        <v>-39.756383</v>
      </c>
      <c r="G75" s="5" t="s">
        <v>713</v>
      </c>
      <c r="H75" s="5" t="s">
        <v>719</v>
      </c>
      <c r="I75" s="25" t="s">
        <v>723</v>
      </c>
      <c r="J75" s="5" t="s">
        <v>174</v>
      </c>
      <c r="K75" s="5" t="s">
        <v>722</v>
      </c>
      <c r="L75" s="21" t="n">
        <v>188.8</v>
      </c>
      <c r="M75" s="5" t="s">
        <v>218</v>
      </c>
      <c r="N75" s="9"/>
    </row>
    <row r="76" customFormat="false" ht="15" hidden="false" customHeight="false" outlineLevel="0" collapsed="false">
      <c r="A76" s="5" t="n">
        <v>72</v>
      </c>
      <c r="B76" s="5" t="n">
        <v>47</v>
      </c>
      <c r="C76" s="5" t="s">
        <v>76</v>
      </c>
      <c r="D76" s="5" t="s">
        <v>390</v>
      </c>
      <c r="E76" s="33" t="n">
        <v>-18.74906</v>
      </c>
      <c r="F76" s="33" t="n">
        <v>-39.752867</v>
      </c>
      <c r="G76" s="5" t="s">
        <v>713</v>
      </c>
      <c r="H76" s="5" t="s">
        <v>719</v>
      </c>
      <c r="I76" s="25" t="s">
        <v>723</v>
      </c>
      <c r="J76" s="5" t="s">
        <v>174</v>
      </c>
      <c r="K76" s="5" t="s">
        <v>717</v>
      </c>
      <c r="L76" s="21" t="n">
        <v>186.6</v>
      </c>
      <c r="M76" s="5" t="s">
        <v>218</v>
      </c>
      <c r="N76" s="9"/>
    </row>
    <row r="77" customFormat="false" ht="15" hidden="false" customHeight="false" outlineLevel="0" collapsed="false">
      <c r="A77" s="5" t="n">
        <v>73</v>
      </c>
      <c r="B77" s="5" t="n">
        <v>47</v>
      </c>
      <c r="C77" s="5" t="s">
        <v>76</v>
      </c>
      <c r="D77" s="5" t="s">
        <v>418</v>
      </c>
      <c r="E77" s="33" t="n">
        <v>-18.749001</v>
      </c>
      <c r="F77" s="33" t="n">
        <v>-39.754027</v>
      </c>
      <c r="G77" s="5" t="s">
        <v>713</v>
      </c>
      <c r="H77" s="5" t="s">
        <v>719</v>
      </c>
      <c r="I77" s="25" t="s">
        <v>723</v>
      </c>
      <c r="J77" s="5" t="s">
        <v>174</v>
      </c>
      <c r="K77" s="5" t="s">
        <v>720</v>
      </c>
      <c r="L77" s="21" t="n">
        <v>189.7</v>
      </c>
      <c r="M77" s="5" t="s">
        <v>218</v>
      </c>
      <c r="N77" s="9"/>
    </row>
    <row r="78" customFormat="false" ht="15" hidden="false" customHeight="false" outlineLevel="0" collapsed="false">
      <c r="A78" s="5" t="n">
        <v>74</v>
      </c>
      <c r="B78" s="5" t="n">
        <v>47</v>
      </c>
      <c r="C78" s="5" t="s">
        <v>76</v>
      </c>
      <c r="D78" s="5" t="s">
        <v>297</v>
      </c>
      <c r="E78" s="33" t="n">
        <v>-18.74903</v>
      </c>
      <c r="F78" s="33" t="n">
        <v>-39.753447</v>
      </c>
      <c r="G78" s="5" t="s">
        <v>713</v>
      </c>
      <c r="H78" s="5" t="s">
        <v>719</v>
      </c>
      <c r="I78" s="25" t="s">
        <v>723</v>
      </c>
      <c r="J78" s="5" t="s">
        <v>174</v>
      </c>
      <c r="K78" s="5" t="s">
        <v>722</v>
      </c>
      <c r="L78" s="21" t="n">
        <v>188.2</v>
      </c>
      <c r="M78" s="5" t="s">
        <v>218</v>
      </c>
      <c r="N78" s="9"/>
    </row>
    <row r="79" customFormat="false" ht="15" hidden="false" customHeight="false" outlineLevel="0" collapsed="false">
      <c r="A79" s="5" t="n">
        <v>75</v>
      </c>
      <c r="B79" s="5" t="n">
        <v>47</v>
      </c>
      <c r="C79" s="5" t="s">
        <v>76</v>
      </c>
      <c r="D79" s="5" t="s">
        <v>416</v>
      </c>
      <c r="E79" s="33" t="n">
        <v>-18.748849</v>
      </c>
      <c r="F79" s="33" t="n">
        <v>-39.756984</v>
      </c>
      <c r="G79" s="5" t="s">
        <v>713</v>
      </c>
      <c r="H79" s="5" t="s">
        <v>719</v>
      </c>
      <c r="I79" s="25" t="s">
        <v>723</v>
      </c>
      <c r="J79" s="5" t="s">
        <v>174</v>
      </c>
      <c r="K79" s="5" t="s">
        <v>722</v>
      </c>
      <c r="L79" s="21" t="n">
        <v>197.3</v>
      </c>
      <c r="M79" s="5" t="s">
        <v>218</v>
      </c>
      <c r="N79" s="9"/>
    </row>
    <row r="80" customFormat="false" ht="15" hidden="false" customHeight="false" outlineLevel="0" collapsed="false">
      <c r="A80" s="5" t="n">
        <v>76</v>
      </c>
      <c r="B80" s="5" t="n">
        <v>47</v>
      </c>
      <c r="C80" s="5" t="s">
        <v>76</v>
      </c>
      <c r="D80" s="5" t="s">
        <v>168</v>
      </c>
      <c r="E80" s="33" t="n">
        <v>-18.749051</v>
      </c>
      <c r="F80" s="33" t="n">
        <v>-39.752012</v>
      </c>
      <c r="G80" s="5" t="s">
        <v>713</v>
      </c>
      <c r="H80" s="5" t="s">
        <v>719</v>
      </c>
      <c r="I80" s="25" t="s">
        <v>723</v>
      </c>
      <c r="J80" s="5" t="s">
        <v>174</v>
      </c>
      <c r="K80" s="5" t="s">
        <v>722</v>
      </c>
      <c r="L80" s="21" t="n">
        <v>69.3</v>
      </c>
      <c r="M80" s="5" t="s">
        <v>218</v>
      </c>
      <c r="N80" s="9"/>
    </row>
    <row r="81" customFormat="false" ht="15" hidden="false" customHeight="false" outlineLevel="0" collapsed="false">
      <c r="A81" s="5" t="n">
        <v>77</v>
      </c>
      <c r="B81" s="5" t="n">
        <v>15</v>
      </c>
      <c r="C81" s="5" t="s">
        <v>46</v>
      </c>
      <c r="D81" s="5" t="s">
        <v>149</v>
      </c>
      <c r="E81" s="33" t="n">
        <v>-18.750508</v>
      </c>
      <c r="F81" s="33" t="n">
        <v>-39.751753</v>
      </c>
      <c r="G81" s="5" t="s">
        <v>713</v>
      </c>
      <c r="H81" s="5" t="s">
        <v>714</v>
      </c>
      <c r="I81" s="22" t="s">
        <v>715</v>
      </c>
      <c r="J81" s="5" t="s">
        <v>716</v>
      </c>
      <c r="K81" s="5" t="s">
        <v>720</v>
      </c>
      <c r="L81" s="21" t="n">
        <v>155.6</v>
      </c>
      <c r="M81" s="5" t="s">
        <v>218</v>
      </c>
      <c r="N81" s="9" t="s">
        <v>734</v>
      </c>
    </row>
    <row r="82" customFormat="false" ht="15" hidden="false" customHeight="false" outlineLevel="0" collapsed="false">
      <c r="A82" s="5" t="n">
        <v>78</v>
      </c>
      <c r="B82" s="5" t="n">
        <v>15</v>
      </c>
      <c r="C82" s="5" t="s">
        <v>46</v>
      </c>
      <c r="D82" s="5" t="s">
        <v>179</v>
      </c>
      <c r="E82" s="33" t="n">
        <v>-18.752864</v>
      </c>
      <c r="F82" s="33" t="n">
        <v>-39.74942</v>
      </c>
      <c r="G82" s="5" t="s">
        <v>713</v>
      </c>
      <c r="H82" s="5" t="s">
        <v>719</v>
      </c>
      <c r="I82" s="25" t="s">
        <v>723</v>
      </c>
      <c r="J82" s="5" t="s">
        <v>174</v>
      </c>
      <c r="K82" s="5" t="s">
        <v>717</v>
      </c>
      <c r="L82" s="21" t="n">
        <v>74.4</v>
      </c>
      <c r="M82" s="5" t="s">
        <v>218</v>
      </c>
      <c r="N82" s="9"/>
    </row>
    <row r="83" customFormat="false" ht="15" hidden="false" customHeight="false" outlineLevel="0" collapsed="false">
      <c r="A83" s="5" t="n">
        <v>79</v>
      </c>
      <c r="B83" s="5" t="n">
        <v>15</v>
      </c>
      <c r="C83" s="5" t="s">
        <v>46</v>
      </c>
      <c r="D83" s="5" t="s">
        <v>163</v>
      </c>
      <c r="E83" s="33" t="n">
        <v>-18.752877</v>
      </c>
      <c r="F83" s="33" t="n">
        <v>-39.748743</v>
      </c>
      <c r="G83" s="5" t="s">
        <v>713</v>
      </c>
      <c r="H83" s="5" t="s">
        <v>719</v>
      </c>
      <c r="I83" s="25" t="s">
        <v>723</v>
      </c>
      <c r="J83" s="5" t="s">
        <v>174</v>
      </c>
      <c r="K83" s="5" t="s">
        <v>722</v>
      </c>
      <c r="L83" s="21" t="n">
        <v>69.4</v>
      </c>
      <c r="M83" s="5" t="s">
        <v>218</v>
      </c>
      <c r="N83" s="9"/>
    </row>
    <row r="84" customFormat="false" ht="15" hidden="false" customHeight="false" outlineLevel="0" collapsed="false">
      <c r="A84" s="5" t="n">
        <v>80</v>
      </c>
      <c r="B84" s="5" t="n">
        <v>15</v>
      </c>
      <c r="C84" s="5" t="s">
        <v>46</v>
      </c>
      <c r="D84" s="5" t="s">
        <v>181</v>
      </c>
      <c r="E84" s="33" t="n">
        <v>-18.752995</v>
      </c>
      <c r="F84" s="33" t="n">
        <v>-39.750585</v>
      </c>
      <c r="G84" s="5" t="s">
        <v>713</v>
      </c>
      <c r="H84" s="5" t="s">
        <v>719</v>
      </c>
      <c r="I84" s="25" t="s">
        <v>723</v>
      </c>
      <c r="J84" s="5" t="s">
        <v>174</v>
      </c>
      <c r="K84" s="5" t="s">
        <v>720</v>
      </c>
      <c r="L84" s="21" t="n">
        <v>116.5</v>
      </c>
      <c r="M84" s="5" t="s">
        <v>218</v>
      </c>
      <c r="N84" s="9"/>
    </row>
    <row r="85" customFormat="false" ht="15" hidden="false" customHeight="false" outlineLevel="0" collapsed="false">
      <c r="A85" s="5" t="n">
        <v>81</v>
      </c>
      <c r="B85" s="5" t="n">
        <v>15</v>
      </c>
      <c r="C85" s="5" t="s">
        <v>46</v>
      </c>
      <c r="D85" s="5" t="s">
        <v>387</v>
      </c>
      <c r="E85" s="33" t="n">
        <v>-18.752656</v>
      </c>
      <c r="F85" s="33" t="n">
        <v>-39.752258</v>
      </c>
      <c r="G85" s="5" t="s">
        <v>713</v>
      </c>
      <c r="H85" s="5" t="s">
        <v>719</v>
      </c>
      <c r="I85" s="25" t="s">
        <v>723</v>
      </c>
      <c r="J85" s="5" t="s">
        <v>174</v>
      </c>
      <c r="K85" s="5" t="s">
        <v>720</v>
      </c>
      <c r="L85" s="21" t="n">
        <v>320.3</v>
      </c>
      <c r="M85" s="5" t="s">
        <v>218</v>
      </c>
      <c r="N85" s="9"/>
    </row>
    <row r="86" customFormat="false" ht="15" hidden="false" customHeight="false" outlineLevel="0" collapsed="false">
      <c r="A86" s="5" t="n">
        <v>82</v>
      </c>
      <c r="B86" s="5" t="n">
        <v>15</v>
      </c>
      <c r="C86" s="5" t="s">
        <v>46</v>
      </c>
      <c r="D86" s="5" t="s">
        <v>385</v>
      </c>
      <c r="E86" s="33" t="n">
        <v>-18.751172</v>
      </c>
      <c r="F86" s="33" t="n">
        <v>-39.753228</v>
      </c>
      <c r="G86" s="5" t="s">
        <v>713</v>
      </c>
      <c r="H86" s="5" t="s">
        <v>719</v>
      </c>
      <c r="I86" s="25" t="s">
        <v>723</v>
      </c>
      <c r="J86" s="5" t="s">
        <v>174</v>
      </c>
      <c r="K86" s="5" t="s">
        <v>722</v>
      </c>
      <c r="L86" s="21" t="n">
        <v>164.3</v>
      </c>
      <c r="M86" s="5" t="s">
        <v>218</v>
      </c>
      <c r="N86" s="9"/>
    </row>
    <row r="87" customFormat="false" ht="15" hidden="false" customHeight="false" outlineLevel="0" collapsed="false">
      <c r="A87" s="5" t="n">
        <v>83</v>
      </c>
      <c r="B87" s="5" t="n">
        <v>15</v>
      </c>
      <c r="C87" s="5" t="s">
        <v>46</v>
      </c>
      <c r="D87" s="5" t="s">
        <v>385</v>
      </c>
      <c r="E87" s="33" t="n">
        <v>-18.751188</v>
      </c>
      <c r="F87" s="33" t="n">
        <v>-39.752075</v>
      </c>
      <c r="G87" s="5" t="s">
        <v>713</v>
      </c>
      <c r="H87" s="5" t="s">
        <v>719</v>
      </c>
      <c r="I87" s="25" t="s">
        <v>723</v>
      </c>
      <c r="J87" s="5" t="s">
        <v>174</v>
      </c>
      <c r="K87" s="5" t="s">
        <v>722</v>
      </c>
      <c r="L87" s="21" t="n">
        <v>62.3</v>
      </c>
      <c r="M87" s="5" t="s">
        <v>218</v>
      </c>
      <c r="N87" s="9"/>
    </row>
    <row r="88" customFormat="false" ht="15" hidden="false" customHeight="false" outlineLevel="0" collapsed="false">
      <c r="A88" s="5" t="n">
        <v>84</v>
      </c>
      <c r="B88" s="5" t="n">
        <v>15</v>
      </c>
      <c r="C88" s="5" t="s">
        <v>46</v>
      </c>
      <c r="D88" s="5" t="s">
        <v>295</v>
      </c>
      <c r="E88" s="33" t="n">
        <v>-18.751607</v>
      </c>
      <c r="F88" s="33" t="n">
        <v>-39.752383</v>
      </c>
      <c r="G88" s="5" t="s">
        <v>713</v>
      </c>
      <c r="H88" s="5" t="s">
        <v>719</v>
      </c>
      <c r="I88" s="25" t="s">
        <v>723</v>
      </c>
      <c r="J88" s="5" t="s">
        <v>174</v>
      </c>
      <c r="K88" s="5" t="s">
        <v>720</v>
      </c>
      <c r="L88" s="21" t="n">
        <v>404.2</v>
      </c>
      <c r="M88" s="5" t="s">
        <v>218</v>
      </c>
      <c r="N88" s="9"/>
    </row>
    <row r="89" customFormat="false" ht="15" hidden="false" customHeight="false" outlineLevel="0" collapsed="false">
      <c r="A89" s="5" t="n">
        <v>85</v>
      </c>
      <c r="B89" s="5" t="n">
        <v>15</v>
      </c>
      <c r="C89" s="5" t="s">
        <v>46</v>
      </c>
      <c r="D89" s="5" t="s">
        <v>171</v>
      </c>
      <c r="E89" s="33" t="n">
        <v>-18.752335</v>
      </c>
      <c r="F89" s="33" t="n">
        <v>-39.751833</v>
      </c>
      <c r="G89" s="5" t="s">
        <v>713</v>
      </c>
      <c r="H89" s="5" t="s">
        <v>714</v>
      </c>
      <c r="I89" s="25" t="s">
        <v>723</v>
      </c>
      <c r="J89" s="5" t="s">
        <v>174</v>
      </c>
      <c r="K89" s="5" t="s">
        <v>720</v>
      </c>
      <c r="L89" s="21" t="n">
        <v>249.2</v>
      </c>
      <c r="M89" s="5" t="s">
        <v>218</v>
      </c>
      <c r="N89" s="9" t="s">
        <v>718</v>
      </c>
    </row>
    <row r="90" customFormat="false" ht="15" hidden="false" customHeight="false" outlineLevel="0" collapsed="false">
      <c r="A90" s="5" t="n">
        <v>86</v>
      </c>
      <c r="B90" s="5" t="n">
        <v>15</v>
      </c>
      <c r="C90" s="5" t="s">
        <v>46</v>
      </c>
      <c r="D90" s="5" t="s">
        <v>171</v>
      </c>
      <c r="E90" s="33" t="n">
        <v>-18.75164</v>
      </c>
      <c r="F90" s="33" t="n">
        <v>-39.751706</v>
      </c>
      <c r="G90" s="5" t="s">
        <v>713</v>
      </c>
      <c r="H90" s="5" t="s">
        <v>714</v>
      </c>
      <c r="I90" s="22" t="s">
        <v>715</v>
      </c>
      <c r="J90" s="5" t="s">
        <v>716</v>
      </c>
      <c r="K90" s="5" t="s">
        <v>722</v>
      </c>
      <c r="L90" s="21" t="n">
        <v>404.2</v>
      </c>
      <c r="M90" s="5" t="s">
        <v>218</v>
      </c>
      <c r="N90" s="9" t="s">
        <v>735</v>
      </c>
    </row>
    <row r="91" customFormat="false" ht="15" hidden="false" customHeight="false" outlineLevel="0" collapsed="false">
      <c r="A91" s="5" t="n">
        <v>87</v>
      </c>
      <c r="B91" s="5" t="n">
        <v>15</v>
      </c>
      <c r="C91" s="5" t="s">
        <v>46</v>
      </c>
      <c r="D91" s="5" t="s">
        <v>157</v>
      </c>
      <c r="E91" s="33" t="n">
        <v>-18.752779</v>
      </c>
      <c r="F91" s="33" t="n">
        <v>-39.750011</v>
      </c>
      <c r="G91" s="5" t="s">
        <v>713</v>
      </c>
      <c r="H91" s="5" t="s">
        <v>719</v>
      </c>
      <c r="I91" s="25" t="s">
        <v>723</v>
      </c>
      <c r="J91" s="5" t="s">
        <v>174</v>
      </c>
      <c r="K91" s="5" t="s">
        <v>720</v>
      </c>
      <c r="L91" s="21" t="n">
        <v>62.3</v>
      </c>
      <c r="M91" s="5" t="s">
        <v>218</v>
      </c>
      <c r="N91" s="9"/>
    </row>
    <row r="92" customFormat="false" ht="15" hidden="false" customHeight="false" outlineLevel="0" collapsed="false">
      <c r="A92" s="5" t="n">
        <v>88</v>
      </c>
      <c r="B92" s="5" t="n">
        <v>15</v>
      </c>
      <c r="C92" s="5" t="s">
        <v>46</v>
      </c>
      <c r="D92" s="5" t="s">
        <v>165</v>
      </c>
      <c r="E92" s="33" t="n">
        <v>-18.752965</v>
      </c>
      <c r="F92" s="33" t="n">
        <v>-39.751181</v>
      </c>
      <c r="G92" s="5" t="s">
        <v>713</v>
      </c>
      <c r="H92" s="5" t="s">
        <v>719</v>
      </c>
      <c r="I92" s="25" t="s">
        <v>723</v>
      </c>
      <c r="J92" s="5" t="s">
        <v>174</v>
      </c>
      <c r="K92" s="5" t="s">
        <v>720</v>
      </c>
      <c r="L92" s="21" t="n">
        <v>116.7</v>
      </c>
      <c r="M92" s="5" t="s">
        <v>218</v>
      </c>
      <c r="N92" s="9"/>
    </row>
    <row r="93" customFormat="false" ht="15" hidden="false" customHeight="false" outlineLevel="0" collapsed="false">
      <c r="A93" s="5" t="n">
        <v>89</v>
      </c>
      <c r="B93" s="5" t="n">
        <v>15</v>
      </c>
      <c r="C93" s="5" t="s">
        <v>46</v>
      </c>
      <c r="D93" s="5" t="s">
        <v>390</v>
      </c>
      <c r="E93" s="33" t="n">
        <v>-18.751581</v>
      </c>
      <c r="F93" s="33" t="n">
        <v>-39.752974</v>
      </c>
      <c r="G93" s="5" t="s">
        <v>713</v>
      </c>
      <c r="H93" s="5" t="s">
        <v>719</v>
      </c>
      <c r="I93" s="25" t="s">
        <v>723</v>
      </c>
      <c r="J93" s="5" t="s">
        <v>174</v>
      </c>
      <c r="K93" s="5" t="s">
        <v>720</v>
      </c>
      <c r="L93" s="21" t="n">
        <v>403.6</v>
      </c>
      <c r="M93" s="5" t="s">
        <v>218</v>
      </c>
      <c r="N93" s="9"/>
    </row>
    <row r="94" customFormat="false" ht="15" hidden="false" customHeight="false" outlineLevel="0" collapsed="false">
      <c r="A94" s="5" t="n">
        <v>90</v>
      </c>
      <c r="B94" s="5" t="n">
        <v>15</v>
      </c>
      <c r="C94" s="5" t="s">
        <v>46</v>
      </c>
      <c r="D94" s="5" t="s">
        <v>186</v>
      </c>
      <c r="E94" s="33" t="n">
        <v>-18.749845</v>
      </c>
      <c r="F94" s="33" t="n">
        <v>-39.752795</v>
      </c>
      <c r="G94" s="5" t="s">
        <v>713</v>
      </c>
      <c r="H94" s="5" t="s">
        <v>724</v>
      </c>
      <c r="I94" s="25" t="s">
        <v>723</v>
      </c>
      <c r="J94" s="5" t="s">
        <v>174</v>
      </c>
      <c r="K94" s="5" t="s">
        <v>722</v>
      </c>
      <c r="L94" s="21" t="n">
        <v>255.6</v>
      </c>
      <c r="M94" s="5" t="s">
        <v>218</v>
      </c>
      <c r="N94" s="9"/>
    </row>
    <row r="95" customFormat="false" ht="15" hidden="false" customHeight="false" outlineLevel="0" collapsed="false">
      <c r="A95" s="5" t="n">
        <v>91</v>
      </c>
      <c r="B95" s="5" t="n">
        <v>15</v>
      </c>
      <c r="C95" s="5" t="s">
        <v>46</v>
      </c>
      <c r="D95" s="5" t="s">
        <v>297</v>
      </c>
      <c r="E95" s="33" t="n">
        <v>-18.751556</v>
      </c>
      <c r="F95" s="33" t="n">
        <v>-39.753561</v>
      </c>
      <c r="G95" s="5" t="s">
        <v>713</v>
      </c>
      <c r="H95" s="5" t="s">
        <v>719</v>
      </c>
      <c r="I95" s="25" t="s">
        <v>721</v>
      </c>
      <c r="J95" s="5" t="s">
        <v>174</v>
      </c>
      <c r="K95" s="5" t="s">
        <v>720</v>
      </c>
      <c r="L95" s="21" t="n">
        <v>403.1</v>
      </c>
      <c r="M95" s="5" t="s">
        <v>218</v>
      </c>
      <c r="N95" s="9"/>
    </row>
    <row r="96" customFormat="false" ht="15" hidden="false" customHeight="false" outlineLevel="0" collapsed="false">
      <c r="A96" s="5" t="n">
        <v>92</v>
      </c>
      <c r="B96" s="5" t="n">
        <v>70</v>
      </c>
      <c r="C96" s="5" t="s">
        <v>91</v>
      </c>
      <c r="D96" s="5" t="s">
        <v>322</v>
      </c>
      <c r="E96" s="33" t="n">
        <v>-18.724958</v>
      </c>
      <c r="F96" s="33" t="n">
        <v>-39.766285</v>
      </c>
      <c r="G96" s="5" t="s">
        <v>713</v>
      </c>
      <c r="H96" s="5" t="s">
        <v>714</v>
      </c>
      <c r="I96" s="25" t="s">
        <v>723</v>
      </c>
      <c r="J96" s="5" t="s">
        <v>174</v>
      </c>
      <c r="K96" s="5" t="s">
        <v>722</v>
      </c>
      <c r="L96" s="21" t="n">
        <v>246.1</v>
      </c>
      <c r="M96" s="5" t="s">
        <v>218</v>
      </c>
      <c r="N96" s="9"/>
    </row>
    <row r="97" customFormat="false" ht="15" hidden="false" customHeight="false" outlineLevel="0" collapsed="false">
      <c r="A97" s="5" t="n">
        <v>93</v>
      </c>
      <c r="B97" s="5" t="n">
        <v>70</v>
      </c>
      <c r="C97" s="5" t="s">
        <v>91</v>
      </c>
      <c r="D97" s="5" t="s">
        <v>325</v>
      </c>
      <c r="E97" s="33" t="n">
        <v>-18.724914</v>
      </c>
      <c r="F97" s="33" t="n">
        <v>-39.765114</v>
      </c>
      <c r="G97" s="5" t="s">
        <v>713</v>
      </c>
      <c r="H97" s="5" t="s">
        <v>719</v>
      </c>
      <c r="I97" s="25" t="s">
        <v>723</v>
      </c>
      <c r="J97" s="5" t="s">
        <v>174</v>
      </c>
      <c r="K97" s="5" t="s">
        <v>722</v>
      </c>
      <c r="L97" s="21" t="n">
        <v>244.4</v>
      </c>
      <c r="M97" s="5" t="s">
        <v>218</v>
      </c>
      <c r="N97" s="9"/>
    </row>
    <row r="98" customFormat="false" ht="15" hidden="false" customHeight="false" outlineLevel="0" collapsed="false">
      <c r="A98" s="5" t="n">
        <v>94</v>
      </c>
      <c r="B98" s="5" t="n">
        <v>70</v>
      </c>
      <c r="C98" s="5" t="s">
        <v>91</v>
      </c>
      <c r="D98" s="5" t="s">
        <v>328</v>
      </c>
      <c r="E98" s="33" t="n">
        <v>-18.726078</v>
      </c>
      <c r="F98" s="33" t="n">
        <v>-39.768103</v>
      </c>
      <c r="G98" s="5" t="s">
        <v>713</v>
      </c>
      <c r="H98" s="5" t="s">
        <v>719</v>
      </c>
      <c r="I98" s="25" t="s">
        <v>723</v>
      </c>
      <c r="J98" s="5" t="s">
        <v>174</v>
      </c>
      <c r="K98" s="5" t="s">
        <v>722</v>
      </c>
      <c r="L98" s="21" t="n">
        <v>15.2</v>
      </c>
      <c r="M98" s="5" t="s">
        <v>218</v>
      </c>
      <c r="N98" s="9"/>
    </row>
    <row r="99" customFormat="false" ht="15" hidden="false" customHeight="false" outlineLevel="0" collapsed="false">
      <c r="A99" s="5" t="n">
        <v>95</v>
      </c>
      <c r="B99" s="5" t="n">
        <v>70</v>
      </c>
      <c r="C99" s="5" t="s">
        <v>91</v>
      </c>
      <c r="D99" s="5" t="s">
        <v>330</v>
      </c>
      <c r="E99" s="33" t="n">
        <v>-18.725014</v>
      </c>
      <c r="F99" s="33" t="n">
        <v>-39.767482</v>
      </c>
      <c r="G99" s="5" t="s">
        <v>713</v>
      </c>
      <c r="H99" s="5" t="s">
        <v>719</v>
      </c>
      <c r="I99" s="25" t="s">
        <v>723</v>
      </c>
      <c r="J99" s="5" t="s">
        <v>174</v>
      </c>
      <c r="K99" s="5" t="s">
        <v>722</v>
      </c>
      <c r="L99" s="21" t="n">
        <v>244.8</v>
      </c>
      <c r="M99" s="5" t="s">
        <v>218</v>
      </c>
      <c r="N99" s="9"/>
    </row>
    <row r="100" customFormat="false" ht="15" hidden="false" customHeight="false" outlineLevel="0" collapsed="false">
      <c r="A100" s="5" t="n">
        <v>96</v>
      </c>
      <c r="B100" s="5" t="n">
        <v>70</v>
      </c>
      <c r="C100" s="5" t="s">
        <v>91</v>
      </c>
      <c r="D100" s="5" t="s">
        <v>332</v>
      </c>
      <c r="E100" s="33" t="n">
        <v>-18.724988</v>
      </c>
      <c r="F100" s="33" t="n">
        <v>-39.766875</v>
      </c>
      <c r="G100" s="5" t="s">
        <v>713</v>
      </c>
      <c r="H100" s="5" t="s">
        <v>714</v>
      </c>
      <c r="I100" s="22" t="s">
        <v>715</v>
      </c>
      <c r="J100" s="5" t="s">
        <v>716</v>
      </c>
      <c r="K100" s="5" t="s">
        <v>720</v>
      </c>
      <c r="L100" s="21" t="n">
        <v>245.4</v>
      </c>
      <c r="M100" s="5" t="s">
        <v>218</v>
      </c>
      <c r="N100" s="9"/>
    </row>
    <row r="101" customFormat="false" ht="15" hidden="false" customHeight="false" outlineLevel="0" collapsed="false">
      <c r="A101" s="5" t="n">
        <v>97</v>
      </c>
      <c r="B101" s="5" t="n">
        <v>70</v>
      </c>
      <c r="C101" s="5" t="s">
        <v>91</v>
      </c>
      <c r="D101" s="5" t="s">
        <v>336</v>
      </c>
      <c r="E101" s="33" t="n">
        <v>-18.724941</v>
      </c>
      <c r="F101" s="33" t="n">
        <v>-39.765703</v>
      </c>
      <c r="G101" s="5" t="s">
        <v>713</v>
      </c>
      <c r="H101" s="5" t="s">
        <v>719</v>
      </c>
      <c r="I101" s="25" t="s">
        <v>723</v>
      </c>
      <c r="J101" s="5" t="s">
        <v>174</v>
      </c>
      <c r="K101" s="5" t="s">
        <v>722</v>
      </c>
      <c r="L101" s="21" t="n">
        <v>243.9</v>
      </c>
      <c r="M101" s="5" t="s">
        <v>218</v>
      </c>
      <c r="N101" s="9"/>
    </row>
    <row r="102" customFormat="false" ht="22.35" hidden="false" customHeight="false" outlineLevel="0" collapsed="false">
      <c r="A102" s="5" t="n">
        <v>98</v>
      </c>
      <c r="B102" s="5" t="n">
        <v>70</v>
      </c>
      <c r="C102" s="5" t="s">
        <v>91</v>
      </c>
      <c r="D102" s="5" t="s">
        <v>342</v>
      </c>
      <c r="E102" s="33" t="n">
        <v>-18.725345</v>
      </c>
      <c r="F102" s="33" t="n">
        <v>-39.76222</v>
      </c>
      <c r="G102" s="5" t="s">
        <v>736</v>
      </c>
      <c r="H102" s="5" t="s">
        <v>218</v>
      </c>
      <c r="I102" s="25" t="s">
        <v>723</v>
      </c>
      <c r="J102" s="5" t="s">
        <v>174</v>
      </c>
      <c r="K102" s="5" t="s">
        <v>218</v>
      </c>
      <c r="L102" s="21" t="n">
        <v>120</v>
      </c>
      <c r="M102" s="5" t="s">
        <v>737</v>
      </c>
      <c r="N102" s="9" t="s">
        <v>738</v>
      </c>
    </row>
    <row r="103" customFormat="false" ht="22.35" hidden="false" customHeight="false" outlineLevel="0" collapsed="false">
      <c r="A103" s="5" t="n">
        <v>99</v>
      </c>
      <c r="B103" s="5" t="n">
        <v>70</v>
      </c>
      <c r="C103" s="5" t="s">
        <v>91</v>
      </c>
      <c r="D103" s="5" t="s">
        <v>348</v>
      </c>
      <c r="E103" s="33" t="n">
        <v>-18.724796</v>
      </c>
      <c r="F103" s="33" t="n">
        <v>-39.762771</v>
      </c>
      <c r="G103" s="5" t="s">
        <v>736</v>
      </c>
      <c r="H103" s="5" t="s">
        <v>218</v>
      </c>
      <c r="I103" s="25" t="s">
        <v>723</v>
      </c>
      <c r="J103" s="5" t="s">
        <v>174</v>
      </c>
      <c r="K103" s="5" t="s">
        <v>218</v>
      </c>
      <c r="L103" s="21" t="n">
        <v>247.1</v>
      </c>
      <c r="M103" s="5" t="s">
        <v>737</v>
      </c>
      <c r="N103" s="9" t="s">
        <v>739</v>
      </c>
    </row>
    <row r="104" customFormat="false" ht="15" hidden="false" customHeight="false" outlineLevel="0" collapsed="false">
      <c r="A104" s="5" t="n">
        <v>100</v>
      </c>
      <c r="B104" s="5" t="n">
        <v>70</v>
      </c>
      <c r="C104" s="5" t="s">
        <v>91</v>
      </c>
      <c r="D104" s="5" t="s">
        <v>349</v>
      </c>
      <c r="E104" s="33" t="n">
        <v>-18.724878</v>
      </c>
      <c r="F104" s="33" t="n">
        <v>-39.764513</v>
      </c>
      <c r="G104" s="5" t="s">
        <v>713</v>
      </c>
      <c r="H104" s="5" t="s">
        <v>719</v>
      </c>
      <c r="I104" s="25" t="s">
        <v>723</v>
      </c>
      <c r="J104" s="5" t="s">
        <v>174</v>
      </c>
      <c r="K104" s="5" t="s">
        <v>722</v>
      </c>
      <c r="L104" s="21" t="n">
        <v>246.6</v>
      </c>
      <c r="M104" s="5" t="s">
        <v>218</v>
      </c>
      <c r="N104" s="9"/>
    </row>
    <row r="105" customFormat="false" ht="15" hidden="false" customHeight="false" outlineLevel="0" collapsed="false">
      <c r="A105" s="5" t="n">
        <v>101</v>
      </c>
      <c r="B105" s="5" t="n">
        <v>70</v>
      </c>
      <c r="C105" s="5" t="s">
        <v>91</v>
      </c>
      <c r="D105" s="5" t="s">
        <v>351</v>
      </c>
      <c r="E105" s="33" t="n">
        <v>-18.724767</v>
      </c>
      <c r="F105" s="33" t="n">
        <v>-39.761002</v>
      </c>
      <c r="G105" s="5" t="s">
        <v>713</v>
      </c>
      <c r="H105" s="5" t="s">
        <v>719</v>
      </c>
      <c r="I105" s="25" t="s">
        <v>723</v>
      </c>
      <c r="J105" s="5" t="s">
        <v>174</v>
      </c>
      <c r="K105" s="5" t="s">
        <v>722</v>
      </c>
      <c r="L105" s="21" t="n">
        <v>236.2</v>
      </c>
      <c r="M105" s="5" t="s">
        <v>218</v>
      </c>
      <c r="N105" s="9"/>
    </row>
    <row r="106" customFormat="false" ht="15" hidden="false" customHeight="false" outlineLevel="0" collapsed="false">
      <c r="A106" s="5" t="n">
        <v>102</v>
      </c>
      <c r="B106" s="5" t="n">
        <v>70</v>
      </c>
      <c r="C106" s="5" t="s">
        <v>91</v>
      </c>
      <c r="D106" s="5" t="s">
        <v>353</v>
      </c>
      <c r="E106" s="33" t="n">
        <v>-18.724873</v>
      </c>
      <c r="F106" s="33" t="n">
        <v>-39.763933</v>
      </c>
      <c r="G106" s="5" t="s">
        <v>713</v>
      </c>
      <c r="H106" s="5" t="s">
        <v>719</v>
      </c>
      <c r="I106" s="25" t="s">
        <v>723</v>
      </c>
      <c r="J106" s="5" t="s">
        <v>174</v>
      </c>
      <c r="K106" s="5" t="s">
        <v>722</v>
      </c>
      <c r="L106" s="21" t="n">
        <v>242</v>
      </c>
      <c r="M106" s="5" t="s">
        <v>218</v>
      </c>
      <c r="N106" s="9"/>
    </row>
    <row r="107" customFormat="false" ht="15" hidden="false" customHeight="false" outlineLevel="0" collapsed="false">
      <c r="A107" s="5" t="n">
        <v>103</v>
      </c>
      <c r="B107" s="5" t="n">
        <v>70</v>
      </c>
      <c r="C107" s="5" t="s">
        <v>91</v>
      </c>
      <c r="D107" s="5" t="s">
        <v>344</v>
      </c>
      <c r="E107" s="33" t="n">
        <v>-18.724786</v>
      </c>
      <c r="F107" s="33" t="n">
        <v>-39.76165</v>
      </c>
      <c r="G107" s="5" t="s">
        <v>713</v>
      </c>
      <c r="H107" s="5" t="s">
        <v>719</v>
      </c>
      <c r="I107" s="25" t="s">
        <v>723</v>
      </c>
      <c r="J107" s="5" t="s">
        <v>174</v>
      </c>
      <c r="K107" s="5" t="s">
        <v>722</v>
      </c>
      <c r="L107" s="21" t="n">
        <v>238</v>
      </c>
      <c r="M107" s="5" t="s">
        <v>218</v>
      </c>
      <c r="N107" s="9"/>
    </row>
    <row r="108" customFormat="false" ht="15" hidden="false" customHeight="false" outlineLevel="0" collapsed="false">
      <c r="A108" s="5" t="n">
        <v>104</v>
      </c>
      <c r="B108" s="5" t="n">
        <v>70</v>
      </c>
      <c r="C108" s="5" t="s">
        <v>91</v>
      </c>
      <c r="D108" s="5" t="s">
        <v>354</v>
      </c>
      <c r="E108" s="33" t="n">
        <v>-18.724853</v>
      </c>
      <c r="F108" s="33" t="n">
        <v>-39.763361</v>
      </c>
      <c r="G108" s="5" t="s">
        <v>713</v>
      </c>
      <c r="H108" s="5" t="s">
        <v>719</v>
      </c>
      <c r="I108" s="25" t="s">
        <v>723</v>
      </c>
      <c r="J108" s="5" t="s">
        <v>174</v>
      </c>
      <c r="K108" s="5" t="s">
        <v>722</v>
      </c>
      <c r="L108" s="21" t="n">
        <v>240</v>
      </c>
      <c r="M108" s="5" t="s">
        <v>218</v>
      </c>
      <c r="N108" s="9"/>
    </row>
    <row r="109" customFormat="false" ht="15" hidden="false" customHeight="false" outlineLevel="0" collapsed="false">
      <c r="A109" s="5" t="n">
        <v>105</v>
      </c>
      <c r="B109" s="5" t="n">
        <v>70</v>
      </c>
      <c r="C109" s="5" t="s">
        <v>91</v>
      </c>
      <c r="D109" s="5" t="s">
        <v>357</v>
      </c>
      <c r="E109" s="33" t="n">
        <v>-18.725065</v>
      </c>
      <c r="F109" s="33" t="n">
        <v>-39.768647</v>
      </c>
      <c r="G109" s="5" t="s">
        <v>713</v>
      </c>
      <c r="H109" s="5" t="s">
        <v>714</v>
      </c>
      <c r="I109" s="25" t="s">
        <v>723</v>
      </c>
      <c r="J109" s="5" t="s">
        <v>174</v>
      </c>
      <c r="K109" s="5" t="s">
        <v>722</v>
      </c>
      <c r="L109" s="21" t="n">
        <v>245.8</v>
      </c>
      <c r="M109" s="5" t="s">
        <v>218</v>
      </c>
      <c r="N109" s="9"/>
    </row>
    <row r="110" customFormat="false" ht="15" hidden="false" customHeight="false" outlineLevel="0" collapsed="false">
      <c r="A110" s="5" t="n">
        <v>106</v>
      </c>
      <c r="B110" s="5" t="n">
        <v>70</v>
      </c>
      <c r="C110" s="5" t="s">
        <v>91</v>
      </c>
      <c r="D110" s="5" t="s">
        <v>326</v>
      </c>
      <c r="E110" s="33" t="n">
        <v>-18.7251</v>
      </c>
      <c r="F110" s="33" t="n">
        <v>-39.769237</v>
      </c>
      <c r="G110" s="5" t="s">
        <v>713</v>
      </c>
      <c r="H110" s="5" t="s">
        <v>714</v>
      </c>
      <c r="I110" s="25" t="s">
        <v>723</v>
      </c>
      <c r="J110" s="5" t="s">
        <v>174</v>
      </c>
      <c r="K110" s="5" t="s">
        <v>722</v>
      </c>
      <c r="L110" s="21" t="n">
        <v>243.7</v>
      </c>
      <c r="M110" s="5" t="s">
        <v>218</v>
      </c>
      <c r="N110" s="9"/>
    </row>
    <row r="111" customFormat="false" ht="15" hidden="false" customHeight="false" outlineLevel="0" collapsed="false">
      <c r="A111" s="5" t="n">
        <v>107</v>
      </c>
      <c r="B111" s="5" t="n">
        <v>70</v>
      </c>
      <c r="C111" s="5" t="s">
        <v>91</v>
      </c>
      <c r="D111" s="5" t="s">
        <v>168</v>
      </c>
      <c r="E111" s="33" t="n">
        <v>-18.725518</v>
      </c>
      <c r="F111" s="33" t="n">
        <v>-39.771077</v>
      </c>
      <c r="G111" s="5" t="s">
        <v>713</v>
      </c>
      <c r="H111" s="5" t="s">
        <v>714</v>
      </c>
      <c r="I111" s="22" t="s">
        <v>715</v>
      </c>
      <c r="J111" s="5" t="s">
        <v>716</v>
      </c>
      <c r="K111" s="5" t="s">
        <v>722</v>
      </c>
      <c r="L111" s="21" t="n">
        <v>130</v>
      </c>
      <c r="M111" s="5" t="s">
        <v>218</v>
      </c>
      <c r="N111" s="9" t="s">
        <v>740</v>
      </c>
    </row>
    <row r="112" customFormat="false" ht="15" hidden="false" customHeight="false" outlineLevel="0" collapsed="false">
      <c r="A112" s="5" t="n">
        <v>108</v>
      </c>
      <c r="B112" s="5" t="n">
        <v>70</v>
      </c>
      <c r="C112" s="5" t="s">
        <v>91</v>
      </c>
      <c r="D112" s="5" t="s">
        <v>168</v>
      </c>
      <c r="E112" s="33" t="n">
        <v>-18.72502</v>
      </c>
      <c r="F112" s="33" t="n">
        <v>-39.77058</v>
      </c>
      <c r="G112" s="5" t="s">
        <v>713</v>
      </c>
      <c r="H112" s="5" t="s">
        <v>714</v>
      </c>
      <c r="I112" s="25" t="s">
        <v>723</v>
      </c>
      <c r="J112" s="5" t="s">
        <v>174</v>
      </c>
      <c r="K112" s="5" t="s">
        <v>722</v>
      </c>
      <c r="L112" s="21" t="n">
        <v>35.8</v>
      </c>
      <c r="M112" s="5" t="s">
        <v>218</v>
      </c>
      <c r="N112" s="9" t="s">
        <v>741</v>
      </c>
    </row>
    <row r="113" customFormat="false" ht="15" hidden="false" customHeight="false" outlineLevel="0" collapsed="false">
      <c r="A113" s="5" t="n">
        <v>109</v>
      </c>
      <c r="B113" s="5" t="n">
        <v>70</v>
      </c>
      <c r="C113" s="5" t="s">
        <v>91</v>
      </c>
      <c r="D113" s="5" t="s">
        <v>168</v>
      </c>
      <c r="E113" s="33" t="n">
        <v>-18.724755</v>
      </c>
      <c r="F113" s="33" t="n">
        <v>-39.77058</v>
      </c>
      <c r="G113" s="5" t="s">
        <v>713</v>
      </c>
      <c r="H113" s="5" t="s">
        <v>714</v>
      </c>
      <c r="I113" s="22" t="s">
        <v>715</v>
      </c>
      <c r="J113" s="5" t="s">
        <v>716</v>
      </c>
      <c r="K113" s="5" t="s">
        <v>722</v>
      </c>
      <c r="L113" s="21" t="n">
        <v>68.7</v>
      </c>
      <c r="M113" s="5" t="s">
        <v>218</v>
      </c>
      <c r="N113" s="9" t="s">
        <v>740</v>
      </c>
    </row>
    <row r="114" customFormat="false" ht="22.35" hidden="false" customHeight="false" outlineLevel="0" collapsed="false">
      <c r="A114" s="5" t="n">
        <v>110</v>
      </c>
      <c r="B114" s="5" t="n">
        <v>70</v>
      </c>
      <c r="C114" s="5" t="s">
        <v>91</v>
      </c>
      <c r="D114" s="5" t="s">
        <v>168</v>
      </c>
      <c r="E114" s="33" t="n">
        <v>-18.725535</v>
      </c>
      <c r="F114" s="33" t="n">
        <v>-39.77044</v>
      </c>
      <c r="G114" s="5" t="s">
        <v>736</v>
      </c>
      <c r="H114" s="5" t="s">
        <v>218</v>
      </c>
      <c r="I114" s="25" t="s">
        <v>723</v>
      </c>
      <c r="J114" s="5" t="s">
        <v>174</v>
      </c>
      <c r="K114" s="5" t="s">
        <v>218</v>
      </c>
      <c r="L114" s="21" t="n">
        <v>114.1</v>
      </c>
      <c r="M114" s="5" t="s">
        <v>737</v>
      </c>
      <c r="N114" s="9" t="s">
        <v>742</v>
      </c>
    </row>
    <row r="115" customFormat="false" ht="15" hidden="false" customHeight="false" outlineLevel="0" collapsed="false">
      <c r="A115" s="5" t="n">
        <v>111</v>
      </c>
      <c r="B115" s="5" t="n">
        <v>70</v>
      </c>
      <c r="C115" s="5" t="s">
        <v>91</v>
      </c>
      <c r="D115" s="5" t="s">
        <v>168</v>
      </c>
      <c r="E115" s="33" t="n">
        <v>-18.724258</v>
      </c>
      <c r="F115" s="33" t="n">
        <v>-39.770266</v>
      </c>
      <c r="G115" s="5" t="s">
        <v>713</v>
      </c>
      <c r="H115" s="5" t="s">
        <v>714</v>
      </c>
      <c r="I115" s="22" t="s">
        <v>715</v>
      </c>
      <c r="J115" s="5" t="s">
        <v>716</v>
      </c>
      <c r="K115" s="5" t="s">
        <v>722</v>
      </c>
      <c r="L115" s="21" t="n">
        <v>59.6</v>
      </c>
      <c r="M115" s="5" t="s">
        <v>218</v>
      </c>
      <c r="N115" s="9" t="s">
        <v>740</v>
      </c>
    </row>
    <row r="116" customFormat="false" ht="15" hidden="false" customHeight="false" outlineLevel="0" collapsed="false">
      <c r="A116" s="5" t="n">
        <v>112</v>
      </c>
      <c r="B116" s="5" t="n">
        <v>70</v>
      </c>
      <c r="C116" s="5" t="s">
        <v>91</v>
      </c>
      <c r="D116" s="5" t="s">
        <v>168</v>
      </c>
      <c r="E116" s="33" t="n">
        <v>-18.72501</v>
      </c>
      <c r="F116" s="33" t="n">
        <v>-39.770115</v>
      </c>
      <c r="G116" s="5" t="s">
        <v>713</v>
      </c>
      <c r="H116" s="5" t="s">
        <v>714</v>
      </c>
      <c r="I116" s="22" t="s">
        <v>715</v>
      </c>
      <c r="J116" s="5" t="s">
        <v>716</v>
      </c>
      <c r="K116" s="5" t="s">
        <v>722</v>
      </c>
      <c r="L116" s="21" t="n">
        <v>62.2</v>
      </c>
      <c r="M116" s="5" t="s">
        <v>218</v>
      </c>
      <c r="N116" s="9" t="s">
        <v>743</v>
      </c>
    </row>
    <row r="117" customFormat="false" ht="15" hidden="false" customHeight="false" outlineLevel="0" collapsed="false">
      <c r="A117" s="5" t="n">
        <v>113</v>
      </c>
      <c r="B117" s="5" t="n">
        <v>70</v>
      </c>
      <c r="C117" s="5" t="s">
        <v>91</v>
      </c>
      <c r="D117" s="5" t="s">
        <v>168</v>
      </c>
      <c r="E117" s="33" t="n">
        <v>-18.724938</v>
      </c>
      <c r="F117" s="33" t="n">
        <v>-39.767948</v>
      </c>
      <c r="G117" s="5" t="s">
        <v>713</v>
      </c>
      <c r="H117" s="5" t="s">
        <v>714</v>
      </c>
      <c r="I117" s="25" t="s">
        <v>723</v>
      </c>
      <c r="J117" s="5" t="s">
        <v>174</v>
      </c>
      <c r="K117" s="5" t="s">
        <v>722</v>
      </c>
      <c r="L117" s="21" t="n">
        <v>395.1</v>
      </c>
      <c r="M117" s="5" t="s">
        <v>218</v>
      </c>
      <c r="N117" s="9"/>
    </row>
    <row r="118" customFormat="false" ht="15" hidden="false" customHeight="false" outlineLevel="0" collapsed="false">
      <c r="A118" s="5" t="n">
        <v>114</v>
      </c>
      <c r="B118" s="5" t="n">
        <v>70</v>
      </c>
      <c r="C118" s="5" t="s">
        <v>91</v>
      </c>
      <c r="D118" s="5" t="s">
        <v>168</v>
      </c>
      <c r="E118" s="33" t="n">
        <v>-18.724819</v>
      </c>
      <c r="F118" s="33" t="n">
        <v>-39.764203</v>
      </c>
      <c r="G118" s="5" t="s">
        <v>713</v>
      </c>
      <c r="H118" s="5" t="s">
        <v>714</v>
      </c>
      <c r="I118" s="25" t="s">
        <v>723</v>
      </c>
      <c r="J118" s="5" t="s">
        <v>174</v>
      </c>
      <c r="K118" s="5" t="s">
        <v>722</v>
      </c>
      <c r="L118" s="21" t="n">
        <v>395.1</v>
      </c>
      <c r="M118" s="5" t="s">
        <v>218</v>
      </c>
      <c r="N118" s="9"/>
    </row>
    <row r="119" customFormat="false" ht="22.35" hidden="false" customHeight="false" outlineLevel="0" collapsed="false">
      <c r="A119" s="5" t="n">
        <v>115</v>
      </c>
      <c r="B119" s="5" t="n">
        <v>70</v>
      </c>
      <c r="C119" s="5" t="s">
        <v>91</v>
      </c>
      <c r="D119" s="5" t="s">
        <v>168</v>
      </c>
      <c r="E119" s="33" t="n">
        <v>-18.724505</v>
      </c>
      <c r="F119" s="33" t="n">
        <v>-39.7698</v>
      </c>
      <c r="G119" s="5" t="s">
        <v>736</v>
      </c>
      <c r="H119" s="5" t="s">
        <v>218</v>
      </c>
      <c r="I119" s="25" t="s">
        <v>723</v>
      </c>
      <c r="J119" s="5" t="s">
        <v>174</v>
      </c>
      <c r="K119" s="5" t="s">
        <v>218</v>
      </c>
      <c r="L119" s="21" t="n">
        <v>109.7</v>
      </c>
      <c r="M119" s="5" t="s">
        <v>737</v>
      </c>
      <c r="N119" s="9" t="s">
        <v>744</v>
      </c>
    </row>
    <row r="120" customFormat="false" ht="15" hidden="false" customHeight="false" outlineLevel="0" collapsed="false">
      <c r="A120" s="5" t="n">
        <v>116</v>
      </c>
      <c r="B120" s="5" t="n">
        <v>70</v>
      </c>
      <c r="C120" s="5" t="s">
        <v>91</v>
      </c>
      <c r="D120" s="5" t="s">
        <v>168</v>
      </c>
      <c r="E120" s="33" t="n">
        <v>-18.726027</v>
      </c>
      <c r="F120" s="33" t="n">
        <v>-39.769228</v>
      </c>
      <c r="G120" s="5" t="s">
        <v>736</v>
      </c>
      <c r="H120" s="5" t="s">
        <v>218</v>
      </c>
      <c r="I120" s="25" t="s">
        <v>723</v>
      </c>
      <c r="J120" s="5" t="s">
        <v>174</v>
      </c>
      <c r="K120" s="5" t="s">
        <v>218</v>
      </c>
      <c r="L120" s="21" t="n">
        <v>360.3</v>
      </c>
      <c r="M120" s="5" t="s">
        <v>737</v>
      </c>
      <c r="N120" s="9" t="s">
        <v>745</v>
      </c>
    </row>
    <row r="121" customFormat="false" ht="15" hidden="false" customHeight="false" outlineLevel="0" collapsed="false">
      <c r="A121" s="5" t="n">
        <v>117</v>
      </c>
      <c r="B121" s="5" t="n">
        <v>70</v>
      </c>
      <c r="C121" s="5" t="s">
        <v>91</v>
      </c>
      <c r="D121" s="5" t="s">
        <v>168</v>
      </c>
      <c r="E121" s="33" t="n">
        <v>-18.725924</v>
      </c>
      <c r="F121" s="33" t="n">
        <v>-39.765814</v>
      </c>
      <c r="G121" s="5" t="s">
        <v>713</v>
      </c>
      <c r="H121" s="5" t="s">
        <v>719</v>
      </c>
      <c r="I121" s="25" t="s">
        <v>723</v>
      </c>
      <c r="J121" s="5" t="s">
        <v>174</v>
      </c>
      <c r="K121" s="5" t="s">
        <v>722</v>
      </c>
      <c r="L121" s="21" t="n">
        <v>360.3</v>
      </c>
      <c r="M121" s="5" t="s">
        <v>218</v>
      </c>
      <c r="N121" s="9"/>
    </row>
    <row r="122" customFormat="false" ht="15" hidden="false" customHeight="false" outlineLevel="0" collapsed="false">
      <c r="A122" s="5" t="n">
        <v>118</v>
      </c>
      <c r="B122" s="5" t="n">
        <v>70</v>
      </c>
      <c r="C122" s="5" t="s">
        <v>91</v>
      </c>
      <c r="D122" s="5" t="s">
        <v>168</v>
      </c>
      <c r="E122" s="33" t="n">
        <v>-18.725796</v>
      </c>
      <c r="F122" s="33" t="n">
        <v>-39.7624</v>
      </c>
      <c r="G122" s="5" t="s">
        <v>713</v>
      </c>
      <c r="H122" s="5" t="s">
        <v>719</v>
      </c>
      <c r="I122" s="25" t="s">
        <v>723</v>
      </c>
      <c r="J122" s="5" t="s">
        <v>174</v>
      </c>
      <c r="K122" s="5" t="s">
        <v>722</v>
      </c>
      <c r="L122" s="21" t="n">
        <v>360.3</v>
      </c>
      <c r="M122" s="5" t="s">
        <v>218</v>
      </c>
      <c r="N122" s="9"/>
    </row>
    <row r="123" customFormat="false" ht="15" hidden="false" customHeight="false" outlineLevel="0" collapsed="false">
      <c r="A123" s="5" t="n">
        <v>119</v>
      </c>
      <c r="B123" s="5" t="n">
        <v>70</v>
      </c>
      <c r="C123" s="5" t="s">
        <v>91</v>
      </c>
      <c r="D123" s="5" t="s">
        <v>644</v>
      </c>
      <c r="E123" s="33" t="n">
        <v>-18.724969</v>
      </c>
      <c r="F123" s="33" t="n">
        <v>-39.768061</v>
      </c>
      <c r="G123" s="5" t="s">
        <v>713</v>
      </c>
      <c r="H123" s="5" t="s">
        <v>714</v>
      </c>
      <c r="I123" s="25" t="s">
        <v>721</v>
      </c>
      <c r="J123" s="5" t="s">
        <v>174</v>
      </c>
      <c r="K123" s="5" t="s">
        <v>722</v>
      </c>
      <c r="L123" s="21" t="n">
        <v>230.6</v>
      </c>
      <c r="M123" s="5" t="s">
        <v>218</v>
      </c>
      <c r="N123" s="9"/>
    </row>
    <row r="124" customFormat="false" ht="15" hidden="false" customHeight="false" outlineLevel="0" collapsed="false">
      <c r="A124" s="5" t="n">
        <v>120</v>
      </c>
      <c r="B124" s="5" t="n">
        <v>84</v>
      </c>
      <c r="C124" s="5" t="s">
        <v>105</v>
      </c>
      <c r="D124" s="10" t="s">
        <v>746</v>
      </c>
      <c r="E124" s="33" t="n">
        <v>-18.725743</v>
      </c>
      <c r="F124" s="33" t="n">
        <v>-39.760657</v>
      </c>
      <c r="G124" s="5" t="s">
        <v>713</v>
      </c>
      <c r="H124" s="5" t="s">
        <v>719</v>
      </c>
      <c r="I124" s="25" t="s">
        <v>723</v>
      </c>
      <c r="J124" s="5" t="s">
        <v>174</v>
      </c>
      <c r="K124" s="5" t="s">
        <v>722</v>
      </c>
      <c r="L124" s="21" t="n">
        <v>39.4</v>
      </c>
      <c r="M124" s="5" t="s">
        <v>218</v>
      </c>
      <c r="N124" s="9"/>
    </row>
    <row r="125" customFormat="false" ht="15" hidden="false" customHeight="false" outlineLevel="0" collapsed="false">
      <c r="A125" s="5" t="n">
        <v>121</v>
      </c>
      <c r="B125" s="5" t="n">
        <v>84</v>
      </c>
      <c r="C125" s="5" t="s">
        <v>105</v>
      </c>
      <c r="D125" s="10" t="s">
        <v>746</v>
      </c>
      <c r="E125" s="33" t="n">
        <v>-18.724696</v>
      </c>
      <c r="F125" s="33" t="n">
        <v>-39.760619</v>
      </c>
      <c r="G125" s="5" t="s">
        <v>713</v>
      </c>
      <c r="H125" s="5" t="s">
        <v>719</v>
      </c>
      <c r="I125" s="25" t="s">
        <v>723</v>
      </c>
      <c r="J125" s="5" t="s">
        <v>174</v>
      </c>
      <c r="K125" s="5" t="s">
        <v>722</v>
      </c>
      <c r="L125" s="21" t="n">
        <v>37.8</v>
      </c>
      <c r="M125" s="5" t="s">
        <v>218</v>
      </c>
      <c r="N125" s="9"/>
    </row>
    <row r="126" customFormat="false" ht="15" hidden="false" customHeight="false" outlineLevel="0" collapsed="false">
      <c r="A126" s="5" t="n">
        <v>122</v>
      </c>
      <c r="B126" s="5" t="n">
        <v>84</v>
      </c>
      <c r="C126" s="5" t="s">
        <v>105</v>
      </c>
      <c r="D126" s="10" t="s">
        <v>746</v>
      </c>
      <c r="E126" s="33" t="n">
        <v>-18.72573</v>
      </c>
      <c r="F126" s="33" t="n">
        <v>-39.760175</v>
      </c>
      <c r="G126" s="5" t="s">
        <v>736</v>
      </c>
      <c r="H126" s="5" t="s">
        <v>218</v>
      </c>
      <c r="I126" s="25" t="s">
        <v>723</v>
      </c>
      <c r="J126" s="5" t="s">
        <v>174</v>
      </c>
      <c r="K126" s="5" t="s">
        <v>218</v>
      </c>
      <c r="L126" s="21" t="n">
        <v>62.2</v>
      </c>
      <c r="M126" s="5" t="s">
        <v>737</v>
      </c>
      <c r="N126" s="9" t="s">
        <v>747</v>
      </c>
    </row>
    <row r="127" customFormat="false" ht="15" hidden="false" customHeight="false" outlineLevel="0" collapsed="false">
      <c r="A127" s="5" t="n">
        <v>123</v>
      </c>
      <c r="B127" s="5" t="n">
        <v>84</v>
      </c>
      <c r="C127" s="5" t="s">
        <v>105</v>
      </c>
      <c r="D127" s="10" t="s">
        <v>746</v>
      </c>
      <c r="E127" s="33" t="n">
        <v>-18.725215</v>
      </c>
      <c r="F127" s="33" t="n">
        <v>-39.760455</v>
      </c>
      <c r="G127" s="5" t="s">
        <v>736</v>
      </c>
      <c r="H127" s="5" t="s">
        <v>218</v>
      </c>
      <c r="I127" s="25" t="s">
        <v>723</v>
      </c>
      <c r="J127" s="5" t="s">
        <v>174</v>
      </c>
      <c r="K127" s="5" t="s">
        <v>218</v>
      </c>
      <c r="L127" s="21" t="n">
        <v>116.2</v>
      </c>
      <c r="M127" s="5" t="s">
        <v>737</v>
      </c>
      <c r="N127" s="9" t="s">
        <v>748</v>
      </c>
    </row>
    <row r="128" customFormat="false" ht="15" hidden="false" customHeight="false" outlineLevel="0" collapsed="false">
      <c r="A128" s="5" t="n">
        <v>124</v>
      </c>
      <c r="B128" s="5" t="n">
        <v>84</v>
      </c>
      <c r="C128" s="5" t="s">
        <v>105</v>
      </c>
      <c r="D128" s="10" t="s">
        <v>746</v>
      </c>
      <c r="E128" s="33" t="n">
        <v>-18.72468</v>
      </c>
      <c r="F128" s="33" t="n">
        <v>-39.76013</v>
      </c>
      <c r="G128" s="5" t="s">
        <v>736</v>
      </c>
      <c r="H128" s="5" t="s">
        <v>218</v>
      </c>
      <c r="I128" s="25" t="s">
        <v>723</v>
      </c>
      <c r="J128" s="5" t="s">
        <v>174</v>
      </c>
      <c r="K128" s="5" t="s">
        <v>218</v>
      </c>
      <c r="L128" s="21" t="n">
        <v>65.4</v>
      </c>
      <c r="M128" s="5" t="s">
        <v>737</v>
      </c>
      <c r="N128" s="9" t="s">
        <v>749</v>
      </c>
    </row>
    <row r="129" customFormat="false" ht="15" hidden="false" customHeight="false" outlineLevel="0" collapsed="false">
      <c r="A129" s="5" t="n">
        <v>125</v>
      </c>
      <c r="B129" s="5" t="n">
        <v>84</v>
      </c>
      <c r="C129" s="5" t="s">
        <v>105</v>
      </c>
      <c r="D129" s="10" t="s">
        <v>746</v>
      </c>
      <c r="E129" s="33" t="n">
        <v>-18.72415</v>
      </c>
      <c r="F129" s="33" t="n">
        <v>-39.76041</v>
      </c>
      <c r="G129" s="5" t="s">
        <v>736</v>
      </c>
      <c r="H129" s="5" t="s">
        <v>218</v>
      </c>
      <c r="I129" s="25" t="s">
        <v>723</v>
      </c>
      <c r="J129" s="5" t="s">
        <v>174</v>
      </c>
      <c r="K129" s="5" t="s">
        <v>218</v>
      </c>
      <c r="L129" s="21" t="n">
        <v>119.7</v>
      </c>
      <c r="M129" s="5" t="s">
        <v>737</v>
      </c>
      <c r="N129" s="9" t="s">
        <v>750</v>
      </c>
    </row>
    <row r="130" customFormat="false" ht="15" hidden="false" customHeight="false" outlineLevel="0" collapsed="false">
      <c r="A130" s="5" t="n">
        <v>126</v>
      </c>
      <c r="B130" s="5" t="n">
        <v>84</v>
      </c>
      <c r="C130" s="5" t="s">
        <v>105</v>
      </c>
      <c r="D130" s="10" t="s">
        <v>746</v>
      </c>
      <c r="E130" s="33" t="n">
        <v>-18.72571</v>
      </c>
      <c r="F130" s="33" t="n">
        <v>-39.759585</v>
      </c>
      <c r="G130" s="5" t="s">
        <v>713</v>
      </c>
      <c r="H130" s="5" t="s">
        <v>719</v>
      </c>
      <c r="I130" s="25" t="s">
        <v>723</v>
      </c>
      <c r="J130" s="5" t="s">
        <v>174</v>
      </c>
      <c r="K130" s="5" t="s">
        <v>720</v>
      </c>
      <c r="L130" s="21" t="n">
        <v>62.2</v>
      </c>
      <c r="M130" s="5" t="s">
        <v>218</v>
      </c>
      <c r="N130" s="9" t="s">
        <v>751</v>
      </c>
    </row>
    <row r="131" customFormat="false" ht="15" hidden="false" customHeight="false" outlineLevel="0" collapsed="false">
      <c r="A131" s="5" t="n">
        <v>127</v>
      </c>
      <c r="B131" s="5" t="n">
        <v>84</v>
      </c>
      <c r="C131" s="5" t="s">
        <v>105</v>
      </c>
      <c r="D131" s="10" t="s">
        <v>746</v>
      </c>
      <c r="E131" s="33" t="n">
        <v>-18.725195</v>
      </c>
      <c r="F131" s="33" t="n">
        <v>-39.75985</v>
      </c>
      <c r="G131" s="5" t="s">
        <v>736</v>
      </c>
      <c r="H131" s="5" t="s">
        <v>218</v>
      </c>
      <c r="I131" s="25" t="s">
        <v>723</v>
      </c>
      <c r="J131" s="5" t="s">
        <v>174</v>
      </c>
      <c r="K131" s="5" t="s">
        <v>218</v>
      </c>
      <c r="L131" s="21" t="n">
        <v>116.4</v>
      </c>
      <c r="M131" s="5" t="s">
        <v>737</v>
      </c>
      <c r="N131" s="9" t="s">
        <v>752</v>
      </c>
    </row>
    <row r="132" customFormat="false" ht="15" hidden="false" customHeight="false" outlineLevel="0" collapsed="false">
      <c r="A132" s="5" t="n">
        <v>128</v>
      </c>
      <c r="B132" s="5" t="n">
        <v>84</v>
      </c>
      <c r="C132" s="5" t="s">
        <v>105</v>
      </c>
      <c r="D132" s="10" t="s">
        <v>746</v>
      </c>
      <c r="E132" s="33" t="n">
        <v>-18.72466</v>
      </c>
      <c r="F132" s="33" t="n">
        <v>-39.75955</v>
      </c>
      <c r="G132" s="5" t="s">
        <v>736</v>
      </c>
      <c r="H132" s="5" t="s">
        <v>218</v>
      </c>
      <c r="I132" s="25" t="s">
        <v>723</v>
      </c>
      <c r="J132" s="5" t="s">
        <v>174</v>
      </c>
      <c r="K132" s="5" t="s">
        <v>218</v>
      </c>
      <c r="L132" s="21" t="n">
        <v>57</v>
      </c>
      <c r="M132" s="5" t="s">
        <v>737</v>
      </c>
      <c r="N132" s="9" t="s">
        <v>753</v>
      </c>
    </row>
    <row r="133" customFormat="false" ht="15" hidden="false" customHeight="false" outlineLevel="0" collapsed="false">
      <c r="A133" s="5" t="n">
        <v>129</v>
      </c>
      <c r="B133" s="5" t="n">
        <v>84</v>
      </c>
      <c r="C133" s="5" t="s">
        <v>105</v>
      </c>
      <c r="D133" s="10" t="s">
        <v>746</v>
      </c>
      <c r="E133" s="33" t="n">
        <v>-18.724165</v>
      </c>
      <c r="F133" s="33" t="n">
        <v>-39.759805</v>
      </c>
      <c r="G133" s="5" t="s">
        <v>736</v>
      </c>
      <c r="H133" s="5" t="s">
        <v>218</v>
      </c>
      <c r="I133" s="25" t="s">
        <v>723</v>
      </c>
      <c r="J133" s="5" t="s">
        <v>174</v>
      </c>
      <c r="K133" s="5" t="s">
        <v>218</v>
      </c>
      <c r="L133" s="21" t="n">
        <v>111.8</v>
      </c>
      <c r="M133" s="5" t="s">
        <v>737</v>
      </c>
      <c r="N133" s="9" t="s">
        <v>754</v>
      </c>
    </row>
    <row r="134" customFormat="false" ht="15" hidden="false" customHeight="false" outlineLevel="0" collapsed="false">
      <c r="A134" s="5" t="n">
        <v>130</v>
      </c>
      <c r="B134" s="5" t="n">
        <v>84</v>
      </c>
      <c r="C134" s="5" t="s">
        <v>105</v>
      </c>
      <c r="D134" s="10" t="s">
        <v>746</v>
      </c>
      <c r="E134" s="33" t="n">
        <v>-18.725697</v>
      </c>
      <c r="F134" s="33" t="n">
        <v>-39.759115</v>
      </c>
      <c r="G134" s="5" t="s">
        <v>713</v>
      </c>
      <c r="H134" s="5" t="s">
        <v>719</v>
      </c>
      <c r="I134" s="25" t="s">
        <v>723</v>
      </c>
      <c r="J134" s="5" t="s">
        <v>174</v>
      </c>
      <c r="K134" s="5" t="s">
        <v>720</v>
      </c>
      <c r="L134" s="21" t="n">
        <v>37</v>
      </c>
      <c r="M134" s="5" t="s">
        <v>218</v>
      </c>
      <c r="N134" s="9" t="s">
        <v>755</v>
      </c>
    </row>
    <row r="135" customFormat="false" ht="15" hidden="false" customHeight="false" outlineLevel="0" collapsed="false">
      <c r="A135" s="5" t="n">
        <v>131</v>
      </c>
      <c r="B135" s="5" t="n">
        <v>84</v>
      </c>
      <c r="C135" s="5" t="s">
        <v>105</v>
      </c>
      <c r="D135" s="10" t="s">
        <v>746</v>
      </c>
      <c r="E135" s="33" t="n">
        <v>-18.725175</v>
      </c>
      <c r="F135" s="33" t="n">
        <v>-39.759285</v>
      </c>
      <c r="G135" s="5" t="s">
        <v>736</v>
      </c>
      <c r="H135" s="5" t="s">
        <v>218</v>
      </c>
      <c r="I135" s="25" t="s">
        <v>723</v>
      </c>
      <c r="J135" s="5" t="s">
        <v>174</v>
      </c>
      <c r="K135" s="5" t="s">
        <v>218</v>
      </c>
      <c r="L135" s="21" t="n">
        <v>116.2</v>
      </c>
      <c r="M135" s="5" t="s">
        <v>737</v>
      </c>
      <c r="N135" s="9" t="s">
        <v>754</v>
      </c>
    </row>
    <row r="136" customFormat="false" ht="15" hidden="false" customHeight="false" outlineLevel="0" collapsed="false">
      <c r="A136" s="5" t="n">
        <v>132</v>
      </c>
      <c r="B136" s="5" t="n">
        <v>84</v>
      </c>
      <c r="C136" s="5" t="s">
        <v>105</v>
      </c>
      <c r="D136" s="10" t="s">
        <v>746</v>
      </c>
      <c r="E136" s="33" t="n">
        <v>-18.72415</v>
      </c>
      <c r="F136" s="33" t="n">
        <v>-39.75925</v>
      </c>
      <c r="G136" s="5" t="s">
        <v>736</v>
      </c>
      <c r="H136" s="5" t="s">
        <v>218</v>
      </c>
      <c r="I136" s="25" t="s">
        <v>723</v>
      </c>
      <c r="J136" s="5" t="s">
        <v>174</v>
      </c>
      <c r="K136" s="5" t="s">
        <v>218</v>
      </c>
      <c r="L136" s="21" t="n">
        <v>110.8</v>
      </c>
      <c r="M136" s="5" t="s">
        <v>737</v>
      </c>
      <c r="N136" s="9" t="s">
        <v>754</v>
      </c>
    </row>
    <row r="137" customFormat="false" ht="22.35" hidden="false" customHeight="false" outlineLevel="0" collapsed="false">
      <c r="A137" s="5" t="n">
        <v>133</v>
      </c>
      <c r="B137" s="5" t="n">
        <v>84</v>
      </c>
      <c r="C137" s="5" t="s">
        <v>105</v>
      </c>
      <c r="D137" s="10" t="s">
        <v>746</v>
      </c>
      <c r="E137" s="33" t="n">
        <v>-18.724465</v>
      </c>
      <c r="F137" s="33" t="n">
        <v>-39.758731</v>
      </c>
      <c r="G137" s="5" t="s">
        <v>736</v>
      </c>
      <c r="H137" s="5" t="s">
        <v>218</v>
      </c>
      <c r="I137" s="25" t="s">
        <v>723</v>
      </c>
      <c r="J137" s="5" t="s">
        <v>174</v>
      </c>
      <c r="K137" s="5" t="s">
        <v>218</v>
      </c>
      <c r="L137" s="21" t="n">
        <v>84.8</v>
      </c>
      <c r="M137" s="5" t="s">
        <v>141</v>
      </c>
      <c r="N137" s="9" t="s">
        <v>756</v>
      </c>
    </row>
    <row r="138" customFormat="false" ht="22.35" hidden="false" customHeight="false" outlineLevel="0" collapsed="false">
      <c r="A138" s="5" t="n">
        <v>134</v>
      </c>
      <c r="B138" s="5" t="n">
        <v>80</v>
      </c>
      <c r="C138" s="5" t="s">
        <v>101</v>
      </c>
      <c r="D138" s="10" t="s">
        <v>746</v>
      </c>
      <c r="E138" s="33" t="n">
        <v>-18.7242</v>
      </c>
      <c r="F138" s="33" t="n">
        <v>-39.75695</v>
      </c>
      <c r="G138" s="5" t="s">
        <v>736</v>
      </c>
      <c r="H138" s="5" t="s">
        <v>218</v>
      </c>
      <c r="I138" s="22" t="s">
        <v>725</v>
      </c>
      <c r="J138" s="5" t="s">
        <v>716</v>
      </c>
      <c r="K138" s="5" t="s">
        <v>218</v>
      </c>
      <c r="L138" s="21" t="n">
        <v>244.7</v>
      </c>
      <c r="M138" s="5" t="s">
        <v>141</v>
      </c>
      <c r="N138" s="9" t="s">
        <v>757</v>
      </c>
    </row>
    <row r="139" customFormat="false" ht="15" hidden="false" customHeight="false" outlineLevel="0" collapsed="false">
      <c r="A139" s="5" t="n">
        <v>135</v>
      </c>
      <c r="B139" s="5" t="n">
        <v>80</v>
      </c>
      <c r="C139" s="5" t="s">
        <v>101</v>
      </c>
      <c r="D139" s="10" t="s">
        <v>746</v>
      </c>
      <c r="E139" s="33" t="n">
        <v>-18.723572</v>
      </c>
      <c r="F139" s="33" t="n">
        <v>-39.757272</v>
      </c>
      <c r="G139" s="5" t="s">
        <v>736</v>
      </c>
      <c r="H139" s="5" t="s">
        <v>218</v>
      </c>
      <c r="I139" s="22" t="s">
        <v>725</v>
      </c>
      <c r="J139" s="5" t="s">
        <v>716</v>
      </c>
      <c r="K139" s="5" t="s">
        <v>218</v>
      </c>
      <c r="L139" s="21" t="n">
        <v>308.5</v>
      </c>
      <c r="M139" s="5" t="s">
        <v>141</v>
      </c>
      <c r="N139" s="9" t="s">
        <v>758</v>
      </c>
    </row>
    <row r="140" customFormat="false" ht="15" hidden="false" customHeight="false" outlineLevel="0" collapsed="false">
      <c r="A140" s="5" t="n">
        <v>136</v>
      </c>
      <c r="B140" s="5" t="n">
        <v>80</v>
      </c>
      <c r="C140" s="5" t="s">
        <v>101</v>
      </c>
      <c r="D140" s="10" t="s">
        <v>746</v>
      </c>
      <c r="E140" s="33" t="n">
        <v>-18.72428</v>
      </c>
      <c r="F140" s="33" t="n">
        <v>-39.75811</v>
      </c>
      <c r="G140" s="5" t="s">
        <v>736</v>
      </c>
      <c r="H140" s="5" t="s">
        <v>218</v>
      </c>
      <c r="I140" s="22" t="s">
        <v>725</v>
      </c>
      <c r="J140" s="5" t="s">
        <v>716</v>
      </c>
      <c r="K140" s="5" t="s">
        <v>218</v>
      </c>
      <c r="L140" s="21" t="n">
        <v>11.1</v>
      </c>
      <c r="M140" s="5" t="s">
        <v>141</v>
      </c>
      <c r="N140" s="9" t="s">
        <v>759</v>
      </c>
    </row>
    <row r="141" customFormat="false" ht="15" hidden="false" customHeight="false" outlineLevel="0" collapsed="false">
      <c r="A141" s="5" t="n">
        <v>137</v>
      </c>
      <c r="B141" s="5" t="n">
        <v>80</v>
      </c>
      <c r="C141" s="5" t="s">
        <v>101</v>
      </c>
      <c r="D141" s="10" t="s">
        <v>746</v>
      </c>
      <c r="E141" s="33" t="n">
        <v>-18.7243</v>
      </c>
      <c r="F141" s="33" t="n">
        <v>-39.75695</v>
      </c>
      <c r="G141" s="5" t="s">
        <v>736</v>
      </c>
      <c r="H141" s="5" t="s">
        <v>218</v>
      </c>
      <c r="I141" s="22" t="s">
        <v>725</v>
      </c>
      <c r="J141" s="5" t="s">
        <v>716</v>
      </c>
      <c r="K141" s="5" t="s">
        <v>218</v>
      </c>
      <c r="L141" s="21" t="n">
        <v>244.7</v>
      </c>
      <c r="M141" s="5" t="s">
        <v>141</v>
      </c>
      <c r="N141" s="9" t="s">
        <v>760</v>
      </c>
    </row>
    <row r="142" customFormat="false" ht="15" hidden="false" customHeight="false" outlineLevel="0" collapsed="false">
      <c r="A142" s="5" t="n">
        <v>138</v>
      </c>
      <c r="B142" s="5" t="n">
        <v>80</v>
      </c>
      <c r="C142" s="5" t="s">
        <v>101</v>
      </c>
      <c r="D142" s="10" t="s">
        <v>746</v>
      </c>
      <c r="E142" s="33" t="n">
        <v>-18.72466</v>
      </c>
      <c r="F142" s="33" t="n">
        <v>-39.758095</v>
      </c>
      <c r="G142" s="5" t="s">
        <v>736</v>
      </c>
      <c r="H142" s="5" t="s">
        <v>218</v>
      </c>
      <c r="I142" s="22" t="s">
        <v>725</v>
      </c>
      <c r="J142" s="5" t="s">
        <v>716</v>
      </c>
      <c r="K142" s="5" t="s">
        <v>218</v>
      </c>
      <c r="L142" s="21" t="n">
        <v>73.1</v>
      </c>
      <c r="M142" s="5" t="s">
        <v>141</v>
      </c>
      <c r="N142" s="9" t="s">
        <v>761</v>
      </c>
    </row>
    <row r="143" customFormat="false" ht="15" hidden="false" customHeight="false" outlineLevel="0" collapsed="false">
      <c r="A143" s="5" t="n">
        <v>139</v>
      </c>
      <c r="B143" s="5" t="n">
        <v>80</v>
      </c>
      <c r="C143" s="5" t="s">
        <v>101</v>
      </c>
      <c r="D143" s="10" t="s">
        <v>746</v>
      </c>
      <c r="E143" s="33" t="n">
        <v>-18.72496</v>
      </c>
      <c r="F143" s="33" t="n">
        <v>-39.756925</v>
      </c>
      <c r="G143" s="5" t="s">
        <v>736</v>
      </c>
      <c r="H143" s="5" t="s">
        <v>218</v>
      </c>
      <c r="I143" s="22" t="s">
        <v>725</v>
      </c>
      <c r="J143" s="5" t="s">
        <v>716</v>
      </c>
      <c r="K143" s="5" t="s">
        <v>218</v>
      </c>
      <c r="L143" s="21" t="n">
        <v>243.6</v>
      </c>
      <c r="M143" s="5" t="s">
        <v>141</v>
      </c>
      <c r="N143" s="9" t="s">
        <v>762</v>
      </c>
    </row>
    <row r="144" customFormat="false" ht="15" hidden="false" customHeight="false" outlineLevel="0" collapsed="false">
      <c r="A144" s="5" t="n">
        <v>140</v>
      </c>
      <c r="B144" s="5" t="n">
        <v>80</v>
      </c>
      <c r="C144" s="5" t="s">
        <v>101</v>
      </c>
      <c r="D144" s="10" t="s">
        <v>746</v>
      </c>
      <c r="E144" s="33" t="n">
        <v>-18.725191</v>
      </c>
      <c r="F144" s="33" t="n">
        <v>-39.75807</v>
      </c>
      <c r="G144" s="5" t="s">
        <v>736</v>
      </c>
      <c r="H144" s="5" t="s">
        <v>218</v>
      </c>
      <c r="I144" s="22" t="s">
        <v>725</v>
      </c>
      <c r="J144" s="5" t="s">
        <v>716</v>
      </c>
      <c r="K144" s="5" t="s">
        <v>218</v>
      </c>
      <c r="L144" s="21" t="n">
        <v>44.5</v>
      </c>
      <c r="M144" s="5" t="s">
        <v>141</v>
      </c>
      <c r="N144" s="9" t="s">
        <v>763</v>
      </c>
    </row>
    <row r="145" customFormat="false" ht="15" hidden="false" customHeight="false" outlineLevel="0" collapsed="false">
      <c r="A145" s="5" t="n">
        <v>141</v>
      </c>
      <c r="B145" s="5" t="n">
        <v>80</v>
      </c>
      <c r="C145" s="5" t="s">
        <v>101</v>
      </c>
      <c r="D145" s="10" t="s">
        <v>746</v>
      </c>
      <c r="E145" s="33" t="n">
        <v>-18.723465</v>
      </c>
      <c r="F145" s="33" t="n">
        <v>-39.75466</v>
      </c>
      <c r="G145" s="5" t="s">
        <v>736</v>
      </c>
      <c r="H145" s="5" t="s">
        <v>218</v>
      </c>
      <c r="I145" s="22" t="s">
        <v>725</v>
      </c>
      <c r="J145" s="5" t="s">
        <v>716</v>
      </c>
      <c r="K145" s="5" t="s">
        <v>218</v>
      </c>
      <c r="L145" s="21" t="n">
        <v>242.8</v>
      </c>
      <c r="M145" s="5" t="s">
        <v>141</v>
      </c>
      <c r="N145" s="9" t="s">
        <v>764</v>
      </c>
    </row>
    <row r="146" customFormat="false" ht="15" hidden="false" customHeight="false" outlineLevel="0" collapsed="false">
      <c r="A146" s="5" t="n">
        <v>142</v>
      </c>
      <c r="B146" s="5" t="n">
        <v>80</v>
      </c>
      <c r="C146" s="5" t="s">
        <v>101</v>
      </c>
      <c r="D146" s="10" t="s">
        <v>746</v>
      </c>
      <c r="E146" s="33" t="n">
        <v>-18.723845</v>
      </c>
      <c r="F146" s="33" t="n">
        <v>-39.7558</v>
      </c>
      <c r="G146" s="5" t="s">
        <v>736</v>
      </c>
      <c r="H146" s="5" t="s">
        <v>218</v>
      </c>
      <c r="I146" s="22" t="s">
        <v>725</v>
      </c>
      <c r="J146" s="5" t="s">
        <v>716</v>
      </c>
      <c r="K146" s="5" t="s">
        <v>218</v>
      </c>
      <c r="L146" s="21" t="n">
        <v>72</v>
      </c>
      <c r="M146" s="5" t="s">
        <v>141</v>
      </c>
      <c r="N146" s="9" t="s">
        <v>765</v>
      </c>
    </row>
    <row r="147" customFormat="false" ht="15" hidden="false" customHeight="false" outlineLevel="0" collapsed="false">
      <c r="A147" s="5" t="n">
        <v>143</v>
      </c>
      <c r="B147" s="5" t="n">
        <v>80</v>
      </c>
      <c r="C147" s="5" t="s">
        <v>101</v>
      </c>
      <c r="D147" s="10" t="s">
        <v>746</v>
      </c>
      <c r="E147" s="33" t="n">
        <v>-18.724135</v>
      </c>
      <c r="F147" s="33" t="n">
        <v>-39.754635</v>
      </c>
      <c r="G147" s="5" t="s">
        <v>736</v>
      </c>
      <c r="H147" s="5" t="s">
        <v>218</v>
      </c>
      <c r="I147" s="22" t="s">
        <v>725</v>
      </c>
      <c r="J147" s="5" t="s">
        <v>716</v>
      </c>
      <c r="K147" s="5" t="s">
        <v>218</v>
      </c>
      <c r="L147" s="21" t="n">
        <v>243.7</v>
      </c>
      <c r="M147" s="5" t="s">
        <v>141</v>
      </c>
      <c r="N147" s="9" t="s">
        <v>766</v>
      </c>
    </row>
    <row r="148" customFormat="false" ht="15" hidden="false" customHeight="false" outlineLevel="0" collapsed="false">
      <c r="A148" s="5" t="n">
        <v>144</v>
      </c>
      <c r="B148" s="5" t="n">
        <v>80</v>
      </c>
      <c r="C148" s="5" t="s">
        <v>101</v>
      </c>
      <c r="D148" s="10" t="s">
        <v>746</v>
      </c>
      <c r="E148" s="33" t="n">
        <v>-18.72422</v>
      </c>
      <c r="F148" s="33" t="n">
        <v>-39.75579</v>
      </c>
      <c r="G148" s="5" t="s">
        <v>736</v>
      </c>
      <c r="H148" s="5" t="s">
        <v>218</v>
      </c>
      <c r="I148" s="22" t="s">
        <v>725</v>
      </c>
      <c r="J148" s="5" t="s">
        <v>716</v>
      </c>
      <c r="K148" s="5" t="s">
        <v>218</v>
      </c>
      <c r="L148" s="21" t="n">
        <v>11.1</v>
      </c>
      <c r="M148" s="5" t="s">
        <v>141</v>
      </c>
      <c r="N148" s="9" t="s">
        <v>759</v>
      </c>
    </row>
    <row r="149" customFormat="false" ht="15" hidden="false" customHeight="false" outlineLevel="0" collapsed="false">
      <c r="A149" s="5" t="n">
        <v>145</v>
      </c>
      <c r="B149" s="5" t="n">
        <v>80</v>
      </c>
      <c r="C149" s="5" t="s">
        <v>101</v>
      </c>
      <c r="D149" s="10" t="s">
        <v>746</v>
      </c>
      <c r="E149" s="33" t="n">
        <v>-18.7246</v>
      </c>
      <c r="F149" s="33" t="n">
        <v>-39.75578</v>
      </c>
      <c r="G149" s="5" t="s">
        <v>736</v>
      </c>
      <c r="H149" s="5" t="s">
        <v>218</v>
      </c>
      <c r="I149" s="22" t="s">
        <v>725</v>
      </c>
      <c r="J149" s="5" t="s">
        <v>716</v>
      </c>
      <c r="K149" s="5" t="s">
        <v>218</v>
      </c>
      <c r="L149" s="21" t="n">
        <v>73.1</v>
      </c>
      <c r="M149" s="5" t="s">
        <v>141</v>
      </c>
      <c r="N149" s="9" t="s">
        <v>765</v>
      </c>
    </row>
    <row r="150" customFormat="false" ht="15" hidden="false" customHeight="false" outlineLevel="0" collapsed="false">
      <c r="A150" s="5" t="n">
        <v>146</v>
      </c>
      <c r="B150" s="5" t="n">
        <v>80</v>
      </c>
      <c r="C150" s="5" t="s">
        <v>101</v>
      </c>
      <c r="D150" s="10" t="s">
        <v>746</v>
      </c>
      <c r="E150" s="33" t="n">
        <v>-18.724895</v>
      </c>
      <c r="F150" s="33" t="n">
        <v>-39.754615</v>
      </c>
      <c r="G150" s="5" t="s">
        <v>736</v>
      </c>
      <c r="H150" s="5" t="s">
        <v>218</v>
      </c>
      <c r="I150" s="22" t="s">
        <v>725</v>
      </c>
      <c r="J150" s="5" t="s">
        <v>716</v>
      </c>
      <c r="K150" s="5" t="s">
        <v>218</v>
      </c>
      <c r="L150" s="21" t="n">
        <v>243.7</v>
      </c>
      <c r="M150" s="5" t="s">
        <v>141</v>
      </c>
      <c r="N150" s="9" t="s">
        <v>767</v>
      </c>
    </row>
    <row r="151" customFormat="false" ht="15" hidden="false" customHeight="false" outlineLevel="0" collapsed="false">
      <c r="A151" s="5" t="n">
        <v>147</v>
      </c>
      <c r="B151" s="5" t="n">
        <v>80</v>
      </c>
      <c r="C151" s="5" t="s">
        <v>101</v>
      </c>
      <c r="D151" s="10" t="s">
        <v>746</v>
      </c>
      <c r="E151" s="33" t="n">
        <v>-18.725112</v>
      </c>
      <c r="F151" s="33" t="n">
        <v>-39.755764</v>
      </c>
      <c r="G151" s="5" t="s">
        <v>736</v>
      </c>
      <c r="H151" s="5" t="s">
        <v>218</v>
      </c>
      <c r="I151" s="22" t="s">
        <v>725</v>
      </c>
      <c r="J151" s="5" t="s">
        <v>716</v>
      </c>
      <c r="K151" s="5" t="s">
        <v>218</v>
      </c>
      <c r="L151" s="21" t="n">
        <v>40.3</v>
      </c>
      <c r="M151" s="5" t="s">
        <v>141</v>
      </c>
      <c r="N151" s="9" t="s">
        <v>765</v>
      </c>
    </row>
    <row r="152" customFormat="false" ht="15" hidden="false" customHeight="false" outlineLevel="0" collapsed="false">
      <c r="A152" s="5" t="n">
        <v>148</v>
      </c>
      <c r="B152" s="5" t="n">
        <v>80</v>
      </c>
      <c r="C152" s="5" t="s">
        <v>101</v>
      </c>
      <c r="D152" s="10" t="s">
        <v>746</v>
      </c>
      <c r="E152" s="33" t="n">
        <v>-18.723345</v>
      </c>
      <c r="F152" s="33" t="n">
        <v>-39.752355</v>
      </c>
      <c r="G152" s="5" t="s">
        <v>736</v>
      </c>
      <c r="H152" s="5" t="s">
        <v>218</v>
      </c>
      <c r="I152" s="22" t="s">
        <v>725</v>
      </c>
      <c r="J152" s="5" t="s">
        <v>716</v>
      </c>
      <c r="K152" s="5" t="s">
        <v>218</v>
      </c>
      <c r="L152" s="21" t="n">
        <v>244</v>
      </c>
      <c r="M152" s="5" t="s">
        <v>141</v>
      </c>
      <c r="N152" s="9" t="s">
        <v>764</v>
      </c>
    </row>
    <row r="153" customFormat="false" ht="15" hidden="false" customHeight="false" outlineLevel="0" collapsed="false">
      <c r="A153" s="5" t="n">
        <v>149</v>
      </c>
      <c r="B153" s="5" t="n">
        <v>80</v>
      </c>
      <c r="C153" s="5" t="s">
        <v>101</v>
      </c>
      <c r="D153" s="10" t="s">
        <v>746</v>
      </c>
      <c r="E153" s="33" t="n">
        <v>-18.723755</v>
      </c>
      <c r="F153" s="33" t="n">
        <v>-39.753495</v>
      </c>
      <c r="G153" s="5" t="s">
        <v>736</v>
      </c>
      <c r="H153" s="5" t="s">
        <v>218</v>
      </c>
      <c r="I153" s="22" t="s">
        <v>725</v>
      </c>
      <c r="J153" s="5" t="s">
        <v>716</v>
      </c>
      <c r="K153" s="5" t="s">
        <v>218</v>
      </c>
      <c r="L153" s="21" t="n">
        <v>76.4</v>
      </c>
      <c r="M153" s="5" t="s">
        <v>141</v>
      </c>
      <c r="N153" s="9" t="s">
        <v>765</v>
      </c>
    </row>
    <row r="154" customFormat="false" ht="15" hidden="false" customHeight="false" outlineLevel="0" collapsed="false">
      <c r="A154" s="5" t="n">
        <v>150</v>
      </c>
      <c r="B154" s="5" t="n">
        <v>80</v>
      </c>
      <c r="C154" s="5" t="s">
        <v>101</v>
      </c>
      <c r="D154" s="10" t="s">
        <v>746</v>
      </c>
      <c r="E154" s="33" t="n">
        <v>-18.724062</v>
      </c>
      <c r="F154" s="33" t="n">
        <v>-39.75239</v>
      </c>
      <c r="G154" s="5" t="s">
        <v>736</v>
      </c>
      <c r="H154" s="5" t="s">
        <v>218</v>
      </c>
      <c r="I154" s="22" t="s">
        <v>725</v>
      </c>
      <c r="J154" s="5" t="s">
        <v>716</v>
      </c>
      <c r="K154" s="5" t="s">
        <v>218</v>
      </c>
      <c r="L154" s="21" t="n">
        <v>229.9</v>
      </c>
      <c r="M154" s="5" t="s">
        <v>141</v>
      </c>
      <c r="N154" s="9" t="s">
        <v>768</v>
      </c>
    </row>
    <row r="155" customFormat="false" ht="15" hidden="false" customHeight="false" outlineLevel="0" collapsed="false">
      <c r="A155" s="5" t="n">
        <v>151</v>
      </c>
      <c r="B155" s="5" t="n">
        <v>80</v>
      </c>
      <c r="C155" s="5" t="s">
        <v>101</v>
      </c>
      <c r="D155" s="10" t="s">
        <v>746</v>
      </c>
      <c r="E155" s="33" t="n">
        <v>-18.724145</v>
      </c>
      <c r="F155" s="33" t="n">
        <v>-39.75348</v>
      </c>
      <c r="G155" s="5" t="s">
        <v>736</v>
      </c>
      <c r="H155" s="5" t="s">
        <v>218</v>
      </c>
      <c r="I155" s="22" t="s">
        <v>725</v>
      </c>
      <c r="J155" s="5" t="s">
        <v>716</v>
      </c>
      <c r="K155" s="5" t="s">
        <v>218</v>
      </c>
      <c r="L155" s="21" t="n">
        <v>10</v>
      </c>
      <c r="M155" s="5" t="s">
        <v>141</v>
      </c>
      <c r="N155" s="9" t="s">
        <v>759</v>
      </c>
    </row>
    <row r="156" customFormat="false" ht="15" hidden="false" customHeight="false" outlineLevel="0" collapsed="false">
      <c r="A156" s="5" t="n">
        <v>152</v>
      </c>
      <c r="B156" s="5" t="n">
        <v>80</v>
      </c>
      <c r="C156" s="5" t="s">
        <v>101</v>
      </c>
      <c r="D156" s="10" t="s">
        <v>746</v>
      </c>
      <c r="E156" s="33" t="n">
        <v>-18.724525</v>
      </c>
      <c r="F156" s="33" t="n">
        <v>-39.75347</v>
      </c>
      <c r="G156" s="5" t="s">
        <v>736</v>
      </c>
      <c r="H156" s="5" t="s">
        <v>218</v>
      </c>
      <c r="I156" s="22" t="s">
        <v>725</v>
      </c>
      <c r="J156" s="5" t="s">
        <v>716</v>
      </c>
      <c r="K156" s="5" t="s">
        <v>218</v>
      </c>
      <c r="L156" s="21" t="n">
        <v>74.2</v>
      </c>
      <c r="M156" s="5" t="s">
        <v>141</v>
      </c>
      <c r="N156" s="9" t="s">
        <v>765</v>
      </c>
    </row>
    <row r="157" customFormat="false" ht="15" hidden="false" customHeight="false" outlineLevel="0" collapsed="false">
      <c r="A157" s="5" t="n">
        <v>153</v>
      </c>
      <c r="B157" s="5" t="n">
        <v>80</v>
      </c>
      <c r="C157" s="5" t="s">
        <v>101</v>
      </c>
      <c r="D157" s="10" t="s">
        <v>746</v>
      </c>
      <c r="E157" s="33" t="n">
        <v>-18.724825</v>
      </c>
      <c r="F157" s="33" t="n">
        <v>-39.75231</v>
      </c>
      <c r="G157" s="5" t="s">
        <v>736</v>
      </c>
      <c r="H157" s="5" t="s">
        <v>218</v>
      </c>
      <c r="I157" s="22" t="s">
        <v>725</v>
      </c>
      <c r="J157" s="5" t="s">
        <v>716</v>
      </c>
      <c r="K157" s="5" t="s">
        <v>218</v>
      </c>
      <c r="L157" s="21" t="n">
        <v>242.6</v>
      </c>
      <c r="M157" s="5" t="s">
        <v>141</v>
      </c>
      <c r="N157" s="9" t="s">
        <v>769</v>
      </c>
    </row>
    <row r="158" customFormat="false" ht="15" hidden="false" customHeight="false" outlineLevel="0" collapsed="false">
      <c r="A158" s="5" t="n">
        <v>154</v>
      </c>
      <c r="B158" s="5" t="n">
        <v>80</v>
      </c>
      <c r="C158" s="5" t="s">
        <v>101</v>
      </c>
      <c r="D158" s="10" t="s">
        <v>746</v>
      </c>
      <c r="E158" s="33" t="n">
        <v>-18.725028</v>
      </c>
      <c r="F158" s="33" t="n">
        <v>-39.753452</v>
      </c>
      <c r="G158" s="5" t="s">
        <v>736</v>
      </c>
      <c r="H158" s="5" t="s">
        <v>218</v>
      </c>
      <c r="I158" s="22" t="s">
        <v>725</v>
      </c>
      <c r="J158" s="5" t="s">
        <v>716</v>
      </c>
      <c r="K158" s="5" t="s">
        <v>218</v>
      </c>
      <c r="L158" s="21" t="n">
        <v>37.1</v>
      </c>
      <c r="M158" s="5" t="s">
        <v>141</v>
      </c>
      <c r="N158" s="9" t="s">
        <v>765</v>
      </c>
    </row>
    <row r="159" customFormat="false" ht="15" hidden="false" customHeight="false" outlineLevel="0" collapsed="false">
      <c r="A159" s="5" t="n">
        <v>155</v>
      </c>
      <c r="B159" s="5" t="n">
        <v>80</v>
      </c>
      <c r="C159" s="5" t="s">
        <v>101</v>
      </c>
      <c r="D159" s="10" t="s">
        <v>746</v>
      </c>
      <c r="E159" s="33" t="n">
        <v>-18.723828</v>
      </c>
      <c r="F159" s="33" t="n">
        <v>-39.751278</v>
      </c>
      <c r="G159" s="5" t="s">
        <v>736</v>
      </c>
      <c r="H159" s="5" t="s">
        <v>218</v>
      </c>
      <c r="I159" s="22" t="s">
        <v>725</v>
      </c>
      <c r="J159" s="5" t="s">
        <v>716</v>
      </c>
      <c r="K159" s="5" t="s">
        <v>218</v>
      </c>
      <c r="L159" s="21" t="n">
        <v>18.3</v>
      </c>
      <c r="M159" s="5" t="s">
        <v>141</v>
      </c>
      <c r="N159" s="9" t="s">
        <v>770</v>
      </c>
    </row>
    <row r="160" customFormat="false" ht="15" hidden="false" customHeight="false" outlineLevel="0" collapsed="false">
      <c r="A160" s="5" t="n">
        <v>156</v>
      </c>
      <c r="B160" s="5" t="n">
        <v>80</v>
      </c>
      <c r="C160" s="5" t="s">
        <v>101</v>
      </c>
      <c r="D160" s="10" t="s">
        <v>746</v>
      </c>
      <c r="E160" s="33" t="n">
        <v>-18.72404</v>
      </c>
      <c r="F160" s="33" t="n">
        <v>-39.75127</v>
      </c>
      <c r="G160" s="5" t="s">
        <v>736</v>
      </c>
      <c r="H160" s="5" t="s">
        <v>218</v>
      </c>
      <c r="I160" s="22" t="s">
        <v>725</v>
      </c>
      <c r="J160" s="5" t="s">
        <v>716</v>
      </c>
      <c r="K160" s="5" t="s">
        <v>218</v>
      </c>
      <c r="L160" s="21" t="n">
        <v>7.8</v>
      </c>
      <c r="M160" s="5" t="s">
        <v>141</v>
      </c>
      <c r="N160" s="9" t="s">
        <v>771</v>
      </c>
    </row>
    <row r="161" customFormat="false" ht="15" hidden="false" customHeight="false" outlineLevel="0" collapsed="false">
      <c r="A161" s="5" t="n">
        <v>157</v>
      </c>
      <c r="B161" s="5" t="n">
        <v>80</v>
      </c>
      <c r="C161" s="5" t="s">
        <v>101</v>
      </c>
      <c r="D161" s="10" t="s">
        <v>746</v>
      </c>
      <c r="E161" s="33" t="n">
        <v>-18.724952</v>
      </c>
      <c r="F161" s="33" t="n">
        <v>-39.751166</v>
      </c>
      <c r="G161" s="5" t="s">
        <v>736</v>
      </c>
      <c r="H161" s="5" t="s">
        <v>218</v>
      </c>
      <c r="I161" s="22" t="s">
        <v>725</v>
      </c>
      <c r="J161" s="5" t="s">
        <v>716</v>
      </c>
      <c r="K161" s="5" t="s">
        <v>218</v>
      </c>
      <c r="L161" s="21" t="n">
        <v>36.6</v>
      </c>
      <c r="M161" s="5" t="s">
        <v>141</v>
      </c>
      <c r="N161" s="9" t="s">
        <v>772</v>
      </c>
    </row>
    <row r="162" customFormat="false" ht="15" hidden="false" customHeight="false" outlineLevel="0" collapsed="false">
      <c r="A162" s="5" t="n">
        <v>158</v>
      </c>
      <c r="B162" s="5" t="n">
        <v>80</v>
      </c>
      <c r="C162" s="5" t="s">
        <v>101</v>
      </c>
      <c r="D162" s="10" t="s">
        <v>746</v>
      </c>
      <c r="E162" s="33" t="n">
        <v>-18.723225</v>
      </c>
      <c r="F162" s="33" t="n">
        <v>-39.750005</v>
      </c>
      <c r="G162" s="5" t="s">
        <v>736</v>
      </c>
      <c r="H162" s="5" t="s">
        <v>218</v>
      </c>
      <c r="I162" s="22" t="s">
        <v>725</v>
      </c>
      <c r="J162" s="5" t="s">
        <v>716</v>
      </c>
      <c r="K162" s="5" t="s">
        <v>218</v>
      </c>
      <c r="L162" s="21" t="n">
        <v>252.3</v>
      </c>
      <c r="M162" s="5" t="s">
        <v>141</v>
      </c>
      <c r="N162" s="9" t="s">
        <v>773</v>
      </c>
    </row>
    <row r="163" customFormat="false" ht="15" hidden="false" customHeight="false" outlineLevel="0" collapsed="false">
      <c r="A163" s="5" t="n">
        <v>159</v>
      </c>
      <c r="B163" s="5" t="n">
        <v>80</v>
      </c>
      <c r="C163" s="5" t="s">
        <v>101</v>
      </c>
      <c r="D163" s="10" t="s">
        <v>746</v>
      </c>
      <c r="E163" s="33" t="n">
        <v>-18.72345</v>
      </c>
      <c r="F163" s="33" t="n">
        <v>-39.751185</v>
      </c>
      <c r="G163" s="5" t="s">
        <v>736</v>
      </c>
      <c r="H163" s="5" t="s">
        <v>218</v>
      </c>
      <c r="I163" s="22" t="s">
        <v>725</v>
      </c>
      <c r="J163" s="5" t="s">
        <v>716</v>
      </c>
      <c r="K163" s="5" t="s">
        <v>218</v>
      </c>
      <c r="L163" s="21" t="n">
        <v>37.8</v>
      </c>
      <c r="M163" s="5" t="s">
        <v>141</v>
      </c>
      <c r="N163" s="9" t="s">
        <v>774</v>
      </c>
    </row>
    <row r="164" customFormat="false" ht="15" hidden="false" customHeight="false" outlineLevel="0" collapsed="false">
      <c r="A164" s="5" t="n">
        <v>160</v>
      </c>
      <c r="B164" s="5" t="n">
        <v>80</v>
      </c>
      <c r="C164" s="5" t="s">
        <v>101</v>
      </c>
      <c r="D164" s="10" t="s">
        <v>746</v>
      </c>
      <c r="E164" s="33" t="n">
        <v>-18.72451</v>
      </c>
      <c r="F164" s="33" t="n">
        <v>-39.75117</v>
      </c>
      <c r="G164" s="5" t="s">
        <v>736</v>
      </c>
      <c r="H164" s="5" t="s">
        <v>218</v>
      </c>
      <c r="I164" s="22" t="s">
        <v>725</v>
      </c>
      <c r="J164" s="5" t="s">
        <v>716</v>
      </c>
      <c r="K164" s="5" t="s">
        <v>218</v>
      </c>
      <c r="L164" s="21" t="n">
        <v>62</v>
      </c>
      <c r="M164" s="5" t="s">
        <v>141</v>
      </c>
      <c r="N164" s="9" t="s">
        <v>775</v>
      </c>
    </row>
    <row r="165" customFormat="false" ht="15" hidden="false" customHeight="false" outlineLevel="0" collapsed="false">
      <c r="A165" s="5" t="n">
        <v>161</v>
      </c>
      <c r="B165" s="5" t="n">
        <v>80</v>
      </c>
      <c r="C165" s="5" t="s">
        <v>101</v>
      </c>
      <c r="D165" s="10" t="s">
        <v>746</v>
      </c>
      <c r="E165" s="33" t="n">
        <v>-18.724036</v>
      </c>
      <c r="F165" s="33" t="n">
        <v>-39.751031</v>
      </c>
      <c r="G165" s="5" t="s">
        <v>736</v>
      </c>
      <c r="H165" s="5" t="s">
        <v>218</v>
      </c>
      <c r="I165" s="22" t="s">
        <v>725</v>
      </c>
      <c r="J165" s="5" t="s">
        <v>716</v>
      </c>
      <c r="K165" s="5" t="s">
        <v>218</v>
      </c>
      <c r="L165" s="21" t="n">
        <v>21.9</v>
      </c>
      <c r="M165" s="5" t="s">
        <v>141</v>
      </c>
      <c r="N165" s="9" t="s">
        <v>776</v>
      </c>
    </row>
    <row r="166" customFormat="false" ht="15" hidden="false" customHeight="false" outlineLevel="0" collapsed="false">
      <c r="A166" s="5" t="n">
        <v>162</v>
      </c>
      <c r="B166" s="5" t="n">
        <v>80</v>
      </c>
      <c r="C166" s="5" t="s">
        <v>101</v>
      </c>
      <c r="D166" s="10" t="s">
        <v>746</v>
      </c>
      <c r="E166" s="33" t="n">
        <v>-18.723776</v>
      </c>
      <c r="F166" s="33" t="n">
        <v>-39.749296</v>
      </c>
      <c r="G166" s="5" t="s">
        <v>736</v>
      </c>
      <c r="H166" s="5" t="s">
        <v>218</v>
      </c>
      <c r="I166" s="22" t="s">
        <v>725</v>
      </c>
      <c r="J166" s="5" t="s">
        <v>716</v>
      </c>
      <c r="K166" s="5" t="s">
        <v>218</v>
      </c>
      <c r="L166" s="21" t="n">
        <v>361.8</v>
      </c>
      <c r="M166" s="5" t="s">
        <v>141</v>
      </c>
      <c r="N166" s="9" t="s">
        <v>777</v>
      </c>
    </row>
    <row r="167" customFormat="false" ht="15" hidden="false" customHeight="false" outlineLevel="0" collapsed="false">
      <c r="A167" s="5" t="n">
        <v>163</v>
      </c>
      <c r="B167" s="5" t="n">
        <v>80</v>
      </c>
      <c r="C167" s="5" t="s">
        <v>101</v>
      </c>
      <c r="D167" s="10" t="s">
        <v>746</v>
      </c>
      <c r="E167" s="33" t="n">
        <v>-18.723893</v>
      </c>
      <c r="F167" s="33" t="n">
        <v>-39.750986</v>
      </c>
      <c r="G167" s="5" t="s">
        <v>736</v>
      </c>
      <c r="H167" s="5" t="s">
        <v>218</v>
      </c>
      <c r="I167" s="22" t="s">
        <v>725</v>
      </c>
      <c r="J167" s="5" t="s">
        <v>716</v>
      </c>
      <c r="K167" s="5" t="s">
        <v>218</v>
      </c>
      <c r="L167" s="21" t="n">
        <v>12.8</v>
      </c>
      <c r="M167" s="5" t="s">
        <v>141</v>
      </c>
      <c r="N167" s="9" t="s">
        <v>778</v>
      </c>
    </row>
    <row r="168" customFormat="false" ht="15" hidden="false" customHeight="false" outlineLevel="0" collapsed="false">
      <c r="A168" s="5" t="n">
        <v>164</v>
      </c>
      <c r="B168" s="5" t="n">
        <v>80</v>
      </c>
      <c r="C168" s="5" t="s">
        <v>101</v>
      </c>
      <c r="D168" s="10" t="s">
        <v>746</v>
      </c>
      <c r="E168" s="33" t="n">
        <v>-18.723397</v>
      </c>
      <c r="F168" s="33" t="n">
        <v>-39.74755</v>
      </c>
      <c r="G168" s="5" t="s">
        <v>713</v>
      </c>
      <c r="H168" s="5" t="s">
        <v>714</v>
      </c>
      <c r="I168" s="22" t="s">
        <v>715</v>
      </c>
      <c r="J168" s="5" t="s">
        <v>716</v>
      </c>
      <c r="K168" s="5" t="s">
        <v>722</v>
      </c>
      <c r="L168" s="21" t="n">
        <v>18.4</v>
      </c>
      <c r="M168" s="5" t="s">
        <v>218</v>
      </c>
      <c r="N168" s="9" t="s">
        <v>779</v>
      </c>
    </row>
    <row r="169" customFormat="false" ht="15" hidden="false" customHeight="false" outlineLevel="0" collapsed="false">
      <c r="A169" s="5" t="n">
        <v>165</v>
      </c>
      <c r="B169" s="5" t="n">
        <v>80</v>
      </c>
      <c r="C169" s="5" t="s">
        <v>101</v>
      </c>
      <c r="D169" s="10" t="s">
        <v>746</v>
      </c>
      <c r="E169" s="33" t="n">
        <v>-18.723691</v>
      </c>
      <c r="F169" s="33" t="n">
        <v>-39.747501</v>
      </c>
      <c r="G169" s="5" t="s">
        <v>713</v>
      </c>
      <c r="H169" s="5" t="s">
        <v>714</v>
      </c>
      <c r="I169" s="22" t="s">
        <v>715</v>
      </c>
      <c r="J169" s="5" t="s">
        <v>716</v>
      </c>
      <c r="K169" s="5" t="s">
        <v>720</v>
      </c>
      <c r="L169" s="21" t="n">
        <v>6.2</v>
      </c>
      <c r="M169" s="5" t="s">
        <v>218</v>
      </c>
      <c r="N169" s="9" t="s">
        <v>780</v>
      </c>
    </row>
    <row r="170" customFormat="false" ht="15" hidden="false" customHeight="false" outlineLevel="0" collapsed="false">
      <c r="A170" s="5" t="n">
        <v>166</v>
      </c>
      <c r="B170" s="5" t="n">
        <v>13</v>
      </c>
      <c r="C170" s="5" t="s">
        <v>38</v>
      </c>
      <c r="D170" s="5" t="s">
        <v>322</v>
      </c>
      <c r="E170" s="33" t="n">
        <v>-18.731392</v>
      </c>
      <c r="F170" s="33" t="n">
        <v>-39.766569</v>
      </c>
      <c r="G170" s="5" t="s">
        <v>713</v>
      </c>
      <c r="H170" s="5" t="s">
        <v>719</v>
      </c>
      <c r="I170" s="22" t="s">
        <v>715</v>
      </c>
      <c r="J170" s="5" t="s">
        <v>716</v>
      </c>
      <c r="K170" s="5" t="s">
        <v>722</v>
      </c>
      <c r="L170" s="21" t="n">
        <v>152.2</v>
      </c>
      <c r="M170" s="5" t="s">
        <v>218</v>
      </c>
      <c r="N170" s="9"/>
    </row>
    <row r="171" customFormat="false" ht="15" hidden="false" customHeight="false" outlineLevel="0" collapsed="false">
      <c r="A171" s="5" t="n">
        <v>167</v>
      </c>
      <c r="B171" s="5" t="n">
        <v>13</v>
      </c>
      <c r="C171" s="5" t="s">
        <v>38</v>
      </c>
      <c r="D171" s="5" t="s">
        <v>324</v>
      </c>
      <c r="E171" s="33" t="n">
        <v>-18.729251</v>
      </c>
      <c r="F171" s="33" t="n">
        <v>-39.772212</v>
      </c>
      <c r="G171" s="5" t="s">
        <v>713</v>
      </c>
      <c r="H171" s="5" t="s">
        <v>731</v>
      </c>
      <c r="I171" s="25" t="s">
        <v>721</v>
      </c>
      <c r="J171" s="5" t="s">
        <v>174</v>
      </c>
      <c r="K171" s="5" t="s">
        <v>722</v>
      </c>
      <c r="L171" s="21" t="n">
        <v>467.7</v>
      </c>
      <c r="M171" s="5" t="s">
        <v>218</v>
      </c>
      <c r="N171" s="9"/>
    </row>
    <row r="172" customFormat="false" ht="15" hidden="false" customHeight="false" outlineLevel="0" collapsed="false">
      <c r="A172" s="5" t="n">
        <v>168</v>
      </c>
      <c r="B172" s="5" t="n">
        <v>13</v>
      </c>
      <c r="C172" s="5" t="s">
        <v>38</v>
      </c>
      <c r="D172" s="5" t="s">
        <v>325</v>
      </c>
      <c r="E172" s="33" t="n">
        <v>-18.731647</v>
      </c>
      <c r="F172" s="33" t="n">
        <v>-39.7654</v>
      </c>
      <c r="G172" s="5" t="s">
        <v>713</v>
      </c>
      <c r="H172" s="5" t="s">
        <v>719</v>
      </c>
      <c r="I172" s="25" t="s">
        <v>721</v>
      </c>
      <c r="J172" s="5" t="s">
        <v>174</v>
      </c>
      <c r="K172" s="5" t="s">
        <v>720</v>
      </c>
      <c r="L172" s="21" t="n">
        <v>197.8</v>
      </c>
      <c r="M172" s="5" t="s">
        <v>218</v>
      </c>
      <c r="N172" s="9"/>
    </row>
    <row r="173" customFormat="false" ht="15" hidden="false" customHeight="false" outlineLevel="0" collapsed="false">
      <c r="A173" s="5" t="n">
        <v>169</v>
      </c>
      <c r="B173" s="5" t="n">
        <v>13</v>
      </c>
      <c r="C173" s="5" t="s">
        <v>38</v>
      </c>
      <c r="D173" s="5" t="s">
        <v>326</v>
      </c>
      <c r="E173" s="33" t="n">
        <v>-18.729669</v>
      </c>
      <c r="F173" s="33" t="n">
        <v>-39.769472</v>
      </c>
      <c r="G173" s="5" t="s">
        <v>713</v>
      </c>
      <c r="H173" s="5" t="s">
        <v>714</v>
      </c>
      <c r="I173" s="25" t="s">
        <v>721</v>
      </c>
      <c r="J173" s="5" t="s">
        <v>174</v>
      </c>
      <c r="K173" s="5" t="s">
        <v>720</v>
      </c>
      <c r="L173" s="21" t="n">
        <v>267</v>
      </c>
      <c r="M173" s="5" t="s">
        <v>218</v>
      </c>
      <c r="N173" s="9"/>
    </row>
    <row r="174" customFormat="false" ht="15" hidden="false" customHeight="false" outlineLevel="0" collapsed="false">
      <c r="A174" s="5" t="n">
        <v>170</v>
      </c>
      <c r="B174" s="5" t="n">
        <v>13</v>
      </c>
      <c r="C174" s="5" t="s">
        <v>38</v>
      </c>
      <c r="D174" s="5" t="s">
        <v>326</v>
      </c>
      <c r="E174" s="33" t="n">
        <v>-18.727258</v>
      </c>
      <c r="F174" s="33" t="n">
        <v>-39.769372</v>
      </c>
      <c r="G174" s="5" t="s">
        <v>713</v>
      </c>
      <c r="H174" s="5" t="s">
        <v>731</v>
      </c>
      <c r="I174" s="25" t="s">
        <v>721</v>
      </c>
      <c r="J174" s="5" t="s">
        <v>174</v>
      </c>
      <c r="K174" s="5" t="s">
        <v>722</v>
      </c>
      <c r="L174" s="21" t="n">
        <v>267</v>
      </c>
      <c r="M174" s="5" t="s">
        <v>218</v>
      </c>
      <c r="N174" s="9"/>
    </row>
    <row r="175" customFormat="false" ht="15" hidden="false" customHeight="false" outlineLevel="0" collapsed="false">
      <c r="A175" s="5" t="n">
        <v>171</v>
      </c>
      <c r="B175" s="5" t="n">
        <v>13</v>
      </c>
      <c r="C175" s="5" t="s">
        <v>38</v>
      </c>
      <c r="D175" s="5" t="s">
        <v>327</v>
      </c>
      <c r="E175" s="33" t="n">
        <v>-18.729849</v>
      </c>
      <c r="F175" s="33" t="n">
        <v>-39.77008</v>
      </c>
      <c r="G175" s="5" t="s">
        <v>713</v>
      </c>
      <c r="H175" s="5" t="s">
        <v>714</v>
      </c>
      <c r="I175" s="25" t="s">
        <v>721</v>
      </c>
      <c r="J175" s="5" t="s">
        <v>174</v>
      </c>
      <c r="K175" s="5" t="s">
        <v>720</v>
      </c>
      <c r="L175" s="21" t="n">
        <v>195.4</v>
      </c>
      <c r="M175" s="5" t="s">
        <v>218</v>
      </c>
      <c r="N175" s="9"/>
    </row>
    <row r="176" customFormat="false" ht="15" hidden="false" customHeight="false" outlineLevel="0" collapsed="false">
      <c r="A176" s="5" t="n">
        <v>172</v>
      </c>
      <c r="B176" s="5" t="n">
        <v>13</v>
      </c>
      <c r="C176" s="5" t="s">
        <v>38</v>
      </c>
      <c r="D176" s="5" t="s">
        <v>328</v>
      </c>
      <c r="E176" s="33" t="n">
        <v>-18.731011</v>
      </c>
      <c r="F176" s="33" t="n">
        <v>-39.768323</v>
      </c>
      <c r="G176" s="5" t="s">
        <v>713</v>
      </c>
      <c r="H176" s="5" t="s">
        <v>719</v>
      </c>
      <c r="I176" s="22" t="s">
        <v>715</v>
      </c>
      <c r="J176" s="5" t="s">
        <v>716</v>
      </c>
      <c r="K176" s="5" t="s">
        <v>720</v>
      </c>
      <c r="L176" s="21" t="n">
        <v>83.9</v>
      </c>
      <c r="M176" s="5" t="s">
        <v>218</v>
      </c>
      <c r="N176" s="9"/>
    </row>
    <row r="177" customFormat="false" ht="15" hidden="false" customHeight="false" outlineLevel="0" collapsed="false">
      <c r="A177" s="5" t="n">
        <v>173</v>
      </c>
      <c r="B177" s="5" t="n">
        <v>13</v>
      </c>
      <c r="C177" s="5" t="s">
        <v>38</v>
      </c>
      <c r="D177" s="5" t="s">
        <v>330</v>
      </c>
      <c r="E177" s="33" t="n">
        <v>-18.731138</v>
      </c>
      <c r="F177" s="33" t="n">
        <v>-39.767739</v>
      </c>
      <c r="G177" s="5" t="s">
        <v>713</v>
      </c>
      <c r="H177" s="5" t="s">
        <v>719</v>
      </c>
      <c r="I177" s="25" t="s">
        <v>721</v>
      </c>
      <c r="J177" s="5" t="s">
        <v>174</v>
      </c>
      <c r="K177" s="5" t="s">
        <v>722</v>
      </c>
      <c r="L177" s="21" t="n">
        <v>106.7</v>
      </c>
      <c r="M177" s="5" t="s">
        <v>218</v>
      </c>
      <c r="N177" s="9"/>
    </row>
    <row r="178" customFormat="false" ht="15" hidden="false" customHeight="false" outlineLevel="0" collapsed="false">
      <c r="A178" s="5" t="n">
        <v>174</v>
      </c>
      <c r="B178" s="5" t="n">
        <v>13</v>
      </c>
      <c r="C178" s="5" t="s">
        <v>38</v>
      </c>
      <c r="D178" s="5" t="s">
        <v>331</v>
      </c>
      <c r="E178" s="33" t="n">
        <v>-18.728461</v>
      </c>
      <c r="F178" s="33" t="n">
        <v>-39.771236</v>
      </c>
      <c r="G178" s="5" t="s">
        <v>713</v>
      </c>
      <c r="H178" s="5" t="s">
        <v>719</v>
      </c>
      <c r="I178" s="25" t="s">
        <v>721</v>
      </c>
      <c r="J178" s="5" t="s">
        <v>174</v>
      </c>
      <c r="K178" s="5" t="s">
        <v>720</v>
      </c>
      <c r="L178" s="21" t="n">
        <v>405.9</v>
      </c>
      <c r="M178" s="5" t="s">
        <v>218</v>
      </c>
      <c r="N178" s="9"/>
    </row>
    <row r="179" customFormat="false" ht="15" hidden="false" customHeight="false" outlineLevel="0" collapsed="false">
      <c r="A179" s="5" t="n">
        <v>175</v>
      </c>
      <c r="B179" s="5" t="n">
        <v>13</v>
      </c>
      <c r="C179" s="5" t="s">
        <v>38</v>
      </c>
      <c r="D179" s="5" t="s">
        <v>332</v>
      </c>
      <c r="E179" s="33" t="n">
        <v>-18.73127</v>
      </c>
      <c r="F179" s="33" t="n">
        <v>-39.767154</v>
      </c>
      <c r="G179" s="5" t="s">
        <v>713</v>
      </c>
      <c r="H179" s="5" t="s">
        <v>719</v>
      </c>
      <c r="I179" s="25" t="s">
        <v>721</v>
      </c>
      <c r="J179" s="5" t="s">
        <v>174</v>
      </c>
      <c r="K179" s="5" t="s">
        <v>722</v>
      </c>
      <c r="L179" s="21" t="n">
        <v>130.6</v>
      </c>
      <c r="M179" s="5" t="s">
        <v>218</v>
      </c>
      <c r="N179" s="9"/>
    </row>
    <row r="180" customFormat="false" ht="15" hidden="false" customHeight="false" outlineLevel="0" collapsed="false">
      <c r="A180" s="5" t="n">
        <v>176</v>
      </c>
      <c r="B180" s="5" t="n">
        <v>13</v>
      </c>
      <c r="C180" s="5" t="s">
        <v>38</v>
      </c>
      <c r="D180" s="5" t="s">
        <v>168</v>
      </c>
      <c r="E180" s="33" t="n">
        <v>-18.727249</v>
      </c>
      <c r="F180" s="33" t="n">
        <v>-39.772402</v>
      </c>
      <c r="G180" s="5" t="s">
        <v>713</v>
      </c>
      <c r="H180" s="5" t="s">
        <v>714</v>
      </c>
      <c r="I180" s="22" t="s">
        <v>715</v>
      </c>
      <c r="J180" s="5" t="s">
        <v>716</v>
      </c>
      <c r="K180" s="5" t="s">
        <v>722</v>
      </c>
      <c r="L180" s="21" t="n">
        <v>299.2</v>
      </c>
      <c r="M180" s="5" t="s">
        <v>218</v>
      </c>
      <c r="N180" s="9"/>
    </row>
    <row r="181" customFormat="false" ht="15" hidden="false" customHeight="false" outlineLevel="0" collapsed="false">
      <c r="A181" s="5" t="n">
        <v>177</v>
      </c>
      <c r="B181" s="5" t="n">
        <v>13</v>
      </c>
      <c r="C181" s="5" t="s">
        <v>38</v>
      </c>
      <c r="D181" s="5" t="s">
        <v>168</v>
      </c>
      <c r="E181" s="33" t="n">
        <v>-18.728805</v>
      </c>
      <c r="F181" s="33" t="n">
        <v>-39.77102</v>
      </c>
      <c r="G181" s="5" t="s">
        <v>713</v>
      </c>
      <c r="H181" s="5" t="s">
        <v>719</v>
      </c>
      <c r="I181" s="25" t="s">
        <v>721</v>
      </c>
      <c r="J181" s="5" t="s">
        <v>174</v>
      </c>
      <c r="K181" s="5" t="s">
        <v>720</v>
      </c>
      <c r="L181" s="21" t="n">
        <v>51.2</v>
      </c>
      <c r="M181" s="5" t="s">
        <v>218</v>
      </c>
      <c r="N181" s="9"/>
    </row>
    <row r="182" customFormat="false" ht="15" hidden="false" customHeight="false" outlineLevel="0" collapsed="false">
      <c r="A182" s="5" t="n">
        <v>178</v>
      </c>
      <c r="B182" s="5" t="n">
        <v>13</v>
      </c>
      <c r="C182" s="5" t="s">
        <v>38</v>
      </c>
      <c r="D182" s="5" t="s">
        <v>168</v>
      </c>
      <c r="E182" s="33" t="n">
        <v>-18.729377</v>
      </c>
      <c r="F182" s="33" t="n">
        <v>-39.770874</v>
      </c>
      <c r="G182" s="5" t="s">
        <v>713</v>
      </c>
      <c r="H182" s="5" t="s">
        <v>731</v>
      </c>
      <c r="I182" s="25" t="s">
        <v>721</v>
      </c>
      <c r="J182" s="5" t="s">
        <v>174</v>
      </c>
      <c r="K182" s="5" t="s">
        <v>722</v>
      </c>
      <c r="L182" s="21" t="n">
        <v>21.9</v>
      </c>
      <c r="M182" s="5" t="s">
        <v>218</v>
      </c>
      <c r="N182" s="9"/>
    </row>
    <row r="183" customFormat="false" ht="15" hidden="false" customHeight="false" outlineLevel="0" collapsed="false">
      <c r="A183" s="5" t="n">
        <v>179</v>
      </c>
      <c r="B183" s="5" t="n">
        <v>13</v>
      </c>
      <c r="C183" s="5" t="s">
        <v>38</v>
      </c>
      <c r="D183" s="5" t="s">
        <v>168</v>
      </c>
      <c r="E183" s="33" t="n">
        <v>-18.729585</v>
      </c>
      <c r="F183" s="33" t="n">
        <v>-39.77085</v>
      </c>
      <c r="G183" s="5" t="s">
        <v>713</v>
      </c>
      <c r="H183" s="5" t="s">
        <v>719</v>
      </c>
      <c r="I183" s="25" t="s">
        <v>721</v>
      </c>
      <c r="J183" s="5" t="s">
        <v>174</v>
      </c>
      <c r="K183" s="5" t="s">
        <v>722</v>
      </c>
      <c r="L183" s="21" t="n">
        <v>39.4</v>
      </c>
      <c r="M183" s="5" t="s">
        <v>218</v>
      </c>
      <c r="N183" s="9" t="s">
        <v>781</v>
      </c>
    </row>
    <row r="184" customFormat="false" ht="15" hidden="false" customHeight="false" outlineLevel="0" collapsed="false">
      <c r="A184" s="5" t="n">
        <v>180</v>
      </c>
      <c r="B184" s="5" t="n">
        <v>13</v>
      </c>
      <c r="C184" s="5" t="s">
        <v>38</v>
      </c>
      <c r="D184" s="5" t="s">
        <v>168</v>
      </c>
      <c r="E184" s="33" t="n">
        <v>-18.72957</v>
      </c>
      <c r="F184" s="33" t="n">
        <v>-39.770405</v>
      </c>
      <c r="G184" s="5" t="s">
        <v>713</v>
      </c>
      <c r="H184" s="5" t="s">
        <v>719</v>
      </c>
      <c r="I184" s="25" t="s">
        <v>721</v>
      </c>
      <c r="J184" s="5" t="s">
        <v>174</v>
      </c>
      <c r="K184" s="5" t="s">
        <v>722</v>
      </c>
      <c r="L184" s="21" t="n">
        <v>85.8</v>
      </c>
      <c r="M184" s="5" t="s">
        <v>218</v>
      </c>
      <c r="N184" s="9"/>
    </row>
    <row r="185" customFormat="false" ht="15" hidden="false" customHeight="false" outlineLevel="0" collapsed="false">
      <c r="A185" s="5" t="n">
        <v>181</v>
      </c>
      <c r="B185" s="5" t="n">
        <v>13</v>
      </c>
      <c r="C185" s="5" t="s">
        <v>38</v>
      </c>
      <c r="D185" s="5" t="s">
        <v>168</v>
      </c>
      <c r="E185" s="33" t="n">
        <v>-18.727379</v>
      </c>
      <c r="F185" s="33" t="n">
        <v>-39.769573</v>
      </c>
      <c r="G185" s="5" t="s">
        <v>713</v>
      </c>
      <c r="H185" s="5" t="s">
        <v>719</v>
      </c>
      <c r="I185" s="25" t="s">
        <v>721</v>
      </c>
      <c r="J185" s="5" t="s">
        <v>174</v>
      </c>
      <c r="K185" s="5" t="s">
        <v>722</v>
      </c>
      <c r="L185" s="21" t="n">
        <v>41.2</v>
      </c>
      <c r="M185" s="5" t="s">
        <v>218</v>
      </c>
      <c r="N185" s="9" t="s">
        <v>782</v>
      </c>
    </row>
    <row r="186" customFormat="false" ht="15" hidden="false" customHeight="false" outlineLevel="0" collapsed="false">
      <c r="A186" s="5" t="n">
        <v>182</v>
      </c>
      <c r="B186" s="5" t="n">
        <v>13</v>
      </c>
      <c r="C186" s="5" t="s">
        <v>38</v>
      </c>
      <c r="D186" s="5" t="s">
        <v>168</v>
      </c>
      <c r="E186" s="33" t="n">
        <v>-18.731659</v>
      </c>
      <c r="F186" s="33" t="n">
        <v>-39.766859</v>
      </c>
      <c r="G186" s="5" t="s">
        <v>713</v>
      </c>
      <c r="H186" s="5" t="s">
        <v>719</v>
      </c>
      <c r="I186" s="22" t="s">
        <v>715</v>
      </c>
      <c r="J186" s="5" t="s">
        <v>716</v>
      </c>
      <c r="K186" s="5" t="s">
        <v>717</v>
      </c>
      <c r="L186" s="21" t="n">
        <v>89.5</v>
      </c>
      <c r="M186" s="5" t="s">
        <v>218</v>
      </c>
      <c r="N186" s="9" t="s">
        <v>783</v>
      </c>
    </row>
    <row r="187" customFormat="false" ht="15" hidden="false" customHeight="false" outlineLevel="0" collapsed="false">
      <c r="A187" s="5" t="n">
        <v>183</v>
      </c>
      <c r="B187" s="5" t="n">
        <v>13</v>
      </c>
      <c r="C187" s="5" t="s">
        <v>38</v>
      </c>
      <c r="D187" s="5" t="s">
        <v>335</v>
      </c>
      <c r="E187" s="33" t="n">
        <v>-18.728438</v>
      </c>
      <c r="F187" s="33" t="n">
        <v>-39.772793</v>
      </c>
      <c r="G187" s="5" t="s">
        <v>713</v>
      </c>
      <c r="H187" s="5" t="s">
        <v>731</v>
      </c>
      <c r="I187" s="25" t="s">
        <v>721</v>
      </c>
      <c r="J187" s="5" t="s">
        <v>174</v>
      </c>
      <c r="K187" s="5" t="s">
        <v>722</v>
      </c>
      <c r="L187" s="21" t="n">
        <v>385.3</v>
      </c>
      <c r="M187" s="5" t="s">
        <v>218</v>
      </c>
      <c r="N187" s="9"/>
    </row>
    <row r="188" customFormat="false" ht="15" hidden="false" customHeight="false" outlineLevel="0" collapsed="false">
      <c r="A188" s="5" t="n">
        <v>184</v>
      </c>
      <c r="B188" s="5" t="n">
        <v>13</v>
      </c>
      <c r="C188" s="5" t="s">
        <v>38</v>
      </c>
      <c r="D188" s="5" t="s">
        <v>336</v>
      </c>
      <c r="E188" s="33" t="n">
        <v>-18.73152</v>
      </c>
      <c r="F188" s="33" t="n">
        <v>-39.765988</v>
      </c>
      <c r="G188" s="5" t="s">
        <v>713</v>
      </c>
      <c r="H188" s="5" t="s">
        <v>719</v>
      </c>
      <c r="I188" s="25" t="s">
        <v>721</v>
      </c>
      <c r="J188" s="5" t="s">
        <v>174</v>
      </c>
      <c r="K188" s="5" t="s">
        <v>720</v>
      </c>
      <c r="L188" s="21" t="n">
        <v>175.1</v>
      </c>
      <c r="M188" s="5" t="s">
        <v>218</v>
      </c>
      <c r="N188" s="9"/>
    </row>
    <row r="189" customFormat="false" ht="15" hidden="false" customHeight="false" outlineLevel="0" collapsed="false">
      <c r="A189" s="5" t="n">
        <v>185</v>
      </c>
      <c r="B189" s="5" t="n">
        <v>13</v>
      </c>
      <c r="C189" s="5" t="s">
        <v>38</v>
      </c>
      <c r="D189" s="5" t="s">
        <v>337</v>
      </c>
      <c r="E189" s="33" t="n">
        <v>-18.72843</v>
      </c>
      <c r="F189" s="33" t="n">
        <v>-39.77131</v>
      </c>
      <c r="G189" s="5" t="s">
        <v>713</v>
      </c>
      <c r="H189" s="5" t="s">
        <v>719</v>
      </c>
      <c r="I189" s="25" t="s">
        <v>721</v>
      </c>
      <c r="J189" s="5" t="s">
        <v>174</v>
      </c>
      <c r="K189" s="5" t="s">
        <v>720</v>
      </c>
      <c r="L189" s="21" t="n">
        <v>388.1</v>
      </c>
      <c r="M189" s="5" t="s">
        <v>218</v>
      </c>
      <c r="N189" s="9"/>
    </row>
    <row r="190" customFormat="false" ht="15" hidden="false" customHeight="false" outlineLevel="0" collapsed="false">
      <c r="A190" s="5" t="n">
        <v>186</v>
      </c>
      <c r="B190" s="5" t="n">
        <v>13</v>
      </c>
      <c r="C190" s="5" t="s">
        <v>38</v>
      </c>
      <c r="D190" s="5" t="s">
        <v>338</v>
      </c>
      <c r="E190" s="33" t="n">
        <v>-18.727752</v>
      </c>
      <c r="F190" s="33" t="n">
        <v>-39.770302</v>
      </c>
      <c r="G190" s="5" t="s">
        <v>713</v>
      </c>
      <c r="H190" s="5" t="s">
        <v>719</v>
      </c>
      <c r="I190" s="25" t="s">
        <v>721</v>
      </c>
      <c r="J190" s="5" t="s">
        <v>174</v>
      </c>
      <c r="K190" s="5" t="s">
        <v>722</v>
      </c>
      <c r="L190" s="21" t="n">
        <v>222.3</v>
      </c>
      <c r="M190" s="5" t="s">
        <v>218</v>
      </c>
      <c r="N190" s="9"/>
    </row>
    <row r="191" customFormat="false" ht="15" hidden="false" customHeight="false" outlineLevel="0" collapsed="false">
      <c r="A191" s="5" t="n">
        <v>187</v>
      </c>
      <c r="B191" s="5" t="n">
        <v>13</v>
      </c>
      <c r="C191" s="5" t="s">
        <v>38</v>
      </c>
      <c r="D191" s="5" t="s">
        <v>275</v>
      </c>
      <c r="E191" s="33" t="n">
        <v>-18.734599</v>
      </c>
      <c r="F191" s="33" t="n">
        <v>-39.758762</v>
      </c>
      <c r="G191" s="5" t="s">
        <v>713</v>
      </c>
      <c r="H191" s="5" t="s">
        <v>719</v>
      </c>
      <c r="I191" s="25" t="s">
        <v>723</v>
      </c>
      <c r="J191" s="5" t="s">
        <v>174</v>
      </c>
      <c r="K191" s="5" t="s">
        <v>722</v>
      </c>
      <c r="L191" s="21" t="n">
        <v>240.3</v>
      </c>
      <c r="M191" s="5" t="s">
        <v>218</v>
      </c>
      <c r="N191" s="9"/>
    </row>
    <row r="192" customFormat="false" ht="15" hidden="false" customHeight="false" outlineLevel="0" collapsed="false">
      <c r="A192" s="5" t="n">
        <v>188</v>
      </c>
      <c r="B192" s="5" t="n">
        <v>13</v>
      </c>
      <c r="C192" s="5" t="s">
        <v>38</v>
      </c>
      <c r="D192" s="5" t="s">
        <v>339</v>
      </c>
      <c r="E192" s="33" t="n">
        <v>-18.730755</v>
      </c>
      <c r="F192" s="33" t="n">
        <v>-39.767237</v>
      </c>
      <c r="G192" s="5" t="s">
        <v>713</v>
      </c>
      <c r="H192" s="5" t="s">
        <v>719</v>
      </c>
      <c r="I192" s="25" t="s">
        <v>721</v>
      </c>
      <c r="J192" s="5" t="s">
        <v>174</v>
      </c>
      <c r="K192" s="5" t="s">
        <v>722</v>
      </c>
      <c r="L192" s="21" t="n">
        <v>351.1</v>
      </c>
      <c r="M192" s="5" t="s">
        <v>218</v>
      </c>
      <c r="N192" s="9"/>
    </row>
    <row r="193" customFormat="false" ht="15" hidden="false" customHeight="false" outlineLevel="0" collapsed="false">
      <c r="A193" s="5" t="n">
        <v>189</v>
      </c>
      <c r="B193" s="5" t="n">
        <v>13</v>
      </c>
      <c r="C193" s="5" t="s">
        <v>38</v>
      </c>
      <c r="D193" s="5" t="s">
        <v>339</v>
      </c>
      <c r="E193" s="33" t="n">
        <v>-18.730896</v>
      </c>
      <c r="F193" s="33" t="n">
        <v>-39.76391</v>
      </c>
      <c r="G193" s="5" t="s">
        <v>713</v>
      </c>
      <c r="H193" s="5" t="s">
        <v>719</v>
      </c>
      <c r="I193" s="25" t="s">
        <v>721</v>
      </c>
      <c r="J193" s="5" t="s">
        <v>174</v>
      </c>
      <c r="K193" s="5" t="s">
        <v>722</v>
      </c>
      <c r="L193" s="21" t="n">
        <v>351.1</v>
      </c>
      <c r="M193" s="5" t="s">
        <v>218</v>
      </c>
      <c r="N193" s="9"/>
    </row>
    <row r="194" customFormat="false" ht="15" hidden="false" customHeight="false" outlineLevel="0" collapsed="false">
      <c r="A194" s="5" t="n">
        <v>190</v>
      </c>
      <c r="B194" s="5" t="n">
        <v>13</v>
      </c>
      <c r="C194" s="5" t="s">
        <v>38</v>
      </c>
      <c r="D194" s="5" t="s">
        <v>339</v>
      </c>
      <c r="E194" s="33" t="n">
        <v>-18.731025</v>
      </c>
      <c r="F194" s="33" t="n">
        <v>-39.760583</v>
      </c>
      <c r="G194" s="5" t="s">
        <v>713</v>
      </c>
      <c r="H194" s="5" t="s">
        <v>719</v>
      </c>
      <c r="I194" s="25" t="s">
        <v>721</v>
      </c>
      <c r="J194" s="5" t="s">
        <v>174</v>
      </c>
      <c r="K194" s="5" t="s">
        <v>722</v>
      </c>
      <c r="L194" s="21" t="n">
        <v>351.1</v>
      </c>
      <c r="M194" s="5" t="s">
        <v>218</v>
      </c>
      <c r="N194" s="9"/>
    </row>
    <row r="195" customFormat="false" ht="15" hidden="false" customHeight="false" outlineLevel="0" collapsed="false">
      <c r="A195" s="5" t="n">
        <v>191</v>
      </c>
      <c r="B195" s="5" t="n">
        <v>13</v>
      </c>
      <c r="C195" s="5" t="s">
        <v>38</v>
      </c>
      <c r="D195" s="5" t="s">
        <v>340</v>
      </c>
      <c r="E195" s="33" t="n">
        <v>-18.733965</v>
      </c>
      <c r="F195" s="33" t="n">
        <v>-39.758696</v>
      </c>
      <c r="G195" s="5" t="s">
        <v>713</v>
      </c>
      <c r="H195" s="5" t="s">
        <v>719</v>
      </c>
      <c r="I195" s="25" t="s">
        <v>721</v>
      </c>
      <c r="J195" s="5" t="s">
        <v>174</v>
      </c>
      <c r="K195" s="5" t="s">
        <v>722</v>
      </c>
      <c r="L195" s="21" t="n">
        <v>266.8</v>
      </c>
      <c r="M195" s="5" t="s">
        <v>218</v>
      </c>
      <c r="N195" s="9"/>
    </row>
    <row r="196" customFormat="false" ht="15" hidden="false" customHeight="false" outlineLevel="0" collapsed="false">
      <c r="A196" s="5" t="n">
        <v>192</v>
      </c>
      <c r="B196" s="5" t="n">
        <v>13</v>
      </c>
      <c r="C196" s="5" t="s">
        <v>38</v>
      </c>
      <c r="D196" s="5" t="s">
        <v>340</v>
      </c>
      <c r="E196" s="33" t="n">
        <v>-18.731907</v>
      </c>
      <c r="F196" s="33" t="n">
        <v>-39.758359</v>
      </c>
      <c r="G196" s="5" t="s">
        <v>713</v>
      </c>
      <c r="H196" s="5" t="s">
        <v>719</v>
      </c>
      <c r="I196" s="25" t="s">
        <v>723</v>
      </c>
      <c r="J196" s="5" t="s">
        <v>174</v>
      </c>
      <c r="K196" s="5" t="s">
        <v>722</v>
      </c>
      <c r="L196" s="21" t="n">
        <v>191</v>
      </c>
      <c r="M196" s="5" t="s">
        <v>218</v>
      </c>
      <c r="N196" s="9"/>
    </row>
    <row r="197" customFormat="false" ht="15" hidden="false" customHeight="false" outlineLevel="0" collapsed="false">
      <c r="A197" s="5" t="n">
        <v>193</v>
      </c>
      <c r="B197" s="5" t="n">
        <v>13</v>
      </c>
      <c r="C197" s="5" t="s">
        <v>38</v>
      </c>
      <c r="D197" s="5" t="s">
        <v>342</v>
      </c>
      <c r="E197" s="33" t="n">
        <v>-18.731738</v>
      </c>
      <c r="F197" s="33" t="n">
        <v>-39.762457</v>
      </c>
      <c r="G197" s="5" t="s">
        <v>713</v>
      </c>
      <c r="H197" s="5" t="s">
        <v>719</v>
      </c>
      <c r="I197" s="25" t="s">
        <v>721</v>
      </c>
      <c r="J197" s="5" t="s">
        <v>174</v>
      </c>
      <c r="K197" s="5" t="s">
        <v>722</v>
      </c>
      <c r="L197" s="21" t="n">
        <v>191.1</v>
      </c>
      <c r="M197" s="5" t="s">
        <v>218</v>
      </c>
      <c r="N197" s="9"/>
    </row>
    <row r="198" customFormat="false" ht="15" hidden="false" customHeight="false" outlineLevel="0" collapsed="false">
      <c r="A198" s="5" t="n">
        <v>194</v>
      </c>
      <c r="B198" s="5" t="n">
        <v>13</v>
      </c>
      <c r="C198" s="5" t="s">
        <v>38</v>
      </c>
      <c r="D198" s="5" t="s">
        <v>299</v>
      </c>
      <c r="E198" s="33" t="n">
        <v>-18.733956</v>
      </c>
      <c r="F198" s="33" t="n">
        <v>-39.75928</v>
      </c>
      <c r="G198" s="5" t="s">
        <v>713</v>
      </c>
      <c r="H198" s="5" t="s">
        <v>719</v>
      </c>
      <c r="I198" s="25" t="s">
        <v>721</v>
      </c>
      <c r="J198" s="5" t="s">
        <v>174</v>
      </c>
      <c r="K198" s="5" t="s">
        <v>722</v>
      </c>
      <c r="L198" s="21" t="n">
        <v>269.2</v>
      </c>
      <c r="M198" s="5" t="s">
        <v>218</v>
      </c>
      <c r="N198" s="9"/>
    </row>
    <row r="199" customFormat="false" ht="15" hidden="false" customHeight="false" outlineLevel="0" collapsed="false">
      <c r="A199" s="5" t="n">
        <v>195</v>
      </c>
      <c r="B199" s="5" t="n">
        <v>13</v>
      </c>
      <c r="C199" s="5" t="s">
        <v>38</v>
      </c>
      <c r="D199" s="5" t="s">
        <v>299</v>
      </c>
      <c r="E199" s="33" t="n">
        <v>-18.731885</v>
      </c>
      <c r="F199" s="33" t="n">
        <v>-39.758958</v>
      </c>
      <c r="G199" s="5" t="s">
        <v>713</v>
      </c>
      <c r="H199" s="5" t="s">
        <v>719</v>
      </c>
      <c r="I199" s="25" t="s">
        <v>721</v>
      </c>
      <c r="J199" s="5" t="s">
        <v>174</v>
      </c>
      <c r="K199" s="5" t="s">
        <v>720</v>
      </c>
      <c r="L199" s="21" t="n">
        <v>191.6</v>
      </c>
      <c r="M199" s="5" t="s">
        <v>218</v>
      </c>
      <c r="N199" s="9"/>
    </row>
    <row r="200" customFormat="false" ht="15" hidden="false" customHeight="false" outlineLevel="0" collapsed="false">
      <c r="A200" s="5" t="n">
        <v>196</v>
      </c>
      <c r="B200" s="5" t="n">
        <v>13</v>
      </c>
      <c r="C200" s="5" t="s">
        <v>38</v>
      </c>
      <c r="D200" s="5" t="s">
        <v>343</v>
      </c>
      <c r="E200" s="33" t="n">
        <v>-18.731924</v>
      </c>
      <c r="F200" s="33" t="n">
        <v>-39.757783</v>
      </c>
      <c r="G200" s="5" t="s">
        <v>713</v>
      </c>
      <c r="H200" s="5" t="s">
        <v>719</v>
      </c>
      <c r="I200" s="25" t="s">
        <v>721</v>
      </c>
      <c r="J200" s="5" t="s">
        <v>174</v>
      </c>
      <c r="K200" s="5" t="s">
        <v>720</v>
      </c>
      <c r="L200" s="21" t="n">
        <v>189.5</v>
      </c>
      <c r="M200" s="5" t="s">
        <v>218</v>
      </c>
      <c r="N200" s="9"/>
    </row>
    <row r="201" customFormat="false" ht="15" hidden="false" customHeight="false" outlineLevel="0" collapsed="false">
      <c r="A201" s="5" t="n">
        <v>197</v>
      </c>
      <c r="B201" s="5" t="n">
        <v>13</v>
      </c>
      <c r="C201" s="5" t="s">
        <v>38</v>
      </c>
      <c r="D201" s="5" t="s">
        <v>344</v>
      </c>
      <c r="E201" s="33" t="n">
        <v>-18.73309</v>
      </c>
      <c r="F201" s="33" t="n">
        <v>-39.762765</v>
      </c>
      <c r="G201" s="5" t="s">
        <v>713</v>
      </c>
      <c r="H201" s="5" t="s">
        <v>719</v>
      </c>
      <c r="I201" s="25" t="s">
        <v>721</v>
      </c>
      <c r="J201" s="5" t="s">
        <v>174</v>
      </c>
      <c r="K201" s="5" t="s">
        <v>720</v>
      </c>
      <c r="L201" s="21" t="n">
        <v>110.7</v>
      </c>
      <c r="M201" s="5" t="s">
        <v>218</v>
      </c>
      <c r="N201" s="9"/>
    </row>
    <row r="202" customFormat="false" ht="15" hidden="false" customHeight="false" outlineLevel="0" collapsed="false">
      <c r="A202" s="5" t="n">
        <v>198</v>
      </c>
      <c r="B202" s="5" t="n">
        <v>13</v>
      </c>
      <c r="C202" s="5" t="s">
        <v>38</v>
      </c>
      <c r="D202" s="5" t="s">
        <v>344</v>
      </c>
      <c r="E202" s="33" t="n">
        <v>-18.733215</v>
      </c>
      <c r="F202" s="33" t="n">
        <v>-39.76219</v>
      </c>
      <c r="G202" s="5" t="s">
        <v>713</v>
      </c>
      <c r="H202" s="5" t="s">
        <v>719</v>
      </c>
      <c r="I202" s="25" t="s">
        <v>721</v>
      </c>
      <c r="J202" s="5" t="s">
        <v>174</v>
      </c>
      <c r="K202" s="5" t="s">
        <v>722</v>
      </c>
      <c r="L202" s="21" t="n">
        <v>131.7</v>
      </c>
      <c r="M202" s="5" t="s">
        <v>218</v>
      </c>
      <c r="N202" s="9"/>
    </row>
    <row r="203" customFormat="false" ht="15" hidden="false" customHeight="false" outlineLevel="0" collapsed="false">
      <c r="A203" s="5" t="n">
        <v>199</v>
      </c>
      <c r="B203" s="5" t="n">
        <v>13</v>
      </c>
      <c r="C203" s="5" t="s">
        <v>38</v>
      </c>
      <c r="D203" s="5" t="s">
        <v>344</v>
      </c>
      <c r="E203" s="33" t="n">
        <v>-18.73176</v>
      </c>
      <c r="F203" s="33" t="n">
        <v>-39.761883</v>
      </c>
      <c r="G203" s="5" t="s">
        <v>713</v>
      </c>
      <c r="H203" s="5" t="s">
        <v>719</v>
      </c>
      <c r="I203" s="25" t="s">
        <v>721</v>
      </c>
      <c r="J203" s="5" t="s">
        <v>174</v>
      </c>
      <c r="K203" s="5" t="s">
        <v>722</v>
      </c>
      <c r="L203" s="21" t="n">
        <v>190.6</v>
      </c>
      <c r="M203" s="5" t="s">
        <v>218</v>
      </c>
      <c r="N203" s="9"/>
    </row>
    <row r="204" customFormat="false" ht="15" hidden="false" customHeight="false" outlineLevel="0" collapsed="false">
      <c r="A204" s="5" t="n">
        <v>200</v>
      </c>
      <c r="B204" s="5" t="n">
        <v>13</v>
      </c>
      <c r="C204" s="5" t="s">
        <v>38</v>
      </c>
      <c r="D204" s="5" t="s">
        <v>345</v>
      </c>
      <c r="E204" s="33" t="n">
        <v>-18.73346</v>
      </c>
      <c r="F204" s="33" t="n">
        <v>-39.76103</v>
      </c>
      <c r="G204" s="5" t="s">
        <v>713</v>
      </c>
      <c r="H204" s="5" t="s">
        <v>719</v>
      </c>
      <c r="I204" s="25" t="s">
        <v>721</v>
      </c>
      <c r="J204" s="5" t="s">
        <v>174</v>
      </c>
      <c r="K204" s="5" t="s">
        <v>722</v>
      </c>
      <c r="L204" s="21" t="n">
        <v>177.5</v>
      </c>
      <c r="M204" s="5" t="s">
        <v>218</v>
      </c>
      <c r="N204" s="9"/>
    </row>
    <row r="205" customFormat="false" ht="15" hidden="false" customHeight="false" outlineLevel="0" collapsed="false">
      <c r="A205" s="5" t="n">
        <v>201</v>
      </c>
      <c r="B205" s="5" t="n">
        <v>13</v>
      </c>
      <c r="C205" s="5" t="s">
        <v>38</v>
      </c>
      <c r="D205" s="5" t="s">
        <v>346</v>
      </c>
      <c r="E205" s="33" t="n">
        <v>-18.731831</v>
      </c>
      <c r="F205" s="33" t="n">
        <v>-39.760128</v>
      </c>
      <c r="G205" s="5" t="s">
        <v>713</v>
      </c>
      <c r="H205" s="5" t="s">
        <v>719</v>
      </c>
      <c r="I205" s="25" t="s">
        <v>721</v>
      </c>
      <c r="J205" s="5" t="s">
        <v>174</v>
      </c>
      <c r="K205" s="5" t="s">
        <v>722</v>
      </c>
      <c r="L205" s="21" t="n">
        <v>190.3</v>
      </c>
      <c r="M205" s="5" t="s">
        <v>218</v>
      </c>
      <c r="N205" s="9"/>
    </row>
    <row r="206" customFormat="false" ht="15" hidden="false" customHeight="false" outlineLevel="0" collapsed="false">
      <c r="A206" s="5" t="n">
        <v>202</v>
      </c>
      <c r="B206" s="5" t="n">
        <v>13</v>
      </c>
      <c r="C206" s="5" t="s">
        <v>38</v>
      </c>
      <c r="D206" s="5" t="s">
        <v>318</v>
      </c>
      <c r="E206" s="33" t="n">
        <v>-18.733595</v>
      </c>
      <c r="F206" s="33" t="n">
        <v>-39.76043</v>
      </c>
      <c r="G206" s="5" t="s">
        <v>713</v>
      </c>
      <c r="H206" s="5" t="s">
        <v>719</v>
      </c>
      <c r="I206" s="25" t="s">
        <v>721</v>
      </c>
      <c r="J206" s="5" t="s">
        <v>174</v>
      </c>
      <c r="K206" s="5" t="s">
        <v>720</v>
      </c>
      <c r="L206" s="21" t="n">
        <v>200.7</v>
      </c>
      <c r="M206" s="5" t="s">
        <v>218</v>
      </c>
      <c r="N206" s="9"/>
    </row>
    <row r="207" customFormat="false" ht="15" hidden="false" customHeight="false" outlineLevel="0" collapsed="false">
      <c r="A207" s="5" t="n">
        <v>203</v>
      </c>
      <c r="B207" s="5" t="n">
        <v>13</v>
      </c>
      <c r="C207" s="5" t="s">
        <v>38</v>
      </c>
      <c r="D207" s="5" t="s">
        <v>347</v>
      </c>
      <c r="E207" s="33" t="n">
        <v>-18.73372</v>
      </c>
      <c r="F207" s="33" t="n">
        <v>-39.759855</v>
      </c>
      <c r="G207" s="5" t="s">
        <v>713</v>
      </c>
      <c r="H207" s="5" t="s">
        <v>719</v>
      </c>
      <c r="I207" s="25" t="s">
        <v>721</v>
      </c>
      <c r="J207" s="5" t="s">
        <v>174</v>
      </c>
      <c r="K207" s="5" t="s">
        <v>722</v>
      </c>
      <c r="L207" s="21" t="n">
        <v>221.6</v>
      </c>
      <c r="M207" s="5" t="s">
        <v>218</v>
      </c>
      <c r="N207" s="9"/>
    </row>
    <row r="208" customFormat="false" ht="15" hidden="false" customHeight="false" outlineLevel="0" collapsed="false">
      <c r="A208" s="5" t="n">
        <v>204</v>
      </c>
      <c r="B208" s="5" t="n">
        <v>13</v>
      </c>
      <c r="C208" s="5" t="s">
        <v>38</v>
      </c>
      <c r="D208" s="5" t="s">
        <v>348</v>
      </c>
      <c r="E208" s="33" t="n">
        <v>-18.73215</v>
      </c>
      <c r="F208" s="33" t="n">
        <v>-39.763099</v>
      </c>
      <c r="G208" s="5" t="s">
        <v>713</v>
      </c>
      <c r="H208" s="5" t="s">
        <v>719</v>
      </c>
      <c r="I208" s="25" t="s">
        <v>721</v>
      </c>
      <c r="J208" s="5" t="s">
        <v>174</v>
      </c>
      <c r="K208" s="5" t="s">
        <v>720</v>
      </c>
      <c r="L208" s="21" t="n">
        <v>287.9</v>
      </c>
      <c r="M208" s="5" t="s">
        <v>218</v>
      </c>
      <c r="N208" s="9"/>
    </row>
    <row r="209" customFormat="false" ht="15" hidden="false" customHeight="false" outlineLevel="0" collapsed="false">
      <c r="A209" s="5" t="n">
        <v>205</v>
      </c>
      <c r="B209" s="5" t="n">
        <v>13</v>
      </c>
      <c r="C209" s="5" t="s">
        <v>38</v>
      </c>
      <c r="D209" s="5" t="s">
        <v>349</v>
      </c>
      <c r="E209" s="33" t="n">
        <v>-18.731783</v>
      </c>
      <c r="F209" s="33" t="n">
        <v>-39.76484</v>
      </c>
      <c r="G209" s="5" t="s">
        <v>713</v>
      </c>
      <c r="H209" s="5" t="s">
        <v>719</v>
      </c>
      <c r="I209" s="25" t="s">
        <v>721</v>
      </c>
      <c r="J209" s="5" t="s">
        <v>174</v>
      </c>
      <c r="K209" s="5" t="s">
        <v>720</v>
      </c>
      <c r="L209" s="21" t="n">
        <v>222.9</v>
      </c>
      <c r="M209" s="5" t="s">
        <v>218</v>
      </c>
      <c r="N209" s="9"/>
    </row>
    <row r="210" customFormat="false" ht="15" hidden="false" customHeight="false" outlineLevel="0" collapsed="false">
      <c r="A210" s="5" t="n">
        <v>206</v>
      </c>
      <c r="B210" s="5" t="n">
        <v>13</v>
      </c>
      <c r="C210" s="5" t="s">
        <v>38</v>
      </c>
      <c r="D210" s="5" t="s">
        <v>350</v>
      </c>
      <c r="E210" s="33" t="n">
        <v>-18.731809</v>
      </c>
      <c r="F210" s="33" t="n">
        <v>-39.760723</v>
      </c>
      <c r="G210" s="5" t="s">
        <v>713</v>
      </c>
      <c r="H210" s="5" t="s">
        <v>719</v>
      </c>
      <c r="I210" s="25" t="s">
        <v>721</v>
      </c>
      <c r="J210" s="5" t="s">
        <v>174</v>
      </c>
      <c r="K210" s="5" t="s">
        <v>722</v>
      </c>
      <c r="L210" s="21" t="n">
        <v>190.8</v>
      </c>
      <c r="M210" s="5" t="s">
        <v>218</v>
      </c>
      <c r="N210" s="9"/>
    </row>
    <row r="211" customFormat="false" ht="15" hidden="false" customHeight="false" outlineLevel="0" collapsed="false">
      <c r="A211" s="5" t="n">
        <v>207</v>
      </c>
      <c r="B211" s="5" t="n">
        <v>13</v>
      </c>
      <c r="C211" s="5" t="s">
        <v>38</v>
      </c>
      <c r="D211" s="5" t="s">
        <v>293</v>
      </c>
      <c r="E211" s="33" t="n">
        <v>-18.733972</v>
      </c>
      <c r="F211" s="33" t="n">
        <v>-39.758085</v>
      </c>
      <c r="G211" s="5" t="s">
        <v>713</v>
      </c>
      <c r="H211" s="5" t="s">
        <v>719</v>
      </c>
      <c r="I211" s="22" t="s">
        <v>715</v>
      </c>
      <c r="J211" s="5" t="s">
        <v>716</v>
      </c>
      <c r="K211" s="5" t="s">
        <v>720</v>
      </c>
      <c r="L211" s="21" t="n">
        <v>266.2</v>
      </c>
      <c r="M211" s="5" t="s">
        <v>218</v>
      </c>
      <c r="N211" s="9" t="s">
        <v>784</v>
      </c>
    </row>
    <row r="212" customFormat="false" ht="15" hidden="false" customHeight="false" outlineLevel="0" collapsed="false">
      <c r="A212" s="5" t="n">
        <v>208</v>
      </c>
      <c r="B212" s="5" t="n">
        <v>13</v>
      </c>
      <c r="C212" s="5" t="s">
        <v>38</v>
      </c>
      <c r="D212" s="5" t="s">
        <v>351</v>
      </c>
      <c r="E212" s="33" t="n">
        <v>-18.731786</v>
      </c>
      <c r="F212" s="33" t="n">
        <v>-39.761314</v>
      </c>
      <c r="G212" s="5" t="s">
        <v>713</v>
      </c>
      <c r="H212" s="5" t="s">
        <v>719</v>
      </c>
      <c r="I212" s="25" t="s">
        <v>721</v>
      </c>
      <c r="J212" s="5" t="s">
        <v>174</v>
      </c>
      <c r="K212" s="5" t="s">
        <v>722</v>
      </c>
      <c r="L212" s="21" t="n">
        <v>191.2</v>
      </c>
      <c r="M212" s="5" t="s">
        <v>218</v>
      </c>
      <c r="N212" s="9"/>
    </row>
    <row r="213" customFormat="false" ht="15" hidden="false" customHeight="false" outlineLevel="0" collapsed="false">
      <c r="A213" s="5" t="n">
        <v>209</v>
      </c>
      <c r="B213" s="5" t="n">
        <v>13</v>
      </c>
      <c r="C213" s="5" t="s">
        <v>38</v>
      </c>
      <c r="D213" s="5" t="s">
        <v>352</v>
      </c>
      <c r="E213" s="33" t="n">
        <v>-18.733345</v>
      </c>
      <c r="F213" s="33" t="n">
        <v>-39.7616</v>
      </c>
      <c r="G213" s="5" t="s">
        <v>713</v>
      </c>
      <c r="H213" s="5" t="s">
        <v>719</v>
      </c>
      <c r="I213" s="25" t="s">
        <v>721</v>
      </c>
      <c r="J213" s="5" t="s">
        <v>174</v>
      </c>
      <c r="K213" s="5" t="s">
        <v>722</v>
      </c>
      <c r="L213" s="21" t="n">
        <v>156.1</v>
      </c>
      <c r="M213" s="5" t="s">
        <v>218</v>
      </c>
      <c r="N213" s="9"/>
    </row>
    <row r="214" customFormat="false" ht="15" hidden="false" customHeight="false" outlineLevel="0" collapsed="false">
      <c r="A214" s="5" t="n">
        <v>210</v>
      </c>
      <c r="B214" s="5" t="n">
        <v>13</v>
      </c>
      <c r="C214" s="5" t="s">
        <v>38</v>
      </c>
      <c r="D214" s="5" t="s">
        <v>353</v>
      </c>
      <c r="E214" s="33" t="n">
        <v>-18.73191</v>
      </c>
      <c r="F214" s="33" t="n">
        <v>-39.764268</v>
      </c>
      <c r="G214" s="5" t="s">
        <v>713</v>
      </c>
      <c r="H214" s="5" t="s">
        <v>719</v>
      </c>
      <c r="I214" s="25" t="s">
        <v>721</v>
      </c>
      <c r="J214" s="5" t="s">
        <v>174</v>
      </c>
      <c r="K214" s="5" t="s">
        <v>722</v>
      </c>
      <c r="L214" s="21" t="n">
        <v>245.7</v>
      </c>
      <c r="M214" s="5" t="s">
        <v>218</v>
      </c>
      <c r="N214" s="9"/>
    </row>
    <row r="215" customFormat="false" ht="15" hidden="false" customHeight="false" outlineLevel="0" collapsed="false">
      <c r="A215" s="5" t="n">
        <v>211</v>
      </c>
      <c r="B215" s="5" t="n">
        <v>13</v>
      </c>
      <c r="C215" s="5" t="s">
        <v>38</v>
      </c>
      <c r="D215" s="5" t="s">
        <v>354</v>
      </c>
      <c r="E215" s="33" t="n">
        <v>-18.732033</v>
      </c>
      <c r="F215" s="33" t="n">
        <v>-39.763688</v>
      </c>
      <c r="G215" s="5" t="s">
        <v>713</v>
      </c>
      <c r="H215" s="5" t="s">
        <v>719</v>
      </c>
      <c r="I215" s="25" t="s">
        <v>721</v>
      </c>
      <c r="J215" s="5" t="s">
        <v>174</v>
      </c>
      <c r="K215" s="5" t="s">
        <v>720</v>
      </c>
      <c r="L215" s="21" t="n">
        <v>267.4</v>
      </c>
      <c r="M215" s="5" t="s">
        <v>218</v>
      </c>
      <c r="N215" s="9"/>
    </row>
    <row r="216" customFormat="false" ht="15" hidden="false" customHeight="false" outlineLevel="0" collapsed="false">
      <c r="A216" s="5" t="n">
        <v>212</v>
      </c>
      <c r="B216" s="5" t="n">
        <v>13</v>
      </c>
      <c r="C216" s="5" t="s">
        <v>38</v>
      </c>
      <c r="D216" s="5" t="s">
        <v>305</v>
      </c>
      <c r="E216" s="33" t="n">
        <v>-18.734613</v>
      </c>
      <c r="F216" s="33" t="n">
        <v>-39.760192</v>
      </c>
      <c r="G216" s="5" t="s">
        <v>713</v>
      </c>
      <c r="H216" s="5" t="s">
        <v>724</v>
      </c>
      <c r="I216" s="22" t="s">
        <v>725</v>
      </c>
      <c r="J216" s="5" t="s">
        <v>716</v>
      </c>
      <c r="K216" s="5" t="s">
        <v>720</v>
      </c>
      <c r="L216" s="21" t="n">
        <v>333.4</v>
      </c>
      <c r="M216" s="5" t="s">
        <v>218</v>
      </c>
      <c r="N216" s="9"/>
    </row>
    <row r="217" customFormat="false" ht="15" hidden="false" customHeight="false" outlineLevel="0" collapsed="false">
      <c r="A217" s="5" t="n">
        <v>213</v>
      </c>
      <c r="B217" s="5" t="n">
        <v>13</v>
      </c>
      <c r="C217" s="5" t="s">
        <v>38</v>
      </c>
      <c r="D217" s="5" t="s">
        <v>305</v>
      </c>
      <c r="E217" s="33" t="n">
        <v>-18.73346</v>
      </c>
      <c r="F217" s="33" t="n">
        <v>-39.763114</v>
      </c>
      <c r="G217" s="5" t="s">
        <v>713</v>
      </c>
      <c r="H217" s="5" t="s">
        <v>724</v>
      </c>
      <c r="I217" s="22" t="s">
        <v>725</v>
      </c>
      <c r="J217" s="5" t="s">
        <v>716</v>
      </c>
      <c r="K217" s="5" t="s">
        <v>720</v>
      </c>
      <c r="L217" s="21" t="n">
        <v>333.4</v>
      </c>
      <c r="M217" s="5" t="s">
        <v>218</v>
      </c>
      <c r="N217" s="9"/>
    </row>
    <row r="218" customFormat="false" ht="15" hidden="false" customHeight="false" outlineLevel="0" collapsed="false">
      <c r="A218" s="5" t="n">
        <v>214</v>
      </c>
      <c r="B218" s="5" t="n">
        <v>13</v>
      </c>
      <c r="C218" s="5" t="s">
        <v>38</v>
      </c>
      <c r="D218" s="5" t="s">
        <v>305</v>
      </c>
      <c r="E218" s="33" t="n">
        <v>-18.732308</v>
      </c>
      <c r="F218" s="33" t="n">
        <v>-39.766035</v>
      </c>
      <c r="G218" s="5" t="s">
        <v>713</v>
      </c>
      <c r="H218" s="5" t="s">
        <v>714</v>
      </c>
      <c r="I218" s="22" t="s">
        <v>725</v>
      </c>
      <c r="J218" s="5" t="s">
        <v>716</v>
      </c>
      <c r="K218" s="5" t="s">
        <v>720</v>
      </c>
      <c r="L218" s="21" t="n">
        <v>333.4</v>
      </c>
      <c r="M218" s="5" t="s">
        <v>218</v>
      </c>
      <c r="N218" s="9"/>
    </row>
    <row r="219" customFormat="false" ht="15" hidden="false" customHeight="false" outlineLevel="0" collapsed="false">
      <c r="A219" s="5" t="n">
        <v>215</v>
      </c>
      <c r="B219" s="5" t="n">
        <v>13</v>
      </c>
      <c r="C219" s="5" t="s">
        <v>38</v>
      </c>
      <c r="D219" s="5" t="s">
        <v>305</v>
      </c>
      <c r="E219" s="33" t="n">
        <v>-18.73116</v>
      </c>
      <c r="F219" s="33" t="n">
        <v>-39.768956</v>
      </c>
      <c r="G219" s="5" t="s">
        <v>713</v>
      </c>
      <c r="H219" s="5" t="s">
        <v>714</v>
      </c>
      <c r="I219" s="22" t="s">
        <v>725</v>
      </c>
      <c r="J219" s="5" t="s">
        <v>716</v>
      </c>
      <c r="K219" s="5" t="s">
        <v>720</v>
      </c>
      <c r="L219" s="21" t="n">
        <v>333.4</v>
      </c>
      <c r="M219" s="5" t="s">
        <v>218</v>
      </c>
      <c r="N219" s="9"/>
    </row>
    <row r="220" customFormat="false" ht="15" hidden="false" customHeight="false" outlineLevel="0" collapsed="false">
      <c r="A220" s="5" t="n">
        <v>216</v>
      </c>
      <c r="B220" s="5" t="n">
        <v>13</v>
      </c>
      <c r="C220" s="5" t="s">
        <v>38</v>
      </c>
      <c r="D220" s="5" t="s">
        <v>357</v>
      </c>
      <c r="E220" s="33" t="n">
        <v>-18.728832</v>
      </c>
      <c r="F220" s="33" t="n">
        <v>-39.768822</v>
      </c>
      <c r="G220" s="5" t="s">
        <v>713</v>
      </c>
      <c r="H220" s="5" t="s">
        <v>719</v>
      </c>
      <c r="I220" s="25" t="s">
        <v>721</v>
      </c>
      <c r="J220" s="5" t="s">
        <v>174</v>
      </c>
      <c r="K220" s="5" t="s">
        <v>720</v>
      </c>
      <c r="L220" s="21" t="n">
        <v>518</v>
      </c>
      <c r="M220" s="5" t="s">
        <v>218</v>
      </c>
      <c r="N220" s="9"/>
    </row>
    <row r="221" customFormat="false" ht="15" hidden="false" customHeight="false" outlineLevel="0" collapsed="false">
      <c r="A221" s="5" t="n">
        <v>217</v>
      </c>
      <c r="B221" s="5" t="n">
        <v>13</v>
      </c>
      <c r="C221" s="5" t="s">
        <v>38</v>
      </c>
      <c r="D221" s="5" t="s">
        <v>358</v>
      </c>
      <c r="E221" s="33" t="n">
        <v>-18.727421</v>
      </c>
      <c r="F221" s="33" t="n">
        <v>-39.769052</v>
      </c>
      <c r="G221" s="5" t="s">
        <v>713</v>
      </c>
      <c r="H221" s="5" t="s">
        <v>731</v>
      </c>
      <c r="I221" s="25" t="s">
        <v>721</v>
      </c>
      <c r="J221" s="5" t="s">
        <v>174</v>
      </c>
      <c r="K221" s="5" t="s">
        <v>722</v>
      </c>
      <c r="L221" s="21" t="n">
        <v>69.2</v>
      </c>
      <c r="M221" s="5" t="s">
        <v>218</v>
      </c>
      <c r="N221" s="9" t="s">
        <v>785</v>
      </c>
    </row>
    <row r="222" customFormat="false" ht="15" hidden="false" customHeight="false" outlineLevel="0" collapsed="false">
      <c r="A222" s="5" t="n">
        <v>218</v>
      </c>
      <c r="B222" s="5" t="n">
        <v>13</v>
      </c>
      <c r="C222" s="5" t="s">
        <v>38</v>
      </c>
      <c r="D222" s="5" t="s">
        <v>359</v>
      </c>
      <c r="E222" s="33" t="n">
        <v>-18.731124</v>
      </c>
      <c r="F222" s="33" t="n">
        <v>-39.758272</v>
      </c>
      <c r="G222" s="5" t="s">
        <v>713</v>
      </c>
      <c r="H222" s="5" t="s">
        <v>719</v>
      </c>
      <c r="I222" s="25" t="s">
        <v>723</v>
      </c>
      <c r="J222" s="5" t="s">
        <v>174</v>
      </c>
      <c r="K222" s="5" t="s">
        <v>722</v>
      </c>
      <c r="L222" s="21" t="n">
        <v>136.8</v>
      </c>
      <c r="M222" s="5" t="s">
        <v>218</v>
      </c>
      <c r="N222" s="9"/>
    </row>
    <row r="223" customFormat="false" ht="15" hidden="false" customHeight="false" outlineLevel="0" collapsed="false">
      <c r="A223" s="5" t="n">
        <v>219</v>
      </c>
      <c r="B223" s="5" t="n">
        <v>13</v>
      </c>
      <c r="C223" s="5" t="s">
        <v>38</v>
      </c>
      <c r="D223" s="5" t="s">
        <v>360</v>
      </c>
      <c r="E223" s="33" t="n">
        <v>-18.731863</v>
      </c>
      <c r="F223" s="33" t="n">
        <v>-39.759549</v>
      </c>
      <c r="G223" s="5" t="s">
        <v>713</v>
      </c>
      <c r="H223" s="5" t="s">
        <v>719</v>
      </c>
      <c r="I223" s="25" t="s">
        <v>721</v>
      </c>
      <c r="J223" s="5" t="s">
        <v>174</v>
      </c>
      <c r="K223" s="5" t="s">
        <v>722</v>
      </c>
      <c r="L223" s="21" t="n">
        <v>192</v>
      </c>
      <c r="M223" s="5" t="s">
        <v>218</v>
      </c>
      <c r="N223" s="9"/>
    </row>
    <row r="224" customFormat="false" ht="15" hidden="false" customHeight="false" outlineLevel="0" collapsed="false">
      <c r="A224" s="5" t="n">
        <v>220</v>
      </c>
      <c r="B224" s="5" t="n">
        <v>13</v>
      </c>
      <c r="C224" s="5" t="s">
        <v>38</v>
      </c>
      <c r="D224" s="5" t="s">
        <v>281</v>
      </c>
      <c r="E224" s="33" t="n">
        <v>-18.73273</v>
      </c>
      <c r="F224" s="33" t="n">
        <v>-39.759577</v>
      </c>
      <c r="G224" s="5" t="s">
        <v>713</v>
      </c>
      <c r="H224" s="5" t="s">
        <v>714</v>
      </c>
      <c r="I224" s="25" t="s">
        <v>721</v>
      </c>
      <c r="J224" s="5" t="s">
        <v>174</v>
      </c>
      <c r="K224" s="5" t="s">
        <v>217</v>
      </c>
      <c r="L224" s="21" t="n">
        <v>412</v>
      </c>
      <c r="M224" s="5" t="s">
        <v>218</v>
      </c>
      <c r="N224" s="9" t="s">
        <v>786</v>
      </c>
    </row>
    <row r="225" customFormat="false" ht="15" hidden="false" customHeight="false" outlineLevel="0" collapsed="false">
      <c r="A225" s="5" t="n">
        <v>221</v>
      </c>
      <c r="B225" s="5" t="n">
        <v>13</v>
      </c>
      <c r="C225" s="5" t="s">
        <v>38</v>
      </c>
      <c r="D225" s="5" t="s">
        <v>281</v>
      </c>
      <c r="E225" s="33" t="n">
        <v>-18.732558</v>
      </c>
      <c r="F225" s="33" t="n">
        <v>-39.76348</v>
      </c>
      <c r="G225" s="5" t="s">
        <v>713</v>
      </c>
      <c r="H225" s="5" t="s">
        <v>714</v>
      </c>
      <c r="I225" s="25" t="s">
        <v>721</v>
      </c>
      <c r="J225" s="5" t="s">
        <v>174</v>
      </c>
      <c r="K225" s="5" t="s">
        <v>720</v>
      </c>
      <c r="L225" s="21" t="n">
        <v>412</v>
      </c>
      <c r="M225" s="5" t="s">
        <v>218</v>
      </c>
      <c r="N225" s="9" t="s">
        <v>787</v>
      </c>
    </row>
    <row r="226" customFormat="false" ht="15" hidden="false" customHeight="false" outlineLevel="0" collapsed="false">
      <c r="A226" s="5" t="n">
        <v>222</v>
      </c>
      <c r="B226" s="5" t="n">
        <v>13</v>
      </c>
      <c r="C226" s="5" t="s">
        <v>38</v>
      </c>
      <c r="D226" s="5" t="s">
        <v>362</v>
      </c>
      <c r="E226" s="33" t="n">
        <v>-18.72976</v>
      </c>
      <c r="F226" s="33" t="n">
        <v>-39.772521</v>
      </c>
      <c r="G226" s="5" t="s">
        <v>713</v>
      </c>
      <c r="H226" s="5" t="s">
        <v>714</v>
      </c>
      <c r="I226" s="22" t="s">
        <v>725</v>
      </c>
      <c r="J226" s="5" t="s">
        <v>716</v>
      </c>
      <c r="K226" s="5" t="s">
        <v>717</v>
      </c>
      <c r="L226" s="21" t="n">
        <v>479.6</v>
      </c>
      <c r="M226" s="5" t="s">
        <v>218</v>
      </c>
      <c r="N226" s="9"/>
    </row>
    <row r="227" customFormat="false" ht="15" hidden="false" customHeight="false" outlineLevel="0" collapsed="false">
      <c r="A227" s="5" t="n">
        <v>223</v>
      </c>
      <c r="B227" s="5" t="n">
        <v>60</v>
      </c>
      <c r="C227" s="5" t="s">
        <v>87</v>
      </c>
      <c r="D227" s="5" t="s">
        <v>357</v>
      </c>
      <c r="E227" s="33" t="n">
        <v>-18.732541</v>
      </c>
      <c r="F227" s="33" t="n">
        <v>-39.768966</v>
      </c>
      <c r="G227" s="5" t="s">
        <v>713</v>
      </c>
      <c r="H227" s="5" t="s">
        <v>714</v>
      </c>
      <c r="I227" s="25" t="s">
        <v>721</v>
      </c>
      <c r="J227" s="5" t="s">
        <v>174</v>
      </c>
      <c r="K227" s="5" t="s">
        <v>720</v>
      </c>
      <c r="L227" s="21" t="n">
        <v>199.9</v>
      </c>
      <c r="M227" s="5" t="s">
        <v>218</v>
      </c>
      <c r="N227" s="9"/>
    </row>
    <row r="228" customFormat="false" ht="15" hidden="false" customHeight="false" outlineLevel="0" collapsed="false">
      <c r="A228" s="5" t="n">
        <v>224</v>
      </c>
      <c r="B228" s="5" t="n">
        <v>60</v>
      </c>
      <c r="C228" s="5" t="s">
        <v>87</v>
      </c>
      <c r="D228" s="5" t="s">
        <v>327</v>
      </c>
      <c r="E228" s="33" t="n">
        <v>-18.731114</v>
      </c>
      <c r="F228" s="33" t="n">
        <v>-39.770756</v>
      </c>
      <c r="G228" s="5" t="s">
        <v>713</v>
      </c>
      <c r="H228" s="5" t="s">
        <v>731</v>
      </c>
      <c r="I228" s="25" t="s">
        <v>721</v>
      </c>
      <c r="J228" s="5" t="s">
        <v>174</v>
      </c>
      <c r="K228" s="5" t="s">
        <v>722</v>
      </c>
      <c r="L228" s="21" t="n">
        <v>37.8</v>
      </c>
      <c r="M228" s="5" t="s">
        <v>218</v>
      </c>
      <c r="N228" s="9"/>
    </row>
    <row r="229" customFormat="false" ht="15" hidden="false" customHeight="false" outlineLevel="0" collapsed="false">
      <c r="A229" s="5" t="n">
        <v>225</v>
      </c>
      <c r="B229" s="5" t="n">
        <v>60</v>
      </c>
      <c r="C229" s="5" t="s">
        <v>87</v>
      </c>
      <c r="D229" s="5" t="s">
        <v>527</v>
      </c>
      <c r="E229" s="33" t="n">
        <v>-18.733207</v>
      </c>
      <c r="F229" s="33" t="n">
        <v>-39.767833</v>
      </c>
      <c r="G229" s="5" t="s">
        <v>713</v>
      </c>
      <c r="H229" s="5" t="s">
        <v>719</v>
      </c>
      <c r="I229" s="25" t="s">
        <v>721</v>
      </c>
      <c r="J229" s="5" t="s">
        <v>174</v>
      </c>
      <c r="K229" s="5" t="s">
        <v>720</v>
      </c>
      <c r="L229" s="21" t="n">
        <v>248.8</v>
      </c>
      <c r="M229" s="5" t="s">
        <v>218</v>
      </c>
      <c r="N229" s="9"/>
    </row>
    <row r="230" customFormat="false" ht="15" hidden="false" customHeight="false" outlineLevel="0" collapsed="false">
      <c r="A230" s="5" t="n">
        <v>226</v>
      </c>
      <c r="B230" s="5" t="n">
        <v>60</v>
      </c>
      <c r="C230" s="5" t="s">
        <v>87</v>
      </c>
      <c r="D230" s="5" t="s">
        <v>628</v>
      </c>
      <c r="E230" s="33" t="n">
        <v>-18.734156</v>
      </c>
      <c r="F230" s="33" t="n">
        <v>-39.7681</v>
      </c>
      <c r="G230" s="5" t="s">
        <v>713</v>
      </c>
      <c r="H230" s="5" t="s">
        <v>731</v>
      </c>
      <c r="I230" s="25" t="s">
        <v>723</v>
      </c>
      <c r="J230" s="5" t="s">
        <v>174</v>
      </c>
      <c r="K230" s="5" t="s">
        <v>722</v>
      </c>
      <c r="L230" s="21" t="n">
        <v>168.7</v>
      </c>
      <c r="M230" s="5" t="s">
        <v>218</v>
      </c>
      <c r="N230" s="9"/>
    </row>
    <row r="231" customFormat="false" ht="15" hidden="false" customHeight="false" outlineLevel="0" collapsed="false">
      <c r="A231" s="5" t="n">
        <v>227</v>
      </c>
      <c r="B231" s="5" t="n">
        <v>60</v>
      </c>
      <c r="C231" s="5" t="s">
        <v>87</v>
      </c>
      <c r="D231" s="5" t="s">
        <v>616</v>
      </c>
      <c r="E231" s="33" t="n">
        <v>-18.734487</v>
      </c>
      <c r="F231" s="33" t="n">
        <v>-39.762567</v>
      </c>
      <c r="G231" s="5" t="s">
        <v>713</v>
      </c>
      <c r="H231" s="5" t="s">
        <v>719</v>
      </c>
      <c r="I231" s="25" t="s">
        <v>723</v>
      </c>
      <c r="J231" s="5" t="s">
        <v>174</v>
      </c>
      <c r="K231" s="5" t="s">
        <v>720</v>
      </c>
      <c r="L231" s="21" t="n">
        <v>78.5</v>
      </c>
      <c r="M231" s="5" t="s">
        <v>218</v>
      </c>
      <c r="N231" s="9"/>
    </row>
    <row r="232" customFormat="false" ht="15" hidden="false" customHeight="false" outlineLevel="0" collapsed="false">
      <c r="A232" s="5" t="n">
        <v>228</v>
      </c>
      <c r="B232" s="5" t="n">
        <v>60</v>
      </c>
      <c r="C232" s="5" t="s">
        <v>87</v>
      </c>
      <c r="D232" s="5" t="s">
        <v>354</v>
      </c>
      <c r="E232" s="33" t="n">
        <v>-18.734202</v>
      </c>
      <c r="F232" s="33" t="n">
        <v>-39.763777</v>
      </c>
      <c r="G232" s="5" t="s">
        <v>713</v>
      </c>
      <c r="H232" s="5" t="s">
        <v>719</v>
      </c>
      <c r="I232" s="25" t="s">
        <v>723</v>
      </c>
      <c r="J232" s="5" t="s">
        <v>174</v>
      </c>
      <c r="K232" s="5" t="s">
        <v>720</v>
      </c>
      <c r="L232" s="21" t="n">
        <v>110.2</v>
      </c>
      <c r="M232" s="5" t="s">
        <v>218</v>
      </c>
      <c r="N232" s="9"/>
    </row>
    <row r="233" customFormat="false" ht="15" hidden="false" customHeight="false" outlineLevel="0" collapsed="false">
      <c r="A233" s="5" t="n">
        <v>229</v>
      </c>
      <c r="B233" s="5" t="n">
        <v>60</v>
      </c>
      <c r="C233" s="5" t="s">
        <v>87</v>
      </c>
      <c r="D233" s="5" t="s">
        <v>629</v>
      </c>
      <c r="E233" s="33" t="n">
        <v>-18.734073</v>
      </c>
      <c r="F233" s="33" t="n">
        <v>-39.764357</v>
      </c>
      <c r="G233" s="5" t="s">
        <v>713</v>
      </c>
      <c r="H233" s="5" t="s">
        <v>719</v>
      </c>
      <c r="I233" s="25" t="s">
        <v>723</v>
      </c>
      <c r="J233" s="5" t="s">
        <v>174</v>
      </c>
      <c r="K233" s="5" t="s">
        <v>720</v>
      </c>
      <c r="L233" s="21" t="n">
        <v>131.5</v>
      </c>
      <c r="M233" s="5" t="s">
        <v>218</v>
      </c>
      <c r="N233" s="9"/>
    </row>
    <row r="234" customFormat="false" ht="15" hidden="false" customHeight="false" outlineLevel="0" collapsed="false">
      <c r="A234" s="5" t="n">
        <v>230</v>
      </c>
      <c r="B234" s="5" t="n">
        <v>60</v>
      </c>
      <c r="C234" s="5" t="s">
        <v>87</v>
      </c>
      <c r="D234" s="5" t="s">
        <v>328</v>
      </c>
      <c r="E234" s="33" t="n">
        <v>-18.733063</v>
      </c>
      <c r="F234" s="33" t="n">
        <v>-39.768422</v>
      </c>
      <c r="G234" s="5" t="s">
        <v>713</v>
      </c>
      <c r="H234" s="5" t="s">
        <v>719</v>
      </c>
      <c r="I234" s="25" t="s">
        <v>721</v>
      </c>
      <c r="J234" s="5" t="s">
        <v>174</v>
      </c>
      <c r="K234" s="5" t="s">
        <v>722</v>
      </c>
      <c r="L234" s="21" t="n">
        <v>268.1</v>
      </c>
      <c r="M234" s="5" t="s">
        <v>218</v>
      </c>
      <c r="N234" s="9"/>
    </row>
    <row r="235" customFormat="false" ht="15" hidden="false" customHeight="false" outlineLevel="0" collapsed="false">
      <c r="A235" s="5" t="n">
        <v>231</v>
      </c>
      <c r="B235" s="5" t="n">
        <v>60</v>
      </c>
      <c r="C235" s="5" t="s">
        <v>87</v>
      </c>
      <c r="D235" s="5" t="s">
        <v>336</v>
      </c>
      <c r="E235" s="33" t="n">
        <v>-18.733635</v>
      </c>
      <c r="F235" s="33" t="n">
        <v>-39.766095</v>
      </c>
      <c r="G235" s="5" t="s">
        <v>713</v>
      </c>
      <c r="H235" s="5" t="s">
        <v>719</v>
      </c>
      <c r="I235" s="25" t="s">
        <v>723</v>
      </c>
      <c r="J235" s="5" t="s">
        <v>174</v>
      </c>
      <c r="K235" s="5" t="s">
        <v>720</v>
      </c>
      <c r="L235" s="21" t="n">
        <v>191.3</v>
      </c>
      <c r="M235" s="5" t="s">
        <v>218</v>
      </c>
      <c r="N235" s="9"/>
    </row>
    <row r="236" customFormat="false" ht="15" hidden="false" customHeight="false" outlineLevel="0" collapsed="false">
      <c r="A236" s="5" t="n">
        <v>232</v>
      </c>
      <c r="B236" s="5" t="n">
        <v>60</v>
      </c>
      <c r="C236" s="5" t="s">
        <v>87</v>
      </c>
      <c r="D236" s="5" t="s">
        <v>630</v>
      </c>
      <c r="E236" s="33" t="n">
        <v>-18.733929</v>
      </c>
      <c r="F236" s="33" t="n">
        <v>-39.764941</v>
      </c>
      <c r="G236" s="5" t="s">
        <v>713</v>
      </c>
      <c r="H236" s="5" t="s">
        <v>719</v>
      </c>
      <c r="I236" s="25" t="s">
        <v>723</v>
      </c>
      <c r="J236" s="5" t="s">
        <v>174</v>
      </c>
      <c r="K236" s="5" t="s">
        <v>720</v>
      </c>
      <c r="L236" s="21" t="n">
        <v>151</v>
      </c>
      <c r="M236" s="5" t="s">
        <v>218</v>
      </c>
      <c r="N236" s="9"/>
    </row>
    <row r="237" customFormat="false" ht="15" hidden="false" customHeight="false" outlineLevel="0" collapsed="false">
      <c r="A237" s="5" t="n">
        <v>233</v>
      </c>
      <c r="B237" s="5" t="n">
        <v>60</v>
      </c>
      <c r="C237" s="5" t="s">
        <v>87</v>
      </c>
      <c r="D237" s="5" t="s">
        <v>322</v>
      </c>
      <c r="E237" s="33" t="n">
        <v>-18.733492</v>
      </c>
      <c r="F237" s="33" t="n">
        <v>-39.766664</v>
      </c>
      <c r="G237" s="5" t="s">
        <v>713</v>
      </c>
      <c r="H237" s="5" t="s">
        <v>719</v>
      </c>
      <c r="I237" s="25" t="s">
        <v>723</v>
      </c>
      <c r="J237" s="5" t="s">
        <v>174</v>
      </c>
      <c r="K237" s="5" t="s">
        <v>720</v>
      </c>
      <c r="L237" s="21" t="n">
        <v>210.8</v>
      </c>
      <c r="M237" s="5" t="s">
        <v>218</v>
      </c>
      <c r="N237" s="9"/>
    </row>
    <row r="238" customFormat="false" ht="15" hidden="false" customHeight="false" outlineLevel="0" collapsed="false">
      <c r="A238" s="5" t="n">
        <v>234</v>
      </c>
      <c r="B238" s="5" t="n">
        <v>60</v>
      </c>
      <c r="C238" s="5" t="s">
        <v>87</v>
      </c>
      <c r="D238" s="5" t="s">
        <v>352</v>
      </c>
      <c r="E238" s="33" t="n">
        <v>-18.734706</v>
      </c>
      <c r="F238" s="33" t="n">
        <v>-39.761715</v>
      </c>
      <c r="G238" s="5" t="s">
        <v>713</v>
      </c>
      <c r="H238" s="5" t="s">
        <v>719</v>
      </c>
      <c r="I238" s="25" t="s">
        <v>723</v>
      </c>
      <c r="J238" s="5" t="s">
        <v>174</v>
      </c>
      <c r="K238" s="5" t="s">
        <v>722</v>
      </c>
      <c r="L238" s="21" t="n">
        <v>47.8</v>
      </c>
      <c r="M238" s="5" t="s">
        <v>218</v>
      </c>
      <c r="N238" s="9"/>
    </row>
    <row r="239" customFormat="false" ht="15" hidden="false" customHeight="false" outlineLevel="0" collapsed="false">
      <c r="A239" s="5" t="n">
        <v>235</v>
      </c>
      <c r="B239" s="5" t="n">
        <v>60</v>
      </c>
      <c r="C239" s="5" t="s">
        <v>87</v>
      </c>
      <c r="D239" s="5" t="s">
        <v>325</v>
      </c>
      <c r="E239" s="33" t="n">
        <v>-18.733779</v>
      </c>
      <c r="F239" s="33" t="n">
        <v>-39.765497</v>
      </c>
      <c r="G239" s="5" t="s">
        <v>713</v>
      </c>
      <c r="H239" s="5" t="s">
        <v>719</v>
      </c>
      <c r="I239" s="25" t="s">
        <v>723</v>
      </c>
      <c r="J239" s="5" t="s">
        <v>174</v>
      </c>
      <c r="K239" s="5" t="s">
        <v>722</v>
      </c>
      <c r="L239" s="21" t="n">
        <v>172.1</v>
      </c>
      <c r="M239" s="5" t="s">
        <v>218</v>
      </c>
      <c r="N239" s="9"/>
    </row>
    <row r="240" customFormat="false" ht="15" hidden="false" customHeight="false" outlineLevel="0" collapsed="false">
      <c r="A240" s="5" t="n">
        <v>236</v>
      </c>
      <c r="B240" s="5" t="n">
        <v>60</v>
      </c>
      <c r="C240" s="5" t="s">
        <v>87</v>
      </c>
      <c r="D240" s="5" t="s">
        <v>332</v>
      </c>
      <c r="E240" s="33" t="n">
        <v>-18.733355</v>
      </c>
      <c r="F240" s="33" t="n">
        <v>-39.767255</v>
      </c>
      <c r="G240" s="5" t="s">
        <v>713</v>
      </c>
      <c r="H240" s="5" t="s">
        <v>719</v>
      </c>
      <c r="I240" s="25" t="s">
        <v>721</v>
      </c>
      <c r="J240" s="5" t="s">
        <v>174</v>
      </c>
      <c r="K240" s="5" t="s">
        <v>720</v>
      </c>
      <c r="L240" s="21" t="n">
        <v>228.2</v>
      </c>
      <c r="M240" s="5" t="s">
        <v>218</v>
      </c>
      <c r="N240" s="9"/>
    </row>
    <row r="241" customFormat="false" ht="15" hidden="false" customHeight="false" outlineLevel="0" collapsed="false">
      <c r="A241" s="5" t="n">
        <v>237</v>
      </c>
      <c r="B241" s="5" t="n">
        <v>60</v>
      </c>
      <c r="C241" s="5" t="s">
        <v>87</v>
      </c>
      <c r="D241" s="5" t="s">
        <v>618</v>
      </c>
      <c r="E241" s="33" t="n">
        <v>-18.73435</v>
      </c>
      <c r="F241" s="33" t="n">
        <v>-39.763179</v>
      </c>
      <c r="G241" s="5" t="s">
        <v>713</v>
      </c>
      <c r="H241" s="5" t="s">
        <v>719</v>
      </c>
      <c r="I241" s="25" t="s">
        <v>723</v>
      </c>
      <c r="J241" s="5" t="s">
        <v>174</v>
      </c>
      <c r="K241" s="5" t="s">
        <v>722</v>
      </c>
      <c r="L241" s="21" t="n">
        <v>96.2</v>
      </c>
      <c r="M241" s="5" t="s">
        <v>218</v>
      </c>
      <c r="N241" s="9"/>
    </row>
    <row r="242" customFormat="false" ht="15" hidden="false" customHeight="false" outlineLevel="0" collapsed="false">
      <c r="A242" s="5" t="n">
        <v>238</v>
      </c>
      <c r="B242" s="5" t="n">
        <v>60</v>
      </c>
      <c r="C242" s="5" t="s">
        <v>87</v>
      </c>
      <c r="D242" s="5" t="s">
        <v>281</v>
      </c>
      <c r="E242" s="33" t="n">
        <v>-18.732343</v>
      </c>
      <c r="F242" s="33" t="n">
        <v>-39.767997</v>
      </c>
      <c r="G242" s="5" t="s">
        <v>713</v>
      </c>
      <c r="H242" s="5" t="s">
        <v>719</v>
      </c>
      <c r="I242" s="25" t="s">
        <v>721</v>
      </c>
      <c r="J242" s="5" t="s">
        <v>174</v>
      </c>
      <c r="K242" s="5" t="s">
        <v>722</v>
      </c>
      <c r="L242" s="21" t="n">
        <v>205.2</v>
      </c>
      <c r="M242" s="5" t="s">
        <v>218</v>
      </c>
      <c r="N242" s="9" t="s">
        <v>788</v>
      </c>
    </row>
    <row r="243" customFormat="false" ht="15" hidden="false" customHeight="false" outlineLevel="0" collapsed="false">
      <c r="A243" s="5" t="n">
        <v>239</v>
      </c>
      <c r="B243" s="5" t="n">
        <v>60</v>
      </c>
      <c r="C243" s="5" t="s">
        <v>87</v>
      </c>
      <c r="D243" s="5" t="s">
        <v>275</v>
      </c>
      <c r="E243" s="33" t="n">
        <v>-18.734178</v>
      </c>
      <c r="F243" s="33" t="n">
        <v>-39.765953</v>
      </c>
      <c r="G243" s="5" t="s">
        <v>713</v>
      </c>
      <c r="H243" s="5" t="s">
        <v>719</v>
      </c>
      <c r="I243" s="25" t="s">
        <v>723</v>
      </c>
      <c r="J243" s="5" t="s">
        <v>174</v>
      </c>
      <c r="K243" s="5" t="s">
        <v>720</v>
      </c>
      <c r="L243" s="21" t="n">
        <v>284.2</v>
      </c>
      <c r="M243" s="5" t="s">
        <v>218</v>
      </c>
      <c r="N243" s="9" t="s">
        <v>788</v>
      </c>
    </row>
    <row r="244" customFormat="false" ht="15" hidden="false" customHeight="false" outlineLevel="0" collapsed="false">
      <c r="A244" s="5" t="n">
        <v>240</v>
      </c>
      <c r="B244" s="5" t="n">
        <v>60</v>
      </c>
      <c r="C244" s="5" t="s">
        <v>87</v>
      </c>
      <c r="D244" s="5" t="s">
        <v>633</v>
      </c>
      <c r="E244" s="33" t="n">
        <v>-18.731579</v>
      </c>
      <c r="F244" s="33" t="n">
        <v>-39.769571</v>
      </c>
      <c r="G244" s="5" t="s">
        <v>713</v>
      </c>
      <c r="H244" s="5" t="s">
        <v>719</v>
      </c>
      <c r="I244" s="25" t="s">
        <v>723</v>
      </c>
      <c r="J244" s="5" t="s">
        <v>174</v>
      </c>
      <c r="K244" s="5" t="s">
        <v>720</v>
      </c>
      <c r="L244" s="21" t="n">
        <v>137.1</v>
      </c>
      <c r="M244" s="5" t="s">
        <v>218</v>
      </c>
      <c r="N244" s="9"/>
    </row>
    <row r="245" customFormat="false" ht="15" hidden="false" customHeight="false" outlineLevel="0" collapsed="false">
      <c r="A245" s="5" t="n">
        <v>241</v>
      </c>
      <c r="B245" s="5" t="n">
        <v>60</v>
      </c>
      <c r="C245" s="5" t="s">
        <v>87</v>
      </c>
      <c r="D245" s="5" t="s">
        <v>634</v>
      </c>
      <c r="E245" s="33" t="n">
        <v>-18.731264</v>
      </c>
      <c r="F245" s="33" t="n">
        <v>-39.770134</v>
      </c>
      <c r="G245" s="5" t="s">
        <v>713</v>
      </c>
      <c r="H245" s="5" t="s">
        <v>731</v>
      </c>
      <c r="I245" s="25" t="s">
        <v>721</v>
      </c>
      <c r="J245" s="5" t="s">
        <v>174</v>
      </c>
      <c r="K245" s="5" t="s">
        <v>722</v>
      </c>
      <c r="L245" s="21" t="n">
        <v>18.4</v>
      </c>
      <c r="M245" s="5" t="s">
        <v>218</v>
      </c>
      <c r="N245" s="9"/>
    </row>
    <row r="246" customFormat="false" ht="15" hidden="false" customHeight="false" outlineLevel="0" collapsed="false">
      <c r="A246" s="5" t="n">
        <v>242</v>
      </c>
      <c r="B246" s="5" t="n">
        <v>60</v>
      </c>
      <c r="C246" s="5" t="s">
        <v>87</v>
      </c>
      <c r="D246" s="5" t="s">
        <v>635</v>
      </c>
      <c r="E246" s="33" t="n">
        <v>-18.732447</v>
      </c>
      <c r="F246" s="33" t="n">
        <v>-39.769971</v>
      </c>
      <c r="G246" s="5" t="s">
        <v>713</v>
      </c>
      <c r="H246" s="5" t="s">
        <v>714</v>
      </c>
      <c r="I246" s="25" t="s">
        <v>723</v>
      </c>
      <c r="J246" s="5" t="s">
        <v>174</v>
      </c>
      <c r="K246" s="5" t="s">
        <v>720</v>
      </c>
      <c r="L246" s="21" t="n">
        <v>442.6</v>
      </c>
      <c r="M246" s="5" t="s">
        <v>218</v>
      </c>
      <c r="N246" s="9" t="s">
        <v>789</v>
      </c>
    </row>
    <row r="247" customFormat="false" ht="15" hidden="false" customHeight="false" outlineLevel="0" collapsed="false">
      <c r="A247" s="5" t="n">
        <v>243</v>
      </c>
      <c r="B247" s="5" t="n">
        <v>60</v>
      </c>
      <c r="C247" s="5" t="s">
        <v>87</v>
      </c>
      <c r="D247" s="5" t="s">
        <v>637</v>
      </c>
      <c r="E247" s="33" t="n">
        <v>-18.73213</v>
      </c>
      <c r="F247" s="33" t="n">
        <v>-39.769545</v>
      </c>
      <c r="G247" s="5" t="s">
        <v>713</v>
      </c>
      <c r="H247" s="5" t="s">
        <v>719</v>
      </c>
      <c r="I247" s="25" t="s">
        <v>723</v>
      </c>
      <c r="J247" s="5" t="s">
        <v>174</v>
      </c>
      <c r="K247" s="5" t="s">
        <v>722</v>
      </c>
      <c r="L247" s="21" t="n">
        <v>120.3</v>
      </c>
      <c r="M247" s="5" t="s">
        <v>218</v>
      </c>
      <c r="N247" s="9"/>
    </row>
    <row r="248" customFormat="false" ht="15" hidden="false" customHeight="false" outlineLevel="0" collapsed="false">
      <c r="A248" s="5" t="n">
        <v>244</v>
      </c>
      <c r="B248" s="5" t="n">
        <v>60</v>
      </c>
      <c r="C248" s="5" t="s">
        <v>87</v>
      </c>
      <c r="D248" s="5" t="s">
        <v>638</v>
      </c>
      <c r="E248" s="33" t="n">
        <v>-18.731852</v>
      </c>
      <c r="F248" s="33" t="n">
        <v>-39.769985</v>
      </c>
      <c r="G248" s="5" t="s">
        <v>713</v>
      </c>
      <c r="H248" s="5" t="s">
        <v>719</v>
      </c>
      <c r="I248" s="25" t="s">
        <v>723</v>
      </c>
      <c r="J248" s="5" t="s">
        <v>174</v>
      </c>
      <c r="K248" s="5" t="s">
        <v>722</v>
      </c>
      <c r="L248" s="21" t="n">
        <v>91.6</v>
      </c>
      <c r="M248" s="5" t="s">
        <v>218</v>
      </c>
      <c r="N248" s="9"/>
    </row>
    <row r="249" customFormat="false" ht="15" hidden="false" customHeight="false" outlineLevel="0" collapsed="false">
      <c r="A249" s="5" t="n">
        <v>245</v>
      </c>
      <c r="B249" s="5" t="n">
        <v>27</v>
      </c>
      <c r="C249" s="5" t="s">
        <v>54</v>
      </c>
      <c r="D249" s="5" t="s">
        <v>427</v>
      </c>
      <c r="E249" s="33" t="n">
        <v>-18.760826</v>
      </c>
      <c r="F249" s="33" t="n">
        <v>-39.765706</v>
      </c>
      <c r="G249" s="5" t="s">
        <v>713</v>
      </c>
      <c r="H249" s="5" t="s">
        <v>724</v>
      </c>
      <c r="I249" s="25" t="s">
        <v>721</v>
      </c>
      <c r="J249" s="5" t="s">
        <v>174</v>
      </c>
      <c r="K249" s="5" t="s">
        <v>722</v>
      </c>
      <c r="L249" s="21" t="n">
        <v>331.9</v>
      </c>
      <c r="M249" s="5" t="s">
        <v>218</v>
      </c>
      <c r="N249" s="9"/>
    </row>
    <row r="250" customFormat="false" ht="15" hidden="false" customHeight="false" outlineLevel="0" collapsed="false">
      <c r="A250" s="5" t="n">
        <v>246</v>
      </c>
      <c r="B250" s="5" t="n">
        <v>27</v>
      </c>
      <c r="C250" s="5" t="s">
        <v>54</v>
      </c>
      <c r="D250" s="5" t="s">
        <v>427</v>
      </c>
      <c r="E250" s="33" t="n">
        <v>-18.760606</v>
      </c>
      <c r="F250" s="33" t="n">
        <v>-39.762566</v>
      </c>
      <c r="G250" s="5" t="s">
        <v>713</v>
      </c>
      <c r="H250" s="5" t="s">
        <v>724</v>
      </c>
      <c r="I250" s="25" t="s">
        <v>721</v>
      </c>
      <c r="J250" s="5" t="s">
        <v>174</v>
      </c>
      <c r="K250" s="5" t="s">
        <v>722</v>
      </c>
      <c r="L250" s="21" t="n">
        <v>331.9</v>
      </c>
      <c r="M250" s="5" t="s">
        <v>218</v>
      </c>
      <c r="N250" s="9"/>
    </row>
    <row r="251" customFormat="false" ht="15" hidden="false" customHeight="false" outlineLevel="0" collapsed="false">
      <c r="A251" s="5" t="n">
        <v>247</v>
      </c>
      <c r="B251" s="5" t="n">
        <v>27</v>
      </c>
      <c r="C251" s="5" t="s">
        <v>54</v>
      </c>
      <c r="D251" s="5" t="s">
        <v>427</v>
      </c>
      <c r="E251" s="33" t="n">
        <v>-18.760382</v>
      </c>
      <c r="F251" s="33" t="n">
        <v>-39.759427</v>
      </c>
      <c r="G251" s="5" t="s">
        <v>713</v>
      </c>
      <c r="H251" s="5" t="s">
        <v>724</v>
      </c>
      <c r="I251" s="25" t="s">
        <v>721</v>
      </c>
      <c r="J251" s="5" t="s">
        <v>174</v>
      </c>
      <c r="K251" s="5" t="s">
        <v>722</v>
      </c>
      <c r="L251" s="21" t="n">
        <v>331.9</v>
      </c>
      <c r="M251" s="5" t="s">
        <v>218</v>
      </c>
      <c r="N251" s="9" t="s">
        <v>728</v>
      </c>
    </row>
    <row r="252" customFormat="false" ht="15" hidden="false" customHeight="false" outlineLevel="0" collapsed="false">
      <c r="A252" s="5" t="n">
        <v>248</v>
      </c>
      <c r="B252" s="5" t="n">
        <v>27</v>
      </c>
      <c r="C252" s="5" t="s">
        <v>54</v>
      </c>
      <c r="D252" s="5" t="s">
        <v>427</v>
      </c>
      <c r="E252" s="33" t="n">
        <v>-18.760163</v>
      </c>
      <c r="F252" s="33" t="n">
        <v>-39.756287</v>
      </c>
      <c r="G252" s="5" t="s">
        <v>713</v>
      </c>
      <c r="H252" s="5" t="s">
        <v>724</v>
      </c>
      <c r="I252" s="25" t="s">
        <v>721</v>
      </c>
      <c r="J252" s="5" t="s">
        <v>174</v>
      </c>
      <c r="K252" s="5" t="s">
        <v>722</v>
      </c>
      <c r="L252" s="21" t="n">
        <v>331.9</v>
      </c>
      <c r="M252" s="5" t="s">
        <v>218</v>
      </c>
      <c r="N252" s="9" t="s">
        <v>728</v>
      </c>
    </row>
    <row r="253" customFormat="false" ht="15" hidden="false" customHeight="false" outlineLevel="0" collapsed="false">
      <c r="A253" s="5" t="n">
        <v>249</v>
      </c>
      <c r="B253" s="5" t="n">
        <v>27</v>
      </c>
      <c r="C253" s="5" t="s">
        <v>54</v>
      </c>
      <c r="D253" s="5" t="s">
        <v>427</v>
      </c>
      <c r="E253" s="33" t="n">
        <v>-18.759942</v>
      </c>
      <c r="F253" s="33" t="n">
        <v>-39.753148</v>
      </c>
      <c r="G253" s="5" t="s">
        <v>713</v>
      </c>
      <c r="H253" s="5" t="s">
        <v>724</v>
      </c>
      <c r="I253" s="25" t="s">
        <v>721</v>
      </c>
      <c r="J253" s="5" t="s">
        <v>174</v>
      </c>
      <c r="K253" s="5" t="s">
        <v>722</v>
      </c>
      <c r="L253" s="21" t="n">
        <v>331.9</v>
      </c>
      <c r="M253" s="5" t="s">
        <v>218</v>
      </c>
      <c r="N253" s="9"/>
    </row>
    <row r="254" customFormat="false" ht="15" hidden="false" customHeight="false" outlineLevel="0" collapsed="false">
      <c r="A254" s="5" t="n">
        <v>250</v>
      </c>
      <c r="B254" s="5" t="n">
        <v>27</v>
      </c>
      <c r="C254" s="5" t="s">
        <v>54</v>
      </c>
      <c r="D254" s="5" t="s">
        <v>427</v>
      </c>
      <c r="E254" s="33" t="n">
        <v>-18.759707</v>
      </c>
      <c r="F254" s="33" t="n">
        <v>-39.750009</v>
      </c>
      <c r="G254" s="5" t="s">
        <v>713</v>
      </c>
      <c r="H254" s="5" t="s">
        <v>724</v>
      </c>
      <c r="I254" s="25" t="s">
        <v>721</v>
      </c>
      <c r="J254" s="5" t="s">
        <v>174</v>
      </c>
      <c r="K254" s="5" t="s">
        <v>722</v>
      </c>
      <c r="L254" s="21" t="n">
        <v>331.9</v>
      </c>
      <c r="M254" s="5" t="s">
        <v>218</v>
      </c>
      <c r="N254" s="9" t="s">
        <v>728</v>
      </c>
    </row>
    <row r="255" customFormat="false" ht="15" hidden="false" customHeight="false" outlineLevel="0" collapsed="false">
      <c r="A255" s="5" t="n">
        <v>251</v>
      </c>
      <c r="B255" s="5" t="n">
        <v>27</v>
      </c>
      <c r="C255" s="5" t="s">
        <v>54</v>
      </c>
      <c r="D255" s="10" t="s">
        <v>746</v>
      </c>
      <c r="E255" s="33" t="n">
        <v>-18.760894</v>
      </c>
      <c r="F255" s="33" t="n">
        <v>-39.767173</v>
      </c>
      <c r="G255" s="5" t="s">
        <v>713</v>
      </c>
      <c r="H255" s="5" t="s">
        <v>724</v>
      </c>
      <c r="I255" s="25" t="s">
        <v>721</v>
      </c>
      <c r="J255" s="5" t="s">
        <v>174</v>
      </c>
      <c r="K255" s="5" t="s">
        <v>722</v>
      </c>
      <c r="L255" s="21" t="n">
        <v>152.1</v>
      </c>
      <c r="M255" s="5" t="s">
        <v>218</v>
      </c>
      <c r="N255" s="9"/>
    </row>
    <row r="256" customFormat="false" ht="15" hidden="false" customHeight="false" outlineLevel="0" collapsed="false">
      <c r="A256" s="5" t="n">
        <v>252</v>
      </c>
      <c r="B256" s="5" t="n">
        <v>27</v>
      </c>
      <c r="C256" s="5" t="s">
        <v>54</v>
      </c>
      <c r="D256" s="10" t="s">
        <v>746</v>
      </c>
      <c r="E256" s="33" t="n">
        <v>-18.760861</v>
      </c>
      <c r="F256" s="33" t="n">
        <v>-39.766592</v>
      </c>
      <c r="G256" s="5" t="s">
        <v>713</v>
      </c>
      <c r="H256" s="5" t="s">
        <v>724</v>
      </c>
      <c r="I256" s="25" t="s">
        <v>721</v>
      </c>
      <c r="J256" s="5" t="s">
        <v>174</v>
      </c>
      <c r="K256" s="5" t="s">
        <v>722</v>
      </c>
      <c r="L256" s="21" t="n">
        <v>148.7</v>
      </c>
      <c r="M256" s="5" t="s">
        <v>218</v>
      </c>
      <c r="N256" s="9"/>
    </row>
    <row r="257" customFormat="false" ht="15" hidden="false" customHeight="false" outlineLevel="0" collapsed="false">
      <c r="A257" s="5" t="n">
        <v>253</v>
      </c>
      <c r="B257" s="5" t="n">
        <v>27</v>
      </c>
      <c r="C257" s="5" t="s">
        <v>54</v>
      </c>
      <c r="D257" s="10" t="s">
        <v>746</v>
      </c>
      <c r="E257" s="33" t="n">
        <v>-18.76077</v>
      </c>
      <c r="F257" s="33" t="n">
        <v>-39.765997</v>
      </c>
      <c r="G257" s="5" t="s">
        <v>713</v>
      </c>
      <c r="H257" s="5" t="s">
        <v>724</v>
      </c>
      <c r="I257" s="25" t="s">
        <v>721</v>
      </c>
      <c r="J257" s="5" t="s">
        <v>174</v>
      </c>
      <c r="K257" s="5" t="s">
        <v>722</v>
      </c>
      <c r="L257" s="21" t="n">
        <v>142.1</v>
      </c>
      <c r="M257" s="5" t="s">
        <v>218</v>
      </c>
      <c r="N257" s="9"/>
    </row>
    <row r="258" customFormat="false" ht="15" hidden="false" customHeight="false" outlineLevel="0" collapsed="false">
      <c r="A258" s="5" t="n">
        <v>254</v>
      </c>
      <c r="B258" s="5" t="n">
        <v>27</v>
      </c>
      <c r="C258" s="5" t="s">
        <v>54</v>
      </c>
      <c r="D258" s="10" t="s">
        <v>746</v>
      </c>
      <c r="E258" s="33" t="n">
        <v>-18.760705</v>
      </c>
      <c r="F258" s="33" t="n">
        <v>-39.765406</v>
      </c>
      <c r="G258" s="5" t="s">
        <v>713</v>
      </c>
      <c r="H258" s="5" t="s">
        <v>724</v>
      </c>
      <c r="I258" s="25" t="s">
        <v>721</v>
      </c>
      <c r="J258" s="5" t="s">
        <v>174</v>
      </c>
      <c r="K258" s="5" t="s">
        <v>722</v>
      </c>
      <c r="L258" s="21" t="n">
        <v>154</v>
      </c>
      <c r="M258" s="5" t="s">
        <v>218</v>
      </c>
      <c r="N258" s="9"/>
    </row>
    <row r="259" customFormat="false" ht="15" hidden="false" customHeight="false" outlineLevel="0" collapsed="false">
      <c r="A259" s="5" t="n">
        <v>255</v>
      </c>
      <c r="B259" s="5" t="n">
        <v>27</v>
      </c>
      <c r="C259" s="5" t="s">
        <v>54</v>
      </c>
      <c r="D259" s="10" t="s">
        <v>746</v>
      </c>
      <c r="E259" s="33" t="n">
        <v>-18.76069</v>
      </c>
      <c r="F259" s="33" t="n">
        <v>-39.764827</v>
      </c>
      <c r="G259" s="5" t="s">
        <v>713</v>
      </c>
      <c r="H259" s="5" t="s">
        <v>724</v>
      </c>
      <c r="I259" s="25" t="s">
        <v>721</v>
      </c>
      <c r="J259" s="5" t="s">
        <v>174</v>
      </c>
      <c r="K259" s="5" t="s">
        <v>722</v>
      </c>
      <c r="L259" s="21" t="n">
        <v>151</v>
      </c>
      <c r="M259" s="5" t="s">
        <v>218</v>
      </c>
      <c r="N259" s="9" t="s">
        <v>728</v>
      </c>
    </row>
    <row r="260" customFormat="false" ht="15" hidden="false" customHeight="false" outlineLevel="0" collapsed="false">
      <c r="A260" s="5" t="n">
        <v>256</v>
      </c>
      <c r="B260" s="5" t="n">
        <v>27</v>
      </c>
      <c r="C260" s="5" t="s">
        <v>54</v>
      </c>
      <c r="D260" s="10" t="s">
        <v>746</v>
      </c>
      <c r="E260" s="33" t="n">
        <v>-18.760641</v>
      </c>
      <c r="F260" s="33" t="n">
        <v>-39.764254</v>
      </c>
      <c r="G260" s="5" t="s">
        <v>713</v>
      </c>
      <c r="H260" s="5" t="s">
        <v>724</v>
      </c>
      <c r="I260" s="25" t="s">
        <v>721</v>
      </c>
      <c r="J260" s="5" t="s">
        <v>174</v>
      </c>
      <c r="K260" s="5" t="s">
        <v>722</v>
      </c>
      <c r="L260" s="21" t="n">
        <v>139.8</v>
      </c>
      <c r="M260" s="5" t="s">
        <v>218</v>
      </c>
      <c r="N260" s="9"/>
    </row>
    <row r="261" customFormat="false" ht="15" hidden="false" customHeight="false" outlineLevel="0" collapsed="false">
      <c r="A261" s="5" t="n">
        <v>257</v>
      </c>
      <c r="B261" s="5" t="n">
        <v>27</v>
      </c>
      <c r="C261" s="5" t="s">
        <v>54</v>
      </c>
      <c r="D261" s="10" t="s">
        <v>746</v>
      </c>
      <c r="E261" s="33" t="n">
        <v>-18.76059</v>
      </c>
      <c r="F261" s="33" t="n">
        <v>-39.763656</v>
      </c>
      <c r="G261" s="5" t="s">
        <v>713</v>
      </c>
      <c r="H261" s="5" t="s">
        <v>724</v>
      </c>
      <c r="I261" s="25" t="s">
        <v>721</v>
      </c>
      <c r="J261" s="5" t="s">
        <v>174</v>
      </c>
      <c r="K261" s="5" t="s">
        <v>722</v>
      </c>
      <c r="L261" s="21" t="n">
        <v>157.6</v>
      </c>
      <c r="M261" s="5" t="s">
        <v>218</v>
      </c>
      <c r="N261" s="9"/>
    </row>
    <row r="262" customFormat="false" ht="15" hidden="false" customHeight="false" outlineLevel="0" collapsed="false">
      <c r="A262" s="5" t="n">
        <v>258</v>
      </c>
      <c r="B262" s="5" t="n">
        <v>27</v>
      </c>
      <c r="C262" s="5" t="s">
        <v>54</v>
      </c>
      <c r="D262" s="10" t="s">
        <v>746</v>
      </c>
      <c r="E262" s="33" t="n">
        <v>-18.760555</v>
      </c>
      <c r="F262" s="33" t="n">
        <v>-39.763066</v>
      </c>
      <c r="G262" s="5" t="s">
        <v>713</v>
      </c>
      <c r="H262" s="5" t="s">
        <v>724</v>
      </c>
      <c r="I262" s="25" t="s">
        <v>721</v>
      </c>
      <c r="J262" s="5" t="s">
        <v>174</v>
      </c>
      <c r="K262" s="5" t="s">
        <v>722</v>
      </c>
      <c r="L262" s="21" t="n">
        <v>158.7</v>
      </c>
      <c r="M262" s="5" t="s">
        <v>218</v>
      </c>
      <c r="N262" s="9"/>
    </row>
    <row r="263" customFormat="false" ht="15" hidden="false" customHeight="false" outlineLevel="0" collapsed="false">
      <c r="A263" s="5" t="n">
        <v>259</v>
      </c>
      <c r="B263" s="5" t="n">
        <v>27</v>
      </c>
      <c r="C263" s="5" t="s">
        <v>54</v>
      </c>
      <c r="D263" s="10" t="s">
        <v>746</v>
      </c>
      <c r="E263" s="33" t="n">
        <v>-18.76043</v>
      </c>
      <c r="F263" s="33" t="n">
        <v>-39.761901</v>
      </c>
      <c r="G263" s="5" t="s">
        <v>713</v>
      </c>
      <c r="H263" s="5" t="s">
        <v>724</v>
      </c>
      <c r="I263" s="25" t="s">
        <v>721</v>
      </c>
      <c r="J263" s="5" t="s">
        <v>174</v>
      </c>
      <c r="K263" s="5" t="s">
        <v>722</v>
      </c>
      <c r="L263" s="21" t="n">
        <v>155.1</v>
      </c>
      <c r="M263" s="5" t="s">
        <v>218</v>
      </c>
      <c r="N263" s="9" t="s">
        <v>728</v>
      </c>
    </row>
    <row r="264" customFormat="false" ht="15" hidden="false" customHeight="false" outlineLevel="0" collapsed="false">
      <c r="A264" s="5" t="n">
        <v>260</v>
      </c>
      <c r="B264" s="5" t="n">
        <v>27</v>
      </c>
      <c r="C264" s="5" t="s">
        <v>54</v>
      </c>
      <c r="D264" s="10" t="s">
        <v>746</v>
      </c>
      <c r="E264" s="33" t="n">
        <v>-18.760311</v>
      </c>
      <c r="F264" s="33" t="n">
        <v>-39.76015</v>
      </c>
      <c r="G264" s="5" t="s">
        <v>713</v>
      </c>
      <c r="H264" s="5" t="s">
        <v>724</v>
      </c>
      <c r="I264" s="25" t="s">
        <v>721</v>
      </c>
      <c r="J264" s="5" t="s">
        <v>174</v>
      </c>
      <c r="K264" s="5" t="s">
        <v>722</v>
      </c>
      <c r="L264" s="21" t="n">
        <v>170.7</v>
      </c>
      <c r="M264" s="5" t="s">
        <v>218</v>
      </c>
      <c r="N264" s="9" t="s">
        <v>728</v>
      </c>
    </row>
    <row r="265" customFormat="false" ht="15" hidden="false" customHeight="false" outlineLevel="0" collapsed="false">
      <c r="A265" s="5" t="n">
        <v>261</v>
      </c>
      <c r="B265" s="5" t="n">
        <v>27</v>
      </c>
      <c r="C265" s="5" t="s">
        <v>54</v>
      </c>
      <c r="D265" s="10" t="s">
        <v>746</v>
      </c>
      <c r="E265" s="33" t="n">
        <v>-18.760258</v>
      </c>
      <c r="F265" s="33" t="n">
        <v>-39.759552</v>
      </c>
      <c r="G265" s="5" t="s">
        <v>713</v>
      </c>
      <c r="H265" s="5" t="s">
        <v>724</v>
      </c>
      <c r="I265" s="25" t="s">
        <v>721</v>
      </c>
      <c r="J265" s="5" t="s">
        <v>174</v>
      </c>
      <c r="K265" s="5" t="s">
        <v>722</v>
      </c>
      <c r="L265" s="21" t="n">
        <v>173.7</v>
      </c>
      <c r="M265" s="5" t="s">
        <v>218</v>
      </c>
      <c r="N265" s="9" t="s">
        <v>728</v>
      </c>
    </row>
    <row r="266" customFormat="false" ht="15" hidden="false" customHeight="false" outlineLevel="0" collapsed="false">
      <c r="A266" s="5" t="n">
        <v>262</v>
      </c>
      <c r="B266" s="5" t="n">
        <v>27</v>
      </c>
      <c r="C266" s="5" t="s">
        <v>54</v>
      </c>
      <c r="D266" s="10" t="s">
        <v>746</v>
      </c>
      <c r="E266" s="33" t="n">
        <v>-18.760161</v>
      </c>
      <c r="F266" s="33" t="n">
        <v>-39.758975</v>
      </c>
      <c r="G266" s="5" t="s">
        <v>713</v>
      </c>
      <c r="H266" s="5" t="s">
        <v>724</v>
      </c>
      <c r="I266" s="25" t="s">
        <v>721</v>
      </c>
      <c r="J266" s="5" t="s">
        <v>174</v>
      </c>
      <c r="K266" s="5" t="s">
        <v>722</v>
      </c>
      <c r="L266" s="21" t="n">
        <v>166.4</v>
      </c>
      <c r="M266" s="5" t="s">
        <v>218</v>
      </c>
      <c r="N266" s="9" t="s">
        <v>728</v>
      </c>
    </row>
    <row r="267" customFormat="false" ht="15" hidden="false" customHeight="false" outlineLevel="0" collapsed="false">
      <c r="A267" s="5" t="n">
        <v>263</v>
      </c>
      <c r="B267" s="5" t="n">
        <v>27</v>
      </c>
      <c r="C267" s="5" t="s">
        <v>54</v>
      </c>
      <c r="D267" s="10" t="s">
        <v>746</v>
      </c>
      <c r="E267" s="33" t="n">
        <v>-18.759993</v>
      </c>
      <c r="F267" s="33" t="n">
        <v>-39.758394</v>
      </c>
      <c r="G267" s="5" t="s">
        <v>713</v>
      </c>
      <c r="H267" s="5" t="s">
        <v>724</v>
      </c>
      <c r="I267" s="25" t="s">
        <v>721</v>
      </c>
      <c r="J267" s="5" t="s">
        <v>174</v>
      </c>
      <c r="K267" s="5" t="s">
        <v>722</v>
      </c>
      <c r="L267" s="21" t="n">
        <v>143.6</v>
      </c>
      <c r="M267" s="5" t="s">
        <v>218</v>
      </c>
      <c r="N267" s="9" t="s">
        <v>790</v>
      </c>
    </row>
    <row r="268" customFormat="false" ht="15" hidden="false" customHeight="false" outlineLevel="0" collapsed="false">
      <c r="A268" s="5" t="n">
        <v>264</v>
      </c>
      <c r="B268" s="5" t="n">
        <v>27</v>
      </c>
      <c r="C268" s="5" t="s">
        <v>54</v>
      </c>
      <c r="D268" s="10" t="s">
        <v>746</v>
      </c>
      <c r="E268" s="33" t="n">
        <v>-18.760071</v>
      </c>
      <c r="F268" s="33" t="n">
        <v>-39.757813</v>
      </c>
      <c r="G268" s="5" t="s">
        <v>713</v>
      </c>
      <c r="H268" s="5" t="s">
        <v>724</v>
      </c>
      <c r="I268" s="25" t="s">
        <v>721</v>
      </c>
      <c r="J268" s="5" t="s">
        <v>174</v>
      </c>
      <c r="K268" s="5" t="s">
        <v>722</v>
      </c>
      <c r="L268" s="21" t="n">
        <v>175.1</v>
      </c>
      <c r="M268" s="5" t="s">
        <v>218</v>
      </c>
      <c r="N268" s="9"/>
    </row>
    <row r="269" customFormat="false" ht="15" hidden="false" customHeight="false" outlineLevel="0" collapsed="false">
      <c r="A269" s="5" t="n">
        <v>265</v>
      </c>
      <c r="B269" s="5" t="n">
        <v>27</v>
      </c>
      <c r="C269" s="5" t="s">
        <v>54</v>
      </c>
      <c r="D269" s="10" t="s">
        <v>746</v>
      </c>
      <c r="E269" s="33" t="n">
        <v>-18.760033</v>
      </c>
      <c r="F269" s="33" t="n">
        <v>-39.757221</v>
      </c>
      <c r="G269" s="5" t="s">
        <v>713</v>
      </c>
      <c r="H269" s="5" t="s">
        <v>724</v>
      </c>
      <c r="I269" s="25" t="s">
        <v>721</v>
      </c>
      <c r="J269" s="5" t="s">
        <v>174</v>
      </c>
      <c r="K269" s="5" t="s">
        <v>722</v>
      </c>
      <c r="L269" s="21" t="n">
        <v>181.2</v>
      </c>
      <c r="M269" s="5" t="s">
        <v>218</v>
      </c>
      <c r="N269" s="9"/>
    </row>
    <row r="270" customFormat="false" ht="15" hidden="false" customHeight="false" outlineLevel="0" collapsed="false">
      <c r="A270" s="5" t="n">
        <v>266</v>
      </c>
      <c r="B270" s="5" t="n">
        <v>27</v>
      </c>
      <c r="C270" s="5" t="s">
        <v>54</v>
      </c>
      <c r="D270" s="10" t="s">
        <v>746</v>
      </c>
      <c r="E270" s="33" t="n">
        <v>-18.760105</v>
      </c>
      <c r="F270" s="33" t="n">
        <v>-39.756608</v>
      </c>
      <c r="G270" s="5" t="s">
        <v>713</v>
      </c>
      <c r="H270" s="5" t="s">
        <v>724</v>
      </c>
      <c r="I270" s="25" t="s">
        <v>721</v>
      </c>
      <c r="J270" s="5" t="s">
        <v>174</v>
      </c>
      <c r="K270" s="5" t="s">
        <v>722</v>
      </c>
      <c r="L270" s="21" t="n">
        <v>169.9</v>
      </c>
      <c r="M270" s="5" t="s">
        <v>218</v>
      </c>
      <c r="N270" s="9" t="s">
        <v>728</v>
      </c>
    </row>
    <row r="271" customFormat="false" ht="15" hidden="false" customHeight="false" outlineLevel="0" collapsed="false">
      <c r="A271" s="5" t="n">
        <v>267</v>
      </c>
      <c r="B271" s="5" t="n">
        <v>27</v>
      </c>
      <c r="C271" s="5" t="s">
        <v>54</v>
      </c>
      <c r="D271" s="10" t="s">
        <v>746</v>
      </c>
      <c r="E271" s="33" t="n">
        <v>-18.76001</v>
      </c>
      <c r="F271" s="33" t="n">
        <v>-39.756032</v>
      </c>
      <c r="G271" s="5" t="s">
        <v>713</v>
      </c>
      <c r="H271" s="5" t="s">
        <v>724</v>
      </c>
      <c r="I271" s="25" t="s">
        <v>721</v>
      </c>
      <c r="J271" s="5" t="s">
        <v>174</v>
      </c>
      <c r="K271" s="5" t="s">
        <v>722</v>
      </c>
      <c r="L271" s="21" t="n">
        <v>168.8</v>
      </c>
      <c r="M271" s="5" t="s">
        <v>218</v>
      </c>
      <c r="N271" s="9"/>
    </row>
    <row r="272" customFormat="false" ht="15" hidden="false" customHeight="false" outlineLevel="0" collapsed="false">
      <c r="A272" s="5" t="n">
        <v>268</v>
      </c>
      <c r="B272" s="5" t="n">
        <v>27</v>
      </c>
      <c r="C272" s="5" t="s">
        <v>54</v>
      </c>
      <c r="D272" s="10" t="s">
        <v>746</v>
      </c>
      <c r="E272" s="33" t="n">
        <v>-18.759986</v>
      </c>
      <c r="F272" s="33" t="n">
        <v>-39.755448</v>
      </c>
      <c r="G272" s="5" t="s">
        <v>713</v>
      </c>
      <c r="H272" s="5" t="s">
        <v>724</v>
      </c>
      <c r="I272" s="25" t="s">
        <v>721</v>
      </c>
      <c r="J272" s="5" t="s">
        <v>174</v>
      </c>
      <c r="K272" s="5" t="s">
        <v>722</v>
      </c>
      <c r="L272" s="21" t="n">
        <v>169.9</v>
      </c>
      <c r="M272" s="5" t="s">
        <v>218</v>
      </c>
      <c r="N272" s="9"/>
    </row>
    <row r="273" customFormat="false" ht="15" hidden="false" customHeight="false" outlineLevel="0" collapsed="false">
      <c r="A273" s="5" t="n">
        <v>269</v>
      </c>
      <c r="B273" s="5" t="n">
        <v>27</v>
      </c>
      <c r="C273" s="5" t="s">
        <v>54</v>
      </c>
      <c r="D273" s="10" t="s">
        <v>746</v>
      </c>
      <c r="E273" s="33" t="n">
        <v>-18.75994</v>
      </c>
      <c r="F273" s="33" t="n">
        <v>-39.754849</v>
      </c>
      <c r="G273" s="5" t="s">
        <v>713</v>
      </c>
      <c r="H273" s="5" t="s">
        <v>724</v>
      </c>
      <c r="I273" s="25" t="s">
        <v>721</v>
      </c>
      <c r="J273" s="5" t="s">
        <v>174</v>
      </c>
      <c r="K273" s="5" t="s">
        <v>722</v>
      </c>
      <c r="L273" s="21" t="n">
        <v>170.9</v>
      </c>
      <c r="M273" s="5" t="s">
        <v>218</v>
      </c>
      <c r="N273" s="9"/>
    </row>
    <row r="274" customFormat="false" ht="15" hidden="false" customHeight="false" outlineLevel="0" collapsed="false">
      <c r="A274" s="5" t="n">
        <v>270</v>
      </c>
      <c r="B274" s="5" t="n">
        <v>27</v>
      </c>
      <c r="C274" s="5" t="s">
        <v>54</v>
      </c>
      <c r="D274" s="10" t="s">
        <v>746</v>
      </c>
      <c r="E274" s="33" t="n">
        <v>-18.759896</v>
      </c>
      <c r="F274" s="33" t="n">
        <v>-39.754277</v>
      </c>
      <c r="G274" s="5" t="s">
        <v>713</v>
      </c>
      <c r="H274" s="5" t="s">
        <v>724</v>
      </c>
      <c r="I274" s="25" t="s">
        <v>721</v>
      </c>
      <c r="J274" s="5" t="s">
        <v>174</v>
      </c>
      <c r="K274" s="5" t="s">
        <v>722</v>
      </c>
      <c r="L274" s="21" t="n">
        <v>171.9</v>
      </c>
      <c r="M274" s="5" t="s">
        <v>218</v>
      </c>
      <c r="N274" s="9"/>
    </row>
    <row r="275" customFormat="false" ht="15" hidden="false" customHeight="false" outlineLevel="0" collapsed="false">
      <c r="A275" s="5" t="n">
        <v>271</v>
      </c>
      <c r="B275" s="5" t="n">
        <v>27</v>
      </c>
      <c r="C275" s="5" t="s">
        <v>54</v>
      </c>
      <c r="D275" s="10" t="s">
        <v>746</v>
      </c>
      <c r="E275" s="33" t="n">
        <v>-18.75986</v>
      </c>
      <c r="F275" s="33" t="n">
        <v>-39.753687</v>
      </c>
      <c r="G275" s="5" t="s">
        <v>713</v>
      </c>
      <c r="H275" s="5" t="s">
        <v>724</v>
      </c>
      <c r="I275" s="25" t="s">
        <v>721</v>
      </c>
      <c r="J275" s="5" t="s">
        <v>174</v>
      </c>
      <c r="K275" s="5" t="s">
        <v>722</v>
      </c>
      <c r="L275" s="21" t="n">
        <v>175.2</v>
      </c>
      <c r="M275" s="5" t="s">
        <v>218</v>
      </c>
      <c r="N275" s="9"/>
    </row>
    <row r="276" customFormat="false" ht="15" hidden="false" customHeight="false" outlineLevel="0" collapsed="false">
      <c r="A276" s="5" t="n">
        <v>272</v>
      </c>
      <c r="B276" s="5" t="n">
        <v>27</v>
      </c>
      <c r="C276" s="5" t="s">
        <v>54</v>
      </c>
      <c r="D276" s="10" t="s">
        <v>746</v>
      </c>
      <c r="E276" s="33" t="n">
        <v>-18.7598</v>
      </c>
      <c r="F276" s="33" t="n">
        <v>-39.752508</v>
      </c>
      <c r="G276" s="5" t="s">
        <v>713</v>
      </c>
      <c r="H276" s="5" t="s">
        <v>724</v>
      </c>
      <c r="I276" s="25" t="s">
        <v>723</v>
      </c>
      <c r="J276" s="5" t="s">
        <v>174</v>
      </c>
      <c r="K276" s="5" t="s">
        <v>722</v>
      </c>
      <c r="L276" s="21" t="n">
        <v>166.4</v>
      </c>
      <c r="M276" s="5" t="s">
        <v>218</v>
      </c>
      <c r="N276" s="9"/>
    </row>
    <row r="277" customFormat="false" ht="15" hidden="false" customHeight="false" outlineLevel="0" collapsed="false">
      <c r="A277" s="5" t="n">
        <v>273</v>
      </c>
      <c r="B277" s="5" t="n">
        <v>27</v>
      </c>
      <c r="C277" s="5" t="s">
        <v>54</v>
      </c>
      <c r="D277" s="10" t="s">
        <v>746</v>
      </c>
      <c r="E277" s="33" t="n">
        <v>-18.759705</v>
      </c>
      <c r="F277" s="33" t="n">
        <v>-39.751702</v>
      </c>
      <c r="G277" s="5" t="s">
        <v>713</v>
      </c>
      <c r="H277" s="5" t="s">
        <v>791</v>
      </c>
      <c r="I277" s="25" t="s">
        <v>721</v>
      </c>
      <c r="J277" s="5" t="s">
        <v>174</v>
      </c>
      <c r="K277" s="5" t="s">
        <v>722</v>
      </c>
      <c r="L277" s="21" t="n">
        <v>165.4</v>
      </c>
      <c r="M277" s="5" t="s">
        <v>218</v>
      </c>
      <c r="N277" s="9"/>
    </row>
    <row r="278" customFormat="false" ht="15" hidden="false" customHeight="false" outlineLevel="0" collapsed="false">
      <c r="A278" s="5" t="n">
        <v>274</v>
      </c>
      <c r="B278" s="5" t="n">
        <v>27</v>
      </c>
      <c r="C278" s="5" t="s">
        <v>54</v>
      </c>
      <c r="D278" s="10" t="s">
        <v>746</v>
      </c>
      <c r="E278" s="33" t="n">
        <v>-18.759675</v>
      </c>
      <c r="F278" s="33" t="n">
        <v>-39.751109</v>
      </c>
      <c r="G278" s="5" t="s">
        <v>713</v>
      </c>
      <c r="H278" s="5" t="s">
        <v>724</v>
      </c>
      <c r="I278" s="25" t="s">
        <v>723</v>
      </c>
      <c r="J278" s="5" t="s">
        <v>174</v>
      </c>
      <c r="K278" s="5" t="s">
        <v>722</v>
      </c>
      <c r="L278" s="21" t="n">
        <v>174.3</v>
      </c>
      <c r="M278" s="5" t="s">
        <v>218</v>
      </c>
      <c r="N278" s="9"/>
    </row>
    <row r="279" customFormat="false" ht="15" hidden="false" customHeight="false" outlineLevel="0" collapsed="false">
      <c r="A279" s="5" t="n">
        <v>275</v>
      </c>
      <c r="B279" s="5" t="n">
        <v>27</v>
      </c>
      <c r="C279" s="5" t="s">
        <v>54</v>
      </c>
      <c r="D279" s="10" t="s">
        <v>746</v>
      </c>
      <c r="E279" s="33" t="n">
        <v>-18.759635</v>
      </c>
      <c r="F279" s="33" t="n">
        <v>-39.750529</v>
      </c>
      <c r="G279" s="5" t="s">
        <v>713</v>
      </c>
      <c r="H279" s="5" t="s">
        <v>791</v>
      </c>
      <c r="I279" s="25" t="s">
        <v>721</v>
      </c>
      <c r="J279" s="5" t="s">
        <v>174</v>
      </c>
      <c r="K279" s="5" t="s">
        <v>722</v>
      </c>
      <c r="L279" s="21" t="n">
        <v>178.7</v>
      </c>
      <c r="M279" s="5" t="s">
        <v>218</v>
      </c>
      <c r="N279" s="9"/>
    </row>
    <row r="280" customFormat="false" ht="15" hidden="false" customHeight="false" outlineLevel="0" collapsed="false">
      <c r="A280" s="5" t="n">
        <v>276</v>
      </c>
      <c r="B280" s="5" t="n">
        <v>27</v>
      </c>
      <c r="C280" s="5" t="s">
        <v>54</v>
      </c>
      <c r="D280" s="5" t="s">
        <v>171</v>
      </c>
      <c r="E280" s="33" t="n">
        <v>-18.75986</v>
      </c>
      <c r="F280" s="33" t="n">
        <v>-39.75215</v>
      </c>
      <c r="G280" s="5" t="s">
        <v>713</v>
      </c>
      <c r="H280" s="5" t="s">
        <v>724</v>
      </c>
      <c r="I280" s="22" t="s">
        <v>715</v>
      </c>
      <c r="J280" s="5" t="s">
        <v>716</v>
      </c>
      <c r="K280" s="5" t="s">
        <v>720</v>
      </c>
      <c r="L280" s="21" t="n">
        <v>236</v>
      </c>
      <c r="M280" s="5" t="s">
        <v>218</v>
      </c>
      <c r="N280" s="9"/>
    </row>
    <row r="281" customFormat="false" ht="15" hidden="false" customHeight="false" outlineLevel="0" collapsed="false">
      <c r="A281" s="5" t="n">
        <v>277</v>
      </c>
      <c r="B281" s="5" t="n">
        <v>27</v>
      </c>
      <c r="C281" s="5" t="s">
        <v>54</v>
      </c>
      <c r="D281" s="5" t="s">
        <v>138</v>
      </c>
      <c r="E281" s="33" t="n">
        <v>-18.759598</v>
      </c>
      <c r="F281" s="33" t="n">
        <v>-39.74844</v>
      </c>
      <c r="G281" s="5" t="s">
        <v>713</v>
      </c>
      <c r="H281" s="5" t="s">
        <v>731</v>
      </c>
      <c r="I281" s="25" t="s">
        <v>721</v>
      </c>
      <c r="J281" s="5" t="s">
        <v>174</v>
      </c>
      <c r="K281" s="5" t="s">
        <v>722</v>
      </c>
      <c r="L281" s="21" t="n">
        <v>234.3</v>
      </c>
      <c r="M281" s="5" t="s">
        <v>218</v>
      </c>
      <c r="N281" s="9"/>
    </row>
    <row r="282" customFormat="false" ht="15" hidden="false" customHeight="false" outlineLevel="0" collapsed="false">
      <c r="A282" s="5" t="n">
        <v>278</v>
      </c>
      <c r="B282" s="5" t="n">
        <v>78</v>
      </c>
      <c r="C282" s="5" t="s">
        <v>95</v>
      </c>
      <c r="D282" s="10" t="s">
        <v>746</v>
      </c>
      <c r="E282" s="33" t="n">
        <v>-18.75899</v>
      </c>
      <c r="F282" s="33" t="n">
        <v>-39.76202</v>
      </c>
      <c r="G282" s="5" t="s">
        <v>736</v>
      </c>
      <c r="H282" s="5" t="s">
        <v>218</v>
      </c>
      <c r="I282" s="25" t="s">
        <v>721</v>
      </c>
      <c r="J282" s="5" t="s">
        <v>174</v>
      </c>
      <c r="K282" s="5" t="s">
        <v>218</v>
      </c>
      <c r="L282" s="21" t="n">
        <v>48.9</v>
      </c>
      <c r="M282" s="5" t="s">
        <v>216</v>
      </c>
      <c r="N282" s="9" t="s">
        <v>792</v>
      </c>
    </row>
    <row r="283" customFormat="false" ht="15" hidden="false" customHeight="false" outlineLevel="0" collapsed="false">
      <c r="A283" s="5" t="n">
        <v>279</v>
      </c>
      <c r="B283" s="5" t="n">
        <v>78</v>
      </c>
      <c r="C283" s="5" t="s">
        <v>95</v>
      </c>
      <c r="D283" s="10" t="s">
        <v>746</v>
      </c>
      <c r="E283" s="33" t="n">
        <v>-18.759185</v>
      </c>
      <c r="F283" s="33" t="n">
        <v>-39.7617</v>
      </c>
      <c r="G283" s="5" t="s">
        <v>736</v>
      </c>
      <c r="H283" s="5" t="s">
        <v>218</v>
      </c>
      <c r="I283" s="25" t="s">
        <v>721</v>
      </c>
      <c r="J283" s="5" t="s">
        <v>174</v>
      </c>
      <c r="K283" s="5" t="s">
        <v>218</v>
      </c>
      <c r="L283" s="21" t="n">
        <v>63.5</v>
      </c>
      <c r="M283" s="5" t="s">
        <v>737</v>
      </c>
      <c r="N283" s="9"/>
    </row>
    <row r="284" customFormat="false" ht="15" hidden="false" customHeight="false" outlineLevel="0" collapsed="false">
      <c r="A284" s="5" t="n">
        <v>280</v>
      </c>
      <c r="B284" s="5" t="n">
        <v>78</v>
      </c>
      <c r="C284" s="5" t="s">
        <v>95</v>
      </c>
      <c r="D284" s="10" t="s">
        <v>746</v>
      </c>
      <c r="E284" s="33" t="n">
        <v>-18.759489</v>
      </c>
      <c r="F284" s="33" t="n">
        <v>-39.761977</v>
      </c>
      <c r="G284" s="5" t="s">
        <v>736</v>
      </c>
      <c r="H284" s="5" t="s">
        <v>218</v>
      </c>
      <c r="I284" s="25" t="s">
        <v>721</v>
      </c>
      <c r="J284" s="5" t="s">
        <v>174</v>
      </c>
      <c r="K284" s="5" t="s">
        <v>218</v>
      </c>
      <c r="L284" s="21" t="n">
        <v>62</v>
      </c>
      <c r="M284" s="5" t="s">
        <v>737</v>
      </c>
      <c r="N284" s="9" t="s">
        <v>793</v>
      </c>
    </row>
    <row r="285" customFormat="false" ht="15" hidden="false" customHeight="false" outlineLevel="0" collapsed="false">
      <c r="A285" s="5" t="n">
        <v>281</v>
      </c>
      <c r="B285" s="5" t="n">
        <v>78</v>
      </c>
      <c r="C285" s="5" t="s">
        <v>95</v>
      </c>
      <c r="D285" s="10" t="s">
        <v>746</v>
      </c>
      <c r="E285" s="33" t="n">
        <v>-18.758945</v>
      </c>
      <c r="F285" s="33" t="n">
        <v>-39.76142</v>
      </c>
      <c r="G285" s="5" t="s">
        <v>736</v>
      </c>
      <c r="H285" s="5" t="s">
        <v>218</v>
      </c>
      <c r="I285" s="25" t="s">
        <v>721</v>
      </c>
      <c r="J285" s="5" t="s">
        <v>174</v>
      </c>
      <c r="K285" s="5" t="s">
        <v>218</v>
      </c>
      <c r="L285" s="21" t="n">
        <v>47.8</v>
      </c>
      <c r="M285" s="5" t="s">
        <v>737</v>
      </c>
      <c r="N285" s="9"/>
    </row>
    <row r="286" customFormat="false" ht="15" hidden="false" customHeight="false" outlineLevel="0" collapsed="false">
      <c r="A286" s="5" t="n">
        <v>282</v>
      </c>
      <c r="B286" s="5" t="n">
        <v>78</v>
      </c>
      <c r="C286" s="5" t="s">
        <v>95</v>
      </c>
      <c r="D286" s="10" t="s">
        <v>746</v>
      </c>
      <c r="E286" s="33" t="n">
        <v>-18.759145</v>
      </c>
      <c r="F286" s="33" t="n">
        <v>-39.76111</v>
      </c>
      <c r="G286" s="5" t="s">
        <v>736</v>
      </c>
      <c r="H286" s="5" t="s">
        <v>218</v>
      </c>
      <c r="I286" s="25" t="s">
        <v>721</v>
      </c>
      <c r="J286" s="5" t="s">
        <v>174</v>
      </c>
      <c r="K286" s="5" t="s">
        <v>218</v>
      </c>
      <c r="L286" s="21" t="n">
        <v>61.2</v>
      </c>
      <c r="M286" s="5" t="s">
        <v>737</v>
      </c>
      <c r="N286" s="9"/>
    </row>
    <row r="287" customFormat="false" ht="15" hidden="false" customHeight="false" outlineLevel="0" collapsed="false">
      <c r="A287" s="5" t="n">
        <v>283</v>
      </c>
      <c r="B287" s="5" t="n">
        <v>78</v>
      </c>
      <c r="C287" s="5" t="s">
        <v>95</v>
      </c>
      <c r="D287" s="10" t="s">
        <v>746</v>
      </c>
      <c r="E287" s="33" t="n">
        <v>-18.75936</v>
      </c>
      <c r="F287" s="33" t="n">
        <v>-39.761385</v>
      </c>
      <c r="G287" s="5" t="s">
        <v>736</v>
      </c>
      <c r="H287" s="5" t="s">
        <v>218</v>
      </c>
      <c r="I287" s="25" t="s">
        <v>721</v>
      </c>
      <c r="J287" s="5" t="s">
        <v>174</v>
      </c>
      <c r="K287" s="5" t="s">
        <v>218</v>
      </c>
      <c r="L287" s="21" t="n">
        <v>44.4</v>
      </c>
      <c r="M287" s="5" t="s">
        <v>216</v>
      </c>
      <c r="N287" s="9" t="s">
        <v>794</v>
      </c>
    </row>
    <row r="288" customFormat="false" ht="15" hidden="false" customHeight="false" outlineLevel="0" collapsed="false">
      <c r="A288" s="5" t="n">
        <v>284</v>
      </c>
      <c r="B288" s="5" t="n">
        <v>78</v>
      </c>
      <c r="C288" s="5" t="s">
        <v>95</v>
      </c>
      <c r="D288" s="10" t="s">
        <v>746</v>
      </c>
      <c r="E288" s="33" t="n">
        <v>-18.75892</v>
      </c>
      <c r="F288" s="33" t="n">
        <v>-39.76084</v>
      </c>
      <c r="G288" s="5" t="s">
        <v>736</v>
      </c>
      <c r="H288" s="5" t="s">
        <v>218</v>
      </c>
      <c r="I288" s="25" t="s">
        <v>721</v>
      </c>
      <c r="J288" s="5" t="s">
        <v>174</v>
      </c>
      <c r="K288" s="5" t="s">
        <v>218</v>
      </c>
      <c r="L288" s="21" t="n">
        <v>46.7</v>
      </c>
      <c r="M288" s="5" t="s">
        <v>737</v>
      </c>
      <c r="N288" s="9"/>
    </row>
    <row r="289" customFormat="false" ht="15" hidden="false" customHeight="false" outlineLevel="0" collapsed="false">
      <c r="A289" s="5" t="n">
        <v>285</v>
      </c>
      <c r="B289" s="5" t="n">
        <v>78</v>
      </c>
      <c r="C289" s="5" t="s">
        <v>95</v>
      </c>
      <c r="D289" s="10" t="s">
        <v>746</v>
      </c>
      <c r="E289" s="33" t="n">
        <v>-18.7591</v>
      </c>
      <c r="F289" s="33" t="n">
        <v>-39.760535</v>
      </c>
      <c r="G289" s="5" t="s">
        <v>736</v>
      </c>
      <c r="H289" s="5" t="s">
        <v>218</v>
      </c>
      <c r="I289" s="25" t="s">
        <v>721</v>
      </c>
      <c r="J289" s="5" t="s">
        <v>174</v>
      </c>
      <c r="K289" s="5" t="s">
        <v>218</v>
      </c>
      <c r="L289" s="21" t="n">
        <v>60.4</v>
      </c>
      <c r="M289" s="5" t="s">
        <v>737</v>
      </c>
      <c r="N289" s="9"/>
    </row>
    <row r="290" customFormat="false" ht="15" hidden="false" customHeight="false" outlineLevel="0" collapsed="false">
      <c r="A290" s="5" t="n">
        <v>286</v>
      </c>
      <c r="B290" s="5" t="n">
        <v>78</v>
      </c>
      <c r="C290" s="5" t="s">
        <v>95</v>
      </c>
      <c r="D290" s="10" t="s">
        <v>746</v>
      </c>
      <c r="E290" s="33" t="n">
        <v>-18.75886</v>
      </c>
      <c r="F290" s="33" t="n">
        <v>-39.76027</v>
      </c>
      <c r="G290" s="5" t="s">
        <v>736</v>
      </c>
      <c r="H290" s="5" t="s">
        <v>218</v>
      </c>
      <c r="I290" s="25" t="s">
        <v>721</v>
      </c>
      <c r="J290" s="5" t="s">
        <v>174</v>
      </c>
      <c r="K290" s="5" t="s">
        <v>218</v>
      </c>
      <c r="L290" s="21" t="n">
        <v>46.7</v>
      </c>
      <c r="M290" s="5" t="s">
        <v>737</v>
      </c>
      <c r="N290" s="9"/>
    </row>
    <row r="291" customFormat="false" ht="15" hidden="false" customHeight="false" outlineLevel="0" collapsed="false">
      <c r="A291" s="5" t="n">
        <v>287</v>
      </c>
      <c r="B291" s="5" t="n">
        <v>78</v>
      </c>
      <c r="C291" s="5" t="s">
        <v>95</v>
      </c>
      <c r="D291" s="10" t="s">
        <v>746</v>
      </c>
      <c r="E291" s="33" t="n">
        <v>-18.759045</v>
      </c>
      <c r="F291" s="33" t="n">
        <v>-39.759955</v>
      </c>
      <c r="G291" s="5" t="s">
        <v>736</v>
      </c>
      <c r="H291" s="5" t="s">
        <v>218</v>
      </c>
      <c r="I291" s="25" t="s">
        <v>721</v>
      </c>
      <c r="J291" s="5" t="s">
        <v>174</v>
      </c>
      <c r="K291" s="5" t="s">
        <v>218</v>
      </c>
      <c r="L291" s="21" t="n">
        <v>62.4</v>
      </c>
      <c r="M291" s="5" t="s">
        <v>737</v>
      </c>
      <c r="N291" s="9"/>
    </row>
    <row r="292" customFormat="false" ht="15" hidden="false" customHeight="false" outlineLevel="0" collapsed="false">
      <c r="A292" s="5" t="n">
        <v>288</v>
      </c>
      <c r="B292" s="5" t="n">
        <v>78</v>
      </c>
      <c r="C292" s="5" t="s">
        <v>95</v>
      </c>
      <c r="D292" s="10" t="s">
        <v>746</v>
      </c>
      <c r="E292" s="33" t="n">
        <v>-18.759149</v>
      </c>
      <c r="F292" s="33" t="n">
        <v>-39.760244</v>
      </c>
      <c r="G292" s="5" t="s">
        <v>736</v>
      </c>
      <c r="H292" s="5" t="s">
        <v>218</v>
      </c>
      <c r="I292" s="25" t="s">
        <v>721</v>
      </c>
      <c r="J292" s="5" t="s">
        <v>174</v>
      </c>
      <c r="K292" s="5" t="s">
        <v>218</v>
      </c>
      <c r="L292" s="21" t="n">
        <v>17.6</v>
      </c>
      <c r="M292" s="5" t="s">
        <v>737</v>
      </c>
      <c r="N292" s="9"/>
    </row>
    <row r="293" customFormat="false" ht="15" hidden="false" customHeight="false" outlineLevel="0" collapsed="false">
      <c r="A293" s="5" t="n">
        <v>289</v>
      </c>
      <c r="B293" s="5" t="n">
        <v>78</v>
      </c>
      <c r="C293" s="5" t="s">
        <v>95</v>
      </c>
      <c r="D293" s="10" t="s">
        <v>746</v>
      </c>
      <c r="E293" s="33" t="n">
        <v>-18.758795</v>
      </c>
      <c r="F293" s="33" t="n">
        <v>-39.759675</v>
      </c>
      <c r="G293" s="5" t="s">
        <v>736</v>
      </c>
      <c r="H293" s="5" t="s">
        <v>218</v>
      </c>
      <c r="I293" s="25" t="s">
        <v>721</v>
      </c>
      <c r="J293" s="5" t="s">
        <v>174</v>
      </c>
      <c r="K293" s="5" t="s">
        <v>218</v>
      </c>
      <c r="L293" s="21" t="n">
        <v>49.9</v>
      </c>
      <c r="M293" s="5" t="s">
        <v>737</v>
      </c>
      <c r="N293" s="9" t="s">
        <v>795</v>
      </c>
    </row>
    <row r="294" customFormat="false" ht="15" hidden="false" customHeight="false" outlineLevel="0" collapsed="false">
      <c r="A294" s="5" t="n">
        <v>290</v>
      </c>
      <c r="B294" s="5" t="n">
        <v>78</v>
      </c>
      <c r="C294" s="5" t="s">
        <v>95</v>
      </c>
      <c r="D294" s="10" t="s">
        <v>746</v>
      </c>
      <c r="E294" s="33" t="n">
        <v>-18.758692</v>
      </c>
      <c r="F294" s="33" t="n">
        <v>-39.759089</v>
      </c>
      <c r="G294" s="5" t="s">
        <v>736</v>
      </c>
      <c r="H294" s="5" t="s">
        <v>218</v>
      </c>
      <c r="I294" s="25" t="s">
        <v>721</v>
      </c>
      <c r="J294" s="5" t="s">
        <v>174</v>
      </c>
      <c r="K294" s="5" t="s">
        <v>218</v>
      </c>
      <c r="L294" s="21" t="n">
        <v>35.9</v>
      </c>
      <c r="M294" s="5" t="s">
        <v>737</v>
      </c>
      <c r="N294" s="9"/>
    </row>
    <row r="295" customFormat="false" ht="15" hidden="false" customHeight="false" outlineLevel="0" collapsed="false">
      <c r="A295" s="5" t="n">
        <v>291</v>
      </c>
      <c r="B295" s="5" t="n">
        <v>78</v>
      </c>
      <c r="C295" s="5" t="s">
        <v>95</v>
      </c>
      <c r="D295" s="10" t="s">
        <v>746</v>
      </c>
      <c r="E295" s="33" t="n">
        <v>-18.758554</v>
      </c>
      <c r="F295" s="33" t="n">
        <v>-39.758516</v>
      </c>
      <c r="G295" s="5" t="s">
        <v>736</v>
      </c>
      <c r="H295" s="5" t="s">
        <v>218</v>
      </c>
      <c r="I295" s="25" t="s">
        <v>721</v>
      </c>
      <c r="J295" s="5" t="s">
        <v>174</v>
      </c>
      <c r="K295" s="5" t="s">
        <v>218</v>
      </c>
      <c r="L295" s="21" t="n">
        <v>25.4</v>
      </c>
      <c r="M295" s="5" t="s">
        <v>737</v>
      </c>
      <c r="N295" s="9"/>
    </row>
    <row r="296" customFormat="false" ht="15" hidden="false" customHeight="false" outlineLevel="0" collapsed="false">
      <c r="A296" s="5" t="n">
        <v>292</v>
      </c>
      <c r="B296" s="5" t="n">
        <v>35</v>
      </c>
      <c r="C296" s="5" t="s">
        <v>62</v>
      </c>
      <c r="D296" s="5" t="s">
        <v>210</v>
      </c>
      <c r="E296" s="33" t="n">
        <v>-18.766421</v>
      </c>
      <c r="F296" s="33" t="n">
        <v>-39.769202</v>
      </c>
      <c r="G296" s="5" t="s">
        <v>713</v>
      </c>
      <c r="H296" s="5" t="s">
        <v>724</v>
      </c>
      <c r="I296" s="25" t="s">
        <v>721</v>
      </c>
      <c r="J296" s="5" t="s">
        <v>174</v>
      </c>
      <c r="K296" s="5" t="s">
        <v>722</v>
      </c>
      <c r="L296" s="21" t="n">
        <v>62.7</v>
      </c>
      <c r="M296" s="5" t="s">
        <v>218</v>
      </c>
      <c r="N296" s="9"/>
    </row>
    <row r="297" customFormat="false" ht="15" hidden="false" customHeight="false" outlineLevel="0" collapsed="false">
      <c r="A297" s="5" t="n">
        <v>293</v>
      </c>
      <c r="B297" s="5" t="n">
        <v>35</v>
      </c>
      <c r="C297" s="5" t="s">
        <v>62</v>
      </c>
      <c r="D297" s="5" t="s">
        <v>487</v>
      </c>
      <c r="E297" s="33" t="n">
        <v>-18.765329</v>
      </c>
      <c r="F297" s="33" t="n">
        <v>-39.750413</v>
      </c>
      <c r="G297" s="5" t="s">
        <v>713</v>
      </c>
      <c r="H297" s="5" t="s">
        <v>724</v>
      </c>
      <c r="I297" s="25" t="s">
        <v>723</v>
      </c>
      <c r="J297" s="5" t="s">
        <v>174</v>
      </c>
      <c r="K297" s="5" t="s">
        <v>722</v>
      </c>
      <c r="L297" s="21" t="n">
        <v>360.4</v>
      </c>
      <c r="M297" s="5" t="s">
        <v>218</v>
      </c>
      <c r="N297" s="9" t="s">
        <v>796</v>
      </c>
    </row>
    <row r="298" customFormat="false" ht="15" hidden="false" customHeight="false" outlineLevel="0" collapsed="false">
      <c r="A298" s="5" t="n">
        <v>294</v>
      </c>
      <c r="B298" s="5" t="n">
        <v>35</v>
      </c>
      <c r="C298" s="5" t="s">
        <v>62</v>
      </c>
      <c r="D298" s="5" t="s">
        <v>487</v>
      </c>
      <c r="E298" s="33" t="n">
        <v>-18.765569</v>
      </c>
      <c r="F298" s="33" t="n">
        <v>-39.753823</v>
      </c>
      <c r="G298" s="5" t="s">
        <v>713</v>
      </c>
      <c r="H298" s="5" t="s">
        <v>724</v>
      </c>
      <c r="I298" s="25" t="s">
        <v>723</v>
      </c>
      <c r="J298" s="5" t="s">
        <v>174</v>
      </c>
      <c r="K298" s="5" t="s">
        <v>722</v>
      </c>
      <c r="L298" s="21" t="n">
        <v>360.4</v>
      </c>
      <c r="M298" s="5" t="s">
        <v>218</v>
      </c>
      <c r="N298" s="9"/>
    </row>
    <row r="299" customFormat="false" ht="15" hidden="false" customHeight="false" outlineLevel="0" collapsed="false">
      <c r="A299" s="5" t="n">
        <v>295</v>
      </c>
      <c r="B299" s="5" t="n">
        <v>35</v>
      </c>
      <c r="C299" s="5" t="s">
        <v>62</v>
      </c>
      <c r="D299" s="5" t="s">
        <v>487</v>
      </c>
      <c r="E299" s="33" t="n">
        <v>-18.765811</v>
      </c>
      <c r="F299" s="33" t="n">
        <v>-39.757233</v>
      </c>
      <c r="G299" s="5" t="s">
        <v>713</v>
      </c>
      <c r="H299" s="5" t="s">
        <v>724</v>
      </c>
      <c r="I299" s="25" t="s">
        <v>723</v>
      </c>
      <c r="J299" s="5" t="s">
        <v>174</v>
      </c>
      <c r="K299" s="5" t="s">
        <v>722</v>
      </c>
      <c r="L299" s="21" t="n">
        <v>360.4</v>
      </c>
      <c r="M299" s="5" t="s">
        <v>218</v>
      </c>
      <c r="N299" s="9"/>
    </row>
    <row r="300" customFormat="false" ht="15" hidden="false" customHeight="false" outlineLevel="0" collapsed="false">
      <c r="A300" s="5" t="n">
        <v>296</v>
      </c>
      <c r="B300" s="5" t="n">
        <v>35</v>
      </c>
      <c r="C300" s="5" t="s">
        <v>62</v>
      </c>
      <c r="D300" s="5" t="s">
        <v>487</v>
      </c>
      <c r="E300" s="33" t="n">
        <v>-18.766046</v>
      </c>
      <c r="F300" s="33" t="n">
        <v>-39.760643</v>
      </c>
      <c r="G300" s="5" t="s">
        <v>713</v>
      </c>
      <c r="H300" s="5" t="s">
        <v>724</v>
      </c>
      <c r="I300" s="25" t="s">
        <v>723</v>
      </c>
      <c r="J300" s="5" t="s">
        <v>174</v>
      </c>
      <c r="K300" s="5" t="s">
        <v>722</v>
      </c>
      <c r="L300" s="21" t="n">
        <v>360.4</v>
      </c>
      <c r="M300" s="5" t="s">
        <v>218</v>
      </c>
      <c r="N300" s="9"/>
    </row>
    <row r="301" customFormat="false" ht="15" hidden="false" customHeight="false" outlineLevel="0" collapsed="false">
      <c r="A301" s="5" t="n">
        <v>297</v>
      </c>
      <c r="B301" s="5" t="n">
        <v>35</v>
      </c>
      <c r="C301" s="5" t="s">
        <v>62</v>
      </c>
      <c r="D301" s="5" t="s">
        <v>487</v>
      </c>
      <c r="E301" s="33" t="n">
        <v>-18.766291</v>
      </c>
      <c r="F301" s="33" t="n">
        <v>-39.764053</v>
      </c>
      <c r="G301" s="5" t="s">
        <v>713</v>
      </c>
      <c r="H301" s="5" t="s">
        <v>724</v>
      </c>
      <c r="I301" s="25" t="s">
        <v>723</v>
      </c>
      <c r="J301" s="5" t="s">
        <v>174</v>
      </c>
      <c r="K301" s="5" t="s">
        <v>722</v>
      </c>
      <c r="L301" s="21" t="n">
        <v>360.4</v>
      </c>
      <c r="M301" s="5" t="s">
        <v>218</v>
      </c>
      <c r="N301" s="9"/>
    </row>
    <row r="302" customFormat="false" ht="15" hidden="false" customHeight="false" outlineLevel="0" collapsed="false">
      <c r="A302" s="5" t="n">
        <v>298</v>
      </c>
      <c r="B302" s="5" t="n">
        <v>35</v>
      </c>
      <c r="C302" s="5" t="s">
        <v>62</v>
      </c>
      <c r="D302" s="5" t="s">
        <v>487</v>
      </c>
      <c r="E302" s="33" t="n">
        <v>-18.766518</v>
      </c>
      <c r="F302" s="33" t="n">
        <v>-39.767464</v>
      </c>
      <c r="G302" s="5" t="s">
        <v>713</v>
      </c>
      <c r="H302" s="5" t="s">
        <v>724</v>
      </c>
      <c r="I302" s="25" t="s">
        <v>723</v>
      </c>
      <c r="J302" s="5" t="s">
        <v>174</v>
      </c>
      <c r="K302" s="5" t="s">
        <v>722</v>
      </c>
      <c r="L302" s="21" t="n">
        <v>360.4</v>
      </c>
      <c r="M302" s="5" t="s">
        <v>218</v>
      </c>
      <c r="N302" s="9"/>
    </row>
    <row r="303" customFormat="false" ht="15" hidden="false" customHeight="false" outlineLevel="0" collapsed="false">
      <c r="A303" s="5" t="n">
        <v>299</v>
      </c>
      <c r="B303" s="5" t="n">
        <v>35</v>
      </c>
      <c r="C303" s="5" t="s">
        <v>62</v>
      </c>
      <c r="D303" s="10" t="s">
        <v>746</v>
      </c>
      <c r="E303" s="33" t="n">
        <v>-18.764732</v>
      </c>
      <c r="F303" s="33" t="n">
        <v>-39.768453</v>
      </c>
      <c r="G303" s="5" t="s">
        <v>736</v>
      </c>
      <c r="H303" s="5" t="s">
        <v>218</v>
      </c>
      <c r="I303" s="25" t="s">
        <v>723</v>
      </c>
      <c r="J303" s="5" t="s">
        <v>174</v>
      </c>
      <c r="K303" s="5" t="s">
        <v>218</v>
      </c>
      <c r="L303" s="21" t="n">
        <v>167.7</v>
      </c>
      <c r="M303" s="5" t="s">
        <v>141</v>
      </c>
      <c r="N303" s="9" t="s">
        <v>797</v>
      </c>
    </row>
    <row r="304" customFormat="false" ht="15" hidden="false" customHeight="false" outlineLevel="0" collapsed="false">
      <c r="A304" s="5" t="n">
        <v>300</v>
      </c>
      <c r="B304" s="5" t="n">
        <v>35</v>
      </c>
      <c r="C304" s="5" t="s">
        <v>62</v>
      </c>
      <c r="D304" s="10" t="s">
        <v>746</v>
      </c>
      <c r="E304" s="33" t="n">
        <v>-18.76607</v>
      </c>
      <c r="F304" s="33" t="n">
        <v>-39.768045</v>
      </c>
      <c r="G304" s="5" t="s">
        <v>736</v>
      </c>
      <c r="H304" s="5" t="s">
        <v>218</v>
      </c>
      <c r="I304" s="25" t="s">
        <v>723</v>
      </c>
      <c r="J304" s="5" t="s">
        <v>174</v>
      </c>
      <c r="K304" s="5" t="s">
        <v>218</v>
      </c>
      <c r="L304" s="21" t="n">
        <v>108.1</v>
      </c>
      <c r="M304" s="5" t="s">
        <v>141</v>
      </c>
      <c r="N304" s="9"/>
    </row>
    <row r="305" customFormat="false" ht="15" hidden="false" customHeight="false" outlineLevel="0" collapsed="false">
      <c r="A305" s="5" t="n">
        <v>301</v>
      </c>
      <c r="B305" s="5" t="n">
        <v>35</v>
      </c>
      <c r="C305" s="5" t="s">
        <v>62</v>
      </c>
      <c r="D305" s="10" t="s">
        <v>746</v>
      </c>
      <c r="E305" s="33" t="n">
        <v>-18.764259</v>
      </c>
      <c r="F305" s="33" t="n">
        <v>-39.761885</v>
      </c>
      <c r="G305" s="5" t="s">
        <v>736</v>
      </c>
      <c r="H305" s="5" t="s">
        <v>218</v>
      </c>
      <c r="I305" s="25" t="s">
        <v>723</v>
      </c>
      <c r="J305" s="5" t="s">
        <v>174</v>
      </c>
      <c r="K305" s="5" t="s">
        <v>218</v>
      </c>
      <c r="L305" s="21" t="n">
        <v>407</v>
      </c>
      <c r="M305" s="5" t="s">
        <v>141</v>
      </c>
      <c r="N305" s="9"/>
    </row>
    <row r="306" customFormat="false" ht="15" hidden="false" customHeight="false" outlineLevel="0" collapsed="false">
      <c r="A306" s="5" t="n">
        <v>302</v>
      </c>
      <c r="B306" s="5" t="n">
        <v>35</v>
      </c>
      <c r="C306" s="5" t="s">
        <v>62</v>
      </c>
      <c r="D306" s="10" t="s">
        <v>746</v>
      </c>
      <c r="E306" s="33" t="n">
        <v>-18.764529</v>
      </c>
      <c r="F306" s="33" t="n">
        <v>-39.765735</v>
      </c>
      <c r="G306" s="5" t="s">
        <v>736</v>
      </c>
      <c r="H306" s="5" t="s">
        <v>218</v>
      </c>
      <c r="I306" s="25" t="s">
        <v>723</v>
      </c>
      <c r="J306" s="5" t="s">
        <v>174</v>
      </c>
      <c r="K306" s="5" t="s">
        <v>218</v>
      </c>
      <c r="L306" s="21" t="n">
        <v>407</v>
      </c>
      <c r="M306" s="5" t="s">
        <v>737</v>
      </c>
      <c r="N306" s="9" t="s">
        <v>798</v>
      </c>
    </row>
    <row r="307" customFormat="false" ht="15" hidden="false" customHeight="false" outlineLevel="0" collapsed="false">
      <c r="A307" s="5" t="n">
        <v>303</v>
      </c>
      <c r="B307" s="5" t="n">
        <v>35</v>
      </c>
      <c r="C307" s="5" t="s">
        <v>62</v>
      </c>
      <c r="D307" s="10" t="s">
        <v>746</v>
      </c>
      <c r="E307" s="33" t="n">
        <v>-18.76515</v>
      </c>
      <c r="F307" s="33" t="n">
        <v>-39.76759</v>
      </c>
      <c r="G307" s="5" t="s">
        <v>736</v>
      </c>
      <c r="H307" s="5" t="s">
        <v>218</v>
      </c>
      <c r="I307" s="25" t="s">
        <v>723</v>
      </c>
      <c r="J307" s="5" t="s">
        <v>174</v>
      </c>
      <c r="K307" s="5" t="s">
        <v>218</v>
      </c>
      <c r="L307" s="21" t="n">
        <v>107.2</v>
      </c>
      <c r="M307" s="5" t="s">
        <v>141</v>
      </c>
      <c r="N307" s="9"/>
    </row>
    <row r="308" customFormat="false" ht="15" hidden="false" customHeight="false" outlineLevel="0" collapsed="false">
      <c r="A308" s="5" t="n">
        <v>304</v>
      </c>
      <c r="B308" s="5" t="n">
        <v>35</v>
      </c>
      <c r="C308" s="5" t="s">
        <v>62</v>
      </c>
      <c r="D308" s="10" t="s">
        <v>746</v>
      </c>
      <c r="E308" s="33" t="n">
        <v>-18.76506</v>
      </c>
      <c r="F308" s="33" t="n">
        <v>-39.760003</v>
      </c>
      <c r="G308" s="5" t="s">
        <v>736</v>
      </c>
      <c r="H308" s="5" t="s">
        <v>218</v>
      </c>
      <c r="I308" s="25" t="s">
        <v>723</v>
      </c>
      <c r="J308" s="5" t="s">
        <v>174</v>
      </c>
      <c r="K308" s="5" t="s">
        <v>218</v>
      </c>
      <c r="L308" s="21" t="n">
        <v>208.1</v>
      </c>
      <c r="M308" s="5" t="s">
        <v>141</v>
      </c>
      <c r="N308" s="9"/>
    </row>
    <row r="309" customFormat="false" ht="15" hidden="false" customHeight="false" outlineLevel="0" collapsed="false">
      <c r="A309" s="5" t="n">
        <v>305</v>
      </c>
      <c r="B309" s="5" t="n">
        <v>35</v>
      </c>
      <c r="C309" s="5" t="s">
        <v>62</v>
      </c>
      <c r="D309" s="10" t="s">
        <v>746</v>
      </c>
      <c r="E309" s="33" t="n">
        <v>-18.76409</v>
      </c>
      <c r="F309" s="33" t="n">
        <v>-39.759665</v>
      </c>
      <c r="G309" s="5" t="s">
        <v>736</v>
      </c>
      <c r="H309" s="5" t="s">
        <v>218</v>
      </c>
      <c r="I309" s="25" t="s">
        <v>723</v>
      </c>
      <c r="J309" s="5" t="s">
        <v>174</v>
      </c>
      <c r="K309" s="5" t="s">
        <v>218</v>
      </c>
      <c r="L309" s="21" t="n">
        <v>62.5</v>
      </c>
      <c r="M309" s="5" t="s">
        <v>141</v>
      </c>
      <c r="N309" s="9"/>
    </row>
    <row r="310" customFormat="false" ht="15" hidden="false" customHeight="false" outlineLevel="0" collapsed="false">
      <c r="A310" s="5" t="n">
        <v>306</v>
      </c>
      <c r="B310" s="5" t="n">
        <v>35</v>
      </c>
      <c r="C310" s="5" t="s">
        <v>62</v>
      </c>
      <c r="D310" s="10" t="s">
        <v>746</v>
      </c>
      <c r="E310" s="33" t="n">
        <v>-18.765015</v>
      </c>
      <c r="F310" s="33" t="n">
        <v>-39.75941</v>
      </c>
      <c r="G310" s="5" t="s">
        <v>736</v>
      </c>
      <c r="H310" s="5" t="s">
        <v>218</v>
      </c>
      <c r="I310" s="25" t="s">
        <v>723</v>
      </c>
      <c r="J310" s="5" t="s">
        <v>174</v>
      </c>
      <c r="K310" s="5" t="s">
        <v>218</v>
      </c>
      <c r="L310" s="21" t="n">
        <v>211.6</v>
      </c>
      <c r="M310" s="5" t="s">
        <v>141</v>
      </c>
      <c r="N310" s="9"/>
    </row>
    <row r="311" customFormat="false" ht="15" hidden="false" customHeight="false" outlineLevel="0" collapsed="false">
      <c r="A311" s="5" t="n">
        <v>307</v>
      </c>
      <c r="B311" s="5" t="n">
        <v>35</v>
      </c>
      <c r="C311" s="5" t="s">
        <v>62</v>
      </c>
      <c r="D311" s="10" t="s">
        <v>746</v>
      </c>
      <c r="E311" s="33" t="n">
        <v>-18.764035</v>
      </c>
      <c r="F311" s="33" t="n">
        <v>-39.759065</v>
      </c>
      <c r="G311" s="5" t="s">
        <v>713</v>
      </c>
      <c r="H311" s="5" t="s">
        <v>724</v>
      </c>
      <c r="I311" s="25" t="s">
        <v>721</v>
      </c>
      <c r="J311" s="5" t="s">
        <v>174</v>
      </c>
      <c r="K311" s="5" t="s">
        <v>722</v>
      </c>
      <c r="L311" s="21" t="n">
        <v>64.5</v>
      </c>
      <c r="M311" s="5" t="s">
        <v>218</v>
      </c>
      <c r="N311" s="9" t="s">
        <v>799</v>
      </c>
    </row>
    <row r="312" customFormat="false" ht="15" hidden="false" customHeight="false" outlineLevel="0" collapsed="false">
      <c r="A312" s="5" t="n">
        <v>308</v>
      </c>
      <c r="B312" s="5" t="n">
        <v>35</v>
      </c>
      <c r="C312" s="5" t="s">
        <v>62</v>
      </c>
      <c r="D312" s="10" t="s">
        <v>746</v>
      </c>
      <c r="E312" s="33" t="n">
        <v>-18.76497</v>
      </c>
      <c r="F312" s="33" t="n">
        <v>-39.758815</v>
      </c>
      <c r="G312" s="5" t="s">
        <v>713</v>
      </c>
      <c r="H312" s="5" t="s">
        <v>724</v>
      </c>
      <c r="I312" s="25" t="s">
        <v>723</v>
      </c>
      <c r="J312" s="5" t="s">
        <v>174</v>
      </c>
      <c r="K312" s="5" t="s">
        <v>720</v>
      </c>
      <c r="L312" s="21" t="n">
        <v>212.8</v>
      </c>
      <c r="M312" s="5" t="s">
        <v>218</v>
      </c>
      <c r="N312" s="9"/>
    </row>
    <row r="313" customFormat="false" ht="15" hidden="false" customHeight="false" outlineLevel="0" collapsed="false">
      <c r="A313" s="5" t="n">
        <v>309</v>
      </c>
      <c r="B313" s="5" t="n">
        <v>35</v>
      </c>
      <c r="C313" s="5" t="s">
        <v>62</v>
      </c>
      <c r="D313" s="10" t="s">
        <v>746</v>
      </c>
      <c r="E313" s="33" t="n">
        <v>-18.763995</v>
      </c>
      <c r="F313" s="33" t="n">
        <v>-39.758485</v>
      </c>
      <c r="G313" s="5" t="s">
        <v>713</v>
      </c>
      <c r="H313" s="5" t="s">
        <v>724</v>
      </c>
      <c r="I313" s="25" t="s">
        <v>721</v>
      </c>
      <c r="J313" s="5" t="s">
        <v>174</v>
      </c>
      <c r="K313" s="5" t="s">
        <v>722</v>
      </c>
      <c r="L313" s="21" t="n">
        <v>58.1</v>
      </c>
      <c r="M313" s="5" t="s">
        <v>218</v>
      </c>
      <c r="N313" s="9"/>
    </row>
    <row r="314" customFormat="false" ht="15" hidden="false" customHeight="false" outlineLevel="0" collapsed="false">
      <c r="A314" s="5" t="n">
        <v>310</v>
      </c>
      <c r="B314" s="5" t="n">
        <v>35</v>
      </c>
      <c r="C314" s="5" t="s">
        <v>62</v>
      </c>
      <c r="D314" s="10" t="s">
        <v>746</v>
      </c>
      <c r="E314" s="33" t="n">
        <v>-18.764931</v>
      </c>
      <c r="F314" s="33" t="n">
        <v>-39.758228</v>
      </c>
      <c r="G314" s="5" t="s">
        <v>713</v>
      </c>
      <c r="H314" s="5" t="s">
        <v>724</v>
      </c>
      <c r="I314" s="25" t="s">
        <v>723</v>
      </c>
      <c r="J314" s="5" t="s">
        <v>174</v>
      </c>
      <c r="K314" s="5" t="s">
        <v>722</v>
      </c>
      <c r="L314" s="21" t="n">
        <v>210.4</v>
      </c>
      <c r="M314" s="5" t="s">
        <v>218</v>
      </c>
      <c r="N314" s="9"/>
    </row>
    <row r="315" customFormat="false" ht="15" hidden="false" customHeight="false" outlineLevel="0" collapsed="false">
      <c r="A315" s="5" t="n">
        <v>311</v>
      </c>
      <c r="B315" s="5" t="n">
        <v>35</v>
      </c>
      <c r="C315" s="5" t="s">
        <v>62</v>
      </c>
      <c r="D315" s="10" t="s">
        <v>746</v>
      </c>
      <c r="E315" s="33" t="n">
        <v>-18.763955</v>
      </c>
      <c r="F315" s="33" t="n">
        <v>-39.7579</v>
      </c>
      <c r="G315" s="5" t="s">
        <v>713</v>
      </c>
      <c r="H315" s="5" t="s">
        <v>724</v>
      </c>
      <c r="I315" s="25" t="s">
        <v>721</v>
      </c>
      <c r="J315" s="5" t="s">
        <v>174</v>
      </c>
      <c r="K315" s="5" t="s">
        <v>722</v>
      </c>
      <c r="L315" s="21" t="n">
        <v>65.6</v>
      </c>
      <c r="M315" s="5" t="s">
        <v>218</v>
      </c>
      <c r="N315" s="9" t="s">
        <v>790</v>
      </c>
    </row>
    <row r="316" customFormat="false" ht="15" hidden="false" customHeight="false" outlineLevel="0" collapsed="false">
      <c r="A316" s="5" t="n">
        <v>312</v>
      </c>
      <c r="B316" s="5" t="n">
        <v>35</v>
      </c>
      <c r="C316" s="5" t="s">
        <v>62</v>
      </c>
      <c r="D316" s="10" t="s">
        <v>746</v>
      </c>
      <c r="E316" s="33" t="n">
        <v>-18.76489</v>
      </c>
      <c r="F316" s="33" t="n">
        <v>-39.757635</v>
      </c>
      <c r="G316" s="5" t="s">
        <v>736</v>
      </c>
      <c r="H316" s="5" t="s">
        <v>218</v>
      </c>
      <c r="I316" s="25" t="s">
        <v>723</v>
      </c>
      <c r="J316" s="5" t="s">
        <v>174</v>
      </c>
      <c r="K316" s="5" t="s">
        <v>218</v>
      </c>
      <c r="L316" s="21" t="n">
        <v>212.7</v>
      </c>
      <c r="M316" s="5" t="s">
        <v>141</v>
      </c>
      <c r="N316" s="9"/>
    </row>
    <row r="317" customFormat="false" ht="15" hidden="false" customHeight="false" outlineLevel="0" collapsed="false">
      <c r="A317" s="5" t="n">
        <v>313</v>
      </c>
      <c r="B317" s="5" t="n">
        <v>35</v>
      </c>
      <c r="C317" s="5" t="s">
        <v>62</v>
      </c>
      <c r="D317" s="10" t="s">
        <v>746</v>
      </c>
      <c r="E317" s="33" t="n">
        <v>-18.76391</v>
      </c>
      <c r="F317" s="33" t="n">
        <v>-39.757305</v>
      </c>
      <c r="G317" s="5" t="s">
        <v>736</v>
      </c>
      <c r="H317" s="5" t="s">
        <v>218</v>
      </c>
      <c r="I317" s="25" t="s">
        <v>723</v>
      </c>
      <c r="J317" s="5" t="s">
        <v>174</v>
      </c>
      <c r="K317" s="5" t="s">
        <v>218</v>
      </c>
      <c r="L317" s="21" t="n">
        <v>60.2</v>
      </c>
      <c r="M317" s="5" t="s">
        <v>141</v>
      </c>
      <c r="N317" s="9"/>
    </row>
    <row r="318" customFormat="false" ht="15" hidden="false" customHeight="false" outlineLevel="0" collapsed="false">
      <c r="A318" s="5" t="n">
        <v>314</v>
      </c>
      <c r="B318" s="5" t="n">
        <v>35</v>
      </c>
      <c r="C318" s="5" t="s">
        <v>62</v>
      </c>
      <c r="D318" s="10" t="s">
        <v>746</v>
      </c>
      <c r="E318" s="33" t="n">
        <v>-18.764845</v>
      </c>
      <c r="F318" s="33" t="n">
        <v>-39.75706</v>
      </c>
      <c r="G318" s="5" t="s">
        <v>736</v>
      </c>
      <c r="H318" s="5" t="s">
        <v>218</v>
      </c>
      <c r="I318" s="25" t="s">
        <v>723</v>
      </c>
      <c r="J318" s="5" t="s">
        <v>174</v>
      </c>
      <c r="K318" s="5" t="s">
        <v>218</v>
      </c>
      <c r="L318" s="21" t="n">
        <v>211.5</v>
      </c>
      <c r="M318" s="5" t="s">
        <v>141</v>
      </c>
      <c r="N318" s="9"/>
    </row>
    <row r="319" customFormat="false" ht="15" hidden="false" customHeight="false" outlineLevel="0" collapsed="false">
      <c r="A319" s="5" t="n">
        <v>315</v>
      </c>
      <c r="B319" s="5" t="n">
        <v>35</v>
      </c>
      <c r="C319" s="5" t="s">
        <v>62</v>
      </c>
      <c r="D319" s="10" t="s">
        <v>746</v>
      </c>
      <c r="E319" s="33" t="n">
        <v>-18.76387</v>
      </c>
      <c r="F319" s="33" t="n">
        <v>-39.756715</v>
      </c>
      <c r="G319" s="5" t="s">
        <v>736</v>
      </c>
      <c r="H319" s="5" t="s">
        <v>218</v>
      </c>
      <c r="I319" s="25" t="s">
        <v>723</v>
      </c>
      <c r="J319" s="5" t="s">
        <v>174</v>
      </c>
      <c r="K319" s="5" t="s">
        <v>218</v>
      </c>
      <c r="L319" s="21" t="n">
        <v>64.4</v>
      </c>
      <c r="M319" s="5" t="s">
        <v>141</v>
      </c>
      <c r="N319" s="9"/>
    </row>
    <row r="320" customFormat="false" ht="15" hidden="false" customHeight="false" outlineLevel="0" collapsed="false">
      <c r="A320" s="5" t="n">
        <v>316</v>
      </c>
      <c r="B320" s="5" t="n">
        <v>35</v>
      </c>
      <c r="C320" s="5" t="s">
        <v>62</v>
      </c>
      <c r="D320" s="10" t="s">
        <v>746</v>
      </c>
      <c r="E320" s="33" t="n">
        <v>-18.764805</v>
      </c>
      <c r="F320" s="33" t="n">
        <v>-39.75646</v>
      </c>
      <c r="G320" s="5" t="s">
        <v>736</v>
      </c>
      <c r="H320" s="5" t="s">
        <v>218</v>
      </c>
      <c r="I320" s="25" t="s">
        <v>723</v>
      </c>
      <c r="J320" s="5" t="s">
        <v>174</v>
      </c>
      <c r="K320" s="5" t="s">
        <v>218</v>
      </c>
      <c r="L320" s="21" t="n">
        <v>211.6</v>
      </c>
      <c r="M320" s="5" t="s">
        <v>141</v>
      </c>
      <c r="N320" s="9"/>
    </row>
    <row r="321" customFormat="false" ht="15" hidden="false" customHeight="false" outlineLevel="0" collapsed="false">
      <c r="A321" s="5" t="n">
        <v>317</v>
      </c>
      <c r="B321" s="5" t="n">
        <v>35</v>
      </c>
      <c r="C321" s="5" t="s">
        <v>62</v>
      </c>
      <c r="D321" s="10" t="s">
        <v>746</v>
      </c>
      <c r="E321" s="33" t="n">
        <v>-18.76377</v>
      </c>
      <c r="F321" s="33" t="n">
        <v>-39.755235</v>
      </c>
      <c r="G321" s="5" t="s">
        <v>736</v>
      </c>
      <c r="H321" s="5" t="s">
        <v>218</v>
      </c>
      <c r="I321" s="25" t="s">
        <v>723</v>
      </c>
      <c r="J321" s="5" t="s">
        <v>174</v>
      </c>
      <c r="K321" s="5" t="s">
        <v>218</v>
      </c>
      <c r="L321" s="21" t="n">
        <v>248.3</v>
      </c>
      <c r="M321" s="5" t="s">
        <v>141</v>
      </c>
      <c r="N321" s="9"/>
    </row>
    <row r="322" customFormat="false" ht="15" hidden="false" customHeight="false" outlineLevel="0" collapsed="false">
      <c r="A322" s="5" t="n">
        <v>318</v>
      </c>
      <c r="B322" s="5" t="n">
        <v>35</v>
      </c>
      <c r="C322" s="5" t="s">
        <v>62</v>
      </c>
      <c r="D322" s="10" t="s">
        <v>746</v>
      </c>
      <c r="E322" s="33" t="n">
        <v>-18.76537</v>
      </c>
      <c r="F322" s="33" t="n">
        <v>-39.75469</v>
      </c>
      <c r="G322" s="5" t="s">
        <v>713</v>
      </c>
      <c r="H322" s="5" t="s">
        <v>724</v>
      </c>
      <c r="I322" s="25" t="s">
        <v>723</v>
      </c>
      <c r="J322" s="5" t="s">
        <v>174</v>
      </c>
      <c r="K322" s="5" t="s">
        <v>722</v>
      </c>
      <c r="L322" s="21" t="n">
        <v>59.8</v>
      </c>
      <c r="M322" s="5" t="s">
        <v>218</v>
      </c>
      <c r="N322" s="9" t="s">
        <v>800</v>
      </c>
    </row>
    <row r="323" customFormat="false" ht="15" hidden="false" customHeight="false" outlineLevel="0" collapsed="false">
      <c r="A323" s="5" t="n">
        <v>319</v>
      </c>
      <c r="B323" s="5" t="n">
        <v>35</v>
      </c>
      <c r="C323" s="5" t="s">
        <v>62</v>
      </c>
      <c r="D323" s="10" t="s">
        <v>746</v>
      </c>
      <c r="E323" s="33" t="n">
        <v>-18.76464</v>
      </c>
      <c r="F323" s="33" t="n">
        <v>-39.7541</v>
      </c>
      <c r="G323" s="5" t="s">
        <v>736</v>
      </c>
      <c r="H323" s="5" t="s">
        <v>218</v>
      </c>
      <c r="I323" s="25" t="s">
        <v>723</v>
      </c>
      <c r="J323" s="5" t="s">
        <v>174</v>
      </c>
      <c r="K323" s="5" t="s">
        <v>218</v>
      </c>
      <c r="L323" s="21" t="n">
        <v>210.4</v>
      </c>
      <c r="M323" s="5" t="s">
        <v>141</v>
      </c>
      <c r="N323" s="9"/>
    </row>
    <row r="324" customFormat="false" ht="15" hidden="false" customHeight="false" outlineLevel="0" collapsed="false">
      <c r="A324" s="5" t="n">
        <v>320</v>
      </c>
      <c r="B324" s="5" t="n">
        <v>35</v>
      </c>
      <c r="C324" s="5" t="s">
        <v>62</v>
      </c>
      <c r="D324" s="10" t="s">
        <v>746</v>
      </c>
      <c r="E324" s="33" t="n">
        <v>-18.763665</v>
      </c>
      <c r="F324" s="33" t="n">
        <v>-39.753765</v>
      </c>
      <c r="G324" s="5" t="s">
        <v>713</v>
      </c>
      <c r="H324" s="5" t="s">
        <v>791</v>
      </c>
      <c r="I324" s="25" t="s">
        <v>721</v>
      </c>
      <c r="J324" s="5" t="s">
        <v>174</v>
      </c>
      <c r="K324" s="5" t="s">
        <v>722</v>
      </c>
      <c r="L324" s="21" t="n">
        <v>62.4</v>
      </c>
      <c r="M324" s="5" t="s">
        <v>218</v>
      </c>
      <c r="N324" s="9" t="s">
        <v>801</v>
      </c>
    </row>
    <row r="325" customFormat="false" ht="15" hidden="false" customHeight="false" outlineLevel="0" collapsed="false">
      <c r="A325" s="5" t="n">
        <v>321</v>
      </c>
      <c r="B325" s="5" t="n">
        <v>35</v>
      </c>
      <c r="C325" s="5" t="s">
        <v>62</v>
      </c>
      <c r="D325" s="10" t="s">
        <v>746</v>
      </c>
      <c r="E325" s="33" t="n">
        <v>-18.764595</v>
      </c>
      <c r="F325" s="33" t="n">
        <v>-39.7535</v>
      </c>
      <c r="G325" s="5" t="s">
        <v>713</v>
      </c>
      <c r="H325" s="5" t="s">
        <v>791</v>
      </c>
      <c r="I325" s="25" t="s">
        <v>721</v>
      </c>
      <c r="J325" s="5" t="s">
        <v>174</v>
      </c>
      <c r="K325" s="5" t="s">
        <v>722</v>
      </c>
      <c r="L325" s="21" t="n">
        <v>211.4</v>
      </c>
      <c r="M325" s="5" t="s">
        <v>218</v>
      </c>
      <c r="N325" s="9" t="s">
        <v>802</v>
      </c>
    </row>
    <row r="326" customFormat="false" ht="15" hidden="false" customHeight="false" outlineLevel="0" collapsed="false">
      <c r="A326" s="5" t="n">
        <v>322</v>
      </c>
      <c r="B326" s="5" t="n">
        <v>35</v>
      </c>
      <c r="C326" s="5" t="s">
        <v>62</v>
      </c>
      <c r="D326" s="10" t="s">
        <v>746</v>
      </c>
      <c r="E326" s="33" t="n">
        <v>-18.76362</v>
      </c>
      <c r="F326" s="33" t="n">
        <v>-39.753175</v>
      </c>
      <c r="G326" s="5" t="s">
        <v>713</v>
      </c>
      <c r="H326" s="5" t="s">
        <v>791</v>
      </c>
      <c r="I326" s="25" t="s">
        <v>721</v>
      </c>
      <c r="J326" s="5" t="s">
        <v>174</v>
      </c>
      <c r="K326" s="5" t="s">
        <v>722</v>
      </c>
      <c r="L326" s="21" t="n">
        <v>62.3</v>
      </c>
      <c r="M326" s="5" t="s">
        <v>218</v>
      </c>
      <c r="N326" s="9" t="s">
        <v>802</v>
      </c>
    </row>
    <row r="327" customFormat="false" ht="15" hidden="false" customHeight="false" outlineLevel="0" collapsed="false">
      <c r="A327" s="5" t="n">
        <v>323</v>
      </c>
      <c r="B327" s="5" t="n">
        <v>35</v>
      </c>
      <c r="C327" s="5" t="s">
        <v>62</v>
      </c>
      <c r="D327" s="10" t="s">
        <v>746</v>
      </c>
      <c r="E327" s="33" t="n">
        <v>-18.764555</v>
      </c>
      <c r="F327" s="33" t="n">
        <v>-39.752923</v>
      </c>
      <c r="G327" s="5" t="s">
        <v>736</v>
      </c>
      <c r="H327" s="5" t="s">
        <v>218</v>
      </c>
      <c r="I327" s="25" t="s">
        <v>723</v>
      </c>
      <c r="J327" s="5" t="s">
        <v>174</v>
      </c>
      <c r="K327" s="5" t="s">
        <v>218</v>
      </c>
      <c r="L327" s="21" t="n">
        <v>211.6</v>
      </c>
      <c r="M327" s="5" t="s">
        <v>141</v>
      </c>
      <c r="N327" s="9"/>
    </row>
    <row r="328" customFormat="false" ht="15" hidden="false" customHeight="false" outlineLevel="0" collapsed="false">
      <c r="A328" s="5" t="n">
        <v>324</v>
      </c>
      <c r="B328" s="5" t="n">
        <v>35</v>
      </c>
      <c r="C328" s="5" t="s">
        <v>62</v>
      </c>
      <c r="D328" s="10" t="s">
        <v>746</v>
      </c>
      <c r="E328" s="33" t="n">
        <v>-18.763556</v>
      </c>
      <c r="F328" s="33" t="n">
        <v>-39.75225</v>
      </c>
      <c r="G328" s="5" t="s">
        <v>713</v>
      </c>
      <c r="H328" s="5" t="s">
        <v>714</v>
      </c>
      <c r="I328" s="25" t="s">
        <v>723</v>
      </c>
      <c r="J328" s="5" t="s">
        <v>174</v>
      </c>
      <c r="K328" s="5" t="s">
        <v>722</v>
      </c>
      <c r="L328" s="21" t="n">
        <v>133.1</v>
      </c>
      <c r="M328" s="5" t="s">
        <v>218</v>
      </c>
      <c r="N328" s="9" t="s">
        <v>803</v>
      </c>
    </row>
    <row r="329" customFormat="false" ht="15" hidden="false" customHeight="false" outlineLevel="0" collapsed="false">
      <c r="A329" s="5" t="n">
        <v>325</v>
      </c>
      <c r="B329" s="5" t="n">
        <v>35</v>
      </c>
      <c r="C329" s="5" t="s">
        <v>62</v>
      </c>
      <c r="D329" s="10" t="s">
        <v>746</v>
      </c>
      <c r="E329" s="33" t="n">
        <v>-18.764475</v>
      </c>
      <c r="F329" s="33" t="n">
        <v>-39.751645</v>
      </c>
      <c r="G329" s="5" t="s">
        <v>736</v>
      </c>
      <c r="H329" s="5" t="s">
        <v>218</v>
      </c>
      <c r="I329" s="25" t="s">
        <v>723</v>
      </c>
      <c r="J329" s="5" t="s">
        <v>174</v>
      </c>
      <c r="K329" s="5" t="s">
        <v>218</v>
      </c>
      <c r="L329" s="21" t="n">
        <v>211.4</v>
      </c>
      <c r="M329" s="5" t="s">
        <v>141</v>
      </c>
      <c r="N329" s="9"/>
    </row>
    <row r="330" customFormat="false" ht="15" hidden="false" customHeight="false" outlineLevel="0" collapsed="false">
      <c r="A330" s="5" t="n">
        <v>326</v>
      </c>
      <c r="B330" s="5" t="n">
        <v>35</v>
      </c>
      <c r="C330" s="5" t="s">
        <v>62</v>
      </c>
      <c r="D330" s="10" t="s">
        <v>746</v>
      </c>
      <c r="E330" s="33" t="n">
        <v>-18.763402</v>
      </c>
      <c r="F330" s="33" t="n">
        <v>-39.750127</v>
      </c>
      <c r="G330" s="5" t="s">
        <v>713</v>
      </c>
      <c r="H330" s="5" t="s">
        <v>724</v>
      </c>
      <c r="I330" s="25" t="s">
        <v>723</v>
      </c>
      <c r="J330" s="5" t="s">
        <v>174</v>
      </c>
      <c r="K330" s="5" t="s">
        <v>722</v>
      </c>
      <c r="L330" s="21" t="n">
        <v>315.8</v>
      </c>
      <c r="M330" s="5" t="s">
        <v>218</v>
      </c>
      <c r="N330" s="9"/>
    </row>
    <row r="331" customFormat="false" ht="15" hidden="false" customHeight="false" outlineLevel="0" collapsed="false">
      <c r="A331" s="5" t="n">
        <v>327</v>
      </c>
      <c r="B331" s="5" t="n">
        <v>35</v>
      </c>
      <c r="C331" s="5" t="s">
        <v>62</v>
      </c>
      <c r="D331" s="5" t="s">
        <v>171</v>
      </c>
      <c r="E331" s="33" t="n">
        <v>-18.764514</v>
      </c>
      <c r="F331" s="33" t="n">
        <v>-39.752335</v>
      </c>
      <c r="G331" s="5" t="s">
        <v>713</v>
      </c>
      <c r="H331" s="5" t="s">
        <v>714</v>
      </c>
      <c r="I331" s="22" t="s">
        <v>715</v>
      </c>
      <c r="J331" s="5" t="s">
        <v>716</v>
      </c>
      <c r="K331" s="5" t="s">
        <v>720</v>
      </c>
      <c r="L331" s="21" t="n">
        <v>229.8</v>
      </c>
      <c r="M331" s="5" t="s">
        <v>218</v>
      </c>
      <c r="N331" s="9" t="s">
        <v>804</v>
      </c>
    </row>
    <row r="332" customFormat="false" ht="15" hidden="false" customHeight="false" outlineLevel="0" collapsed="false">
      <c r="A332" s="5" t="n">
        <v>328</v>
      </c>
      <c r="B332" s="5" t="n">
        <v>35</v>
      </c>
      <c r="C332" s="5" t="s">
        <v>62</v>
      </c>
      <c r="D332" s="5" t="s">
        <v>138</v>
      </c>
      <c r="E332" s="33" t="n">
        <v>-18.764586</v>
      </c>
      <c r="F332" s="33" t="n">
        <v>-39.748672</v>
      </c>
      <c r="G332" s="5" t="s">
        <v>736</v>
      </c>
      <c r="H332" s="5" t="s">
        <v>218</v>
      </c>
      <c r="I332" s="25" t="s">
        <v>723</v>
      </c>
      <c r="J332" s="5" t="s">
        <v>174</v>
      </c>
      <c r="K332" s="5" t="s">
        <v>218</v>
      </c>
      <c r="L332" s="21" t="n">
        <v>133.9</v>
      </c>
      <c r="M332" s="5" t="s">
        <v>141</v>
      </c>
      <c r="N332" s="9" t="s">
        <v>805</v>
      </c>
    </row>
    <row r="333" customFormat="false" ht="15" hidden="false" customHeight="false" outlineLevel="0" collapsed="false">
      <c r="A333" s="5" t="n">
        <v>329</v>
      </c>
      <c r="B333" s="5" t="n">
        <v>42</v>
      </c>
      <c r="C333" s="5" t="s">
        <v>73</v>
      </c>
      <c r="D333" s="5" t="s">
        <v>574</v>
      </c>
      <c r="E333" s="33" t="n">
        <v>-18.771367</v>
      </c>
      <c r="F333" s="33" t="n">
        <v>-39.750652</v>
      </c>
      <c r="G333" s="5" t="s">
        <v>713</v>
      </c>
      <c r="H333" s="5" t="s">
        <v>714</v>
      </c>
      <c r="I333" s="22" t="s">
        <v>715</v>
      </c>
      <c r="J333" s="5" t="s">
        <v>716</v>
      </c>
      <c r="K333" s="5" t="s">
        <v>722</v>
      </c>
      <c r="L333" s="21" t="n">
        <v>347.1</v>
      </c>
      <c r="M333" s="5" t="s">
        <v>218</v>
      </c>
      <c r="N333" s="9"/>
    </row>
    <row r="334" customFormat="false" ht="15" hidden="false" customHeight="false" outlineLevel="0" collapsed="false">
      <c r="A334" s="5" t="n">
        <v>330</v>
      </c>
      <c r="B334" s="5" t="n">
        <v>42</v>
      </c>
      <c r="C334" s="5" t="s">
        <v>73</v>
      </c>
      <c r="D334" s="5" t="s">
        <v>574</v>
      </c>
      <c r="E334" s="33" t="n">
        <v>-18.771309</v>
      </c>
      <c r="F334" s="33" t="n">
        <v>-39.753945</v>
      </c>
      <c r="G334" s="5" t="s">
        <v>713</v>
      </c>
      <c r="H334" s="5" t="s">
        <v>724</v>
      </c>
      <c r="I334" s="22" t="s">
        <v>715</v>
      </c>
      <c r="J334" s="5" t="s">
        <v>716</v>
      </c>
      <c r="K334" s="5" t="s">
        <v>722</v>
      </c>
      <c r="L334" s="21" t="n">
        <v>347.1</v>
      </c>
      <c r="M334" s="5" t="s">
        <v>218</v>
      </c>
      <c r="N334" s="9"/>
    </row>
    <row r="335" customFormat="false" ht="15" hidden="false" customHeight="false" outlineLevel="0" collapsed="false">
      <c r="A335" s="5" t="n">
        <v>331</v>
      </c>
      <c r="B335" s="5" t="n">
        <v>42</v>
      </c>
      <c r="C335" s="5" t="s">
        <v>73</v>
      </c>
      <c r="D335" s="5" t="s">
        <v>574</v>
      </c>
      <c r="E335" s="33" t="n">
        <v>-18.771238</v>
      </c>
      <c r="F335" s="33" t="n">
        <v>-39.757237</v>
      </c>
      <c r="G335" s="5" t="s">
        <v>713</v>
      </c>
      <c r="H335" s="5" t="s">
        <v>714</v>
      </c>
      <c r="I335" s="22" t="s">
        <v>715</v>
      </c>
      <c r="J335" s="5" t="s">
        <v>716</v>
      </c>
      <c r="K335" s="5" t="s">
        <v>722</v>
      </c>
      <c r="L335" s="21" t="n">
        <v>347.1</v>
      </c>
      <c r="M335" s="5" t="s">
        <v>218</v>
      </c>
      <c r="N335" s="9"/>
    </row>
    <row r="336" customFormat="false" ht="15" hidden="false" customHeight="false" outlineLevel="0" collapsed="false">
      <c r="A336" s="5" t="n">
        <v>332</v>
      </c>
      <c r="B336" s="5" t="n">
        <v>42</v>
      </c>
      <c r="C336" s="5" t="s">
        <v>73</v>
      </c>
      <c r="D336" s="5" t="s">
        <v>574</v>
      </c>
      <c r="E336" s="33" t="n">
        <v>-18.771179</v>
      </c>
      <c r="F336" s="33" t="n">
        <v>-39.760529</v>
      </c>
      <c r="G336" s="5" t="s">
        <v>713</v>
      </c>
      <c r="H336" s="5" t="s">
        <v>714</v>
      </c>
      <c r="I336" s="22" t="s">
        <v>715</v>
      </c>
      <c r="J336" s="5" t="s">
        <v>716</v>
      </c>
      <c r="K336" s="5" t="s">
        <v>722</v>
      </c>
      <c r="L336" s="21" t="n">
        <v>347.1</v>
      </c>
      <c r="M336" s="5" t="s">
        <v>218</v>
      </c>
      <c r="N336" s="9"/>
    </row>
    <row r="337" customFormat="false" ht="15" hidden="false" customHeight="false" outlineLevel="0" collapsed="false">
      <c r="A337" s="5" t="n">
        <v>333</v>
      </c>
      <c r="B337" s="5" t="n">
        <v>42</v>
      </c>
      <c r="C337" s="5" t="s">
        <v>73</v>
      </c>
      <c r="D337" s="5" t="s">
        <v>576</v>
      </c>
      <c r="E337" s="33" t="n">
        <v>-18.771936</v>
      </c>
      <c r="F337" s="33" t="n">
        <v>-39.750671</v>
      </c>
      <c r="G337" s="5" t="s">
        <v>713</v>
      </c>
      <c r="H337" s="5" t="s">
        <v>724</v>
      </c>
      <c r="I337" s="22" t="s">
        <v>715</v>
      </c>
      <c r="J337" s="5" t="s">
        <v>716</v>
      </c>
      <c r="K337" s="5" t="s">
        <v>720</v>
      </c>
      <c r="L337" s="21" t="n">
        <v>346.5</v>
      </c>
      <c r="M337" s="5" t="s">
        <v>218</v>
      </c>
      <c r="N337" s="9"/>
    </row>
    <row r="338" customFormat="false" ht="15" hidden="false" customHeight="false" outlineLevel="0" collapsed="false">
      <c r="A338" s="5" t="n">
        <v>334</v>
      </c>
      <c r="B338" s="5" t="n">
        <v>42</v>
      </c>
      <c r="C338" s="5" t="s">
        <v>73</v>
      </c>
      <c r="D338" s="5" t="s">
        <v>576</v>
      </c>
      <c r="E338" s="33" t="n">
        <v>-18.771888</v>
      </c>
      <c r="F338" s="33" t="n">
        <v>-39.753959</v>
      </c>
      <c r="G338" s="5" t="s">
        <v>713</v>
      </c>
      <c r="H338" s="5" t="s">
        <v>714</v>
      </c>
      <c r="I338" s="22" t="s">
        <v>715</v>
      </c>
      <c r="J338" s="5" t="s">
        <v>716</v>
      </c>
      <c r="K338" s="5" t="s">
        <v>720</v>
      </c>
      <c r="L338" s="21" t="n">
        <v>346.5</v>
      </c>
      <c r="M338" s="5" t="s">
        <v>218</v>
      </c>
      <c r="N338" s="9"/>
    </row>
    <row r="339" customFormat="false" ht="15" hidden="false" customHeight="false" outlineLevel="0" collapsed="false">
      <c r="A339" s="5" t="n">
        <v>335</v>
      </c>
      <c r="B339" s="5" t="n">
        <v>42</v>
      </c>
      <c r="C339" s="5" t="s">
        <v>73</v>
      </c>
      <c r="D339" s="5" t="s">
        <v>576</v>
      </c>
      <c r="E339" s="33" t="n">
        <v>-18.771808</v>
      </c>
      <c r="F339" s="33" t="n">
        <v>-39.757245</v>
      </c>
      <c r="G339" s="5" t="s">
        <v>713</v>
      </c>
      <c r="H339" s="5" t="s">
        <v>714</v>
      </c>
      <c r="I339" s="22" t="s">
        <v>715</v>
      </c>
      <c r="J339" s="5" t="s">
        <v>716</v>
      </c>
      <c r="K339" s="5" t="s">
        <v>720</v>
      </c>
      <c r="L339" s="21" t="n">
        <v>346.5</v>
      </c>
      <c r="M339" s="5" t="s">
        <v>218</v>
      </c>
      <c r="N339" s="9"/>
    </row>
    <row r="340" customFormat="false" ht="15" hidden="false" customHeight="false" outlineLevel="0" collapsed="false">
      <c r="A340" s="5" t="n">
        <v>336</v>
      </c>
      <c r="B340" s="5" t="n">
        <v>42</v>
      </c>
      <c r="C340" s="5" t="s">
        <v>73</v>
      </c>
      <c r="D340" s="5" t="s">
        <v>576</v>
      </c>
      <c r="E340" s="33" t="n">
        <v>-18.771732</v>
      </c>
      <c r="F340" s="33" t="n">
        <v>-39.760532</v>
      </c>
      <c r="G340" s="5" t="s">
        <v>713</v>
      </c>
      <c r="H340" s="5" t="s">
        <v>724</v>
      </c>
      <c r="I340" s="25" t="s">
        <v>723</v>
      </c>
      <c r="J340" s="5" t="s">
        <v>174</v>
      </c>
      <c r="K340" s="5" t="s">
        <v>722</v>
      </c>
      <c r="L340" s="21" t="n">
        <v>346.5</v>
      </c>
      <c r="M340" s="5" t="s">
        <v>218</v>
      </c>
      <c r="N340" s="9" t="s">
        <v>806</v>
      </c>
    </row>
    <row r="341" customFormat="false" ht="15" hidden="false" customHeight="false" outlineLevel="0" collapsed="false">
      <c r="A341" s="5" t="n">
        <v>337</v>
      </c>
      <c r="B341" s="5" t="n">
        <v>42</v>
      </c>
      <c r="C341" s="5" t="s">
        <v>73</v>
      </c>
      <c r="D341" s="5" t="s">
        <v>561</v>
      </c>
      <c r="E341" s="33" t="n">
        <v>-18.768007</v>
      </c>
      <c r="F341" s="33" t="n">
        <v>-39.750546</v>
      </c>
      <c r="G341" s="5" t="s">
        <v>713</v>
      </c>
      <c r="H341" s="5" t="s">
        <v>714</v>
      </c>
      <c r="I341" s="22" t="s">
        <v>715</v>
      </c>
      <c r="J341" s="5" t="s">
        <v>716</v>
      </c>
      <c r="K341" s="5" t="s">
        <v>722</v>
      </c>
      <c r="L341" s="21" t="n">
        <v>350.3</v>
      </c>
      <c r="M341" s="5" t="s">
        <v>218</v>
      </c>
      <c r="N341" s="9" t="s">
        <v>718</v>
      </c>
    </row>
    <row r="342" customFormat="false" ht="15" hidden="false" customHeight="false" outlineLevel="0" collapsed="false">
      <c r="A342" s="5" t="n">
        <v>338</v>
      </c>
      <c r="B342" s="5" t="n">
        <v>42</v>
      </c>
      <c r="C342" s="5" t="s">
        <v>73</v>
      </c>
      <c r="D342" s="5" t="s">
        <v>561</v>
      </c>
      <c r="E342" s="33" t="n">
        <v>-18.767957</v>
      </c>
      <c r="F342" s="33" t="n">
        <v>-39.753869</v>
      </c>
      <c r="G342" s="5" t="s">
        <v>713</v>
      </c>
      <c r="H342" s="5" t="s">
        <v>724</v>
      </c>
      <c r="I342" s="22" t="s">
        <v>715</v>
      </c>
      <c r="J342" s="5" t="s">
        <v>716</v>
      </c>
      <c r="K342" s="5" t="s">
        <v>722</v>
      </c>
      <c r="L342" s="21" t="n">
        <v>350.3</v>
      </c>
      <c r="M342" s="5" t="s">
        <v>218</v>
      </c>
      <c r="N342" s="9"/>
    </row>
    <row r="343" customFormat="false" ht="15" hidden="false" customHeight="false" outlineLevel="0" collapsed="false">
      <c r="A343" s="5" t="n">
        <v>339</v>
      </c>
      <c r="B343" s="5" t="n">
        <v>42</v>
      </c>
      <c r="C343" s="5" t="s">
        <v>73</v>
      </c>
      <c r="D343" s="5" t="s">
        <v>561</v>
      </c>
      <c r="E343" s="33" t="n">
        <v>-18.767891</v>
      </c>
      <c r="F343" s="33" t="n">
        <v>-39.757192</v>
      </c>
      <c r="G343" s="5" t="s">
        <v>713</v>
      </c>
      <c r="H343" s="5" t="s">
        <v>724</v>
      </c>
      <c r="I343" s="22" t="s">
        <v>715</v>
      </c>
      <c r="J343" s="5" t="s">
        <v>716</v>
      </c>
      <c r="K343" s="5" t="s">
        <v>722</v>
      </c>
      <c r="L343" s="21" t="n">
        <v>350.3</v>
      </c>
      <c r="M343" s="5" t="s">
        <v>218</v>
      </c>
      <c r="N343" s="9"/>
    </row>
    <row r="344" customFormat="false" ht="15" hidden="false" customHeight="false" outlineLevel="0" collapsed="false">
      <c r="A344" s="5" t="n">
        <v>340</v>
      </c>
      <c r="B344" s="5" t="n">
        <v>42</v>
      </c>
      <c r="C344" s="5" t="s">
        <v>73</v>
      </c>
      <c r="D344" s="5" t="s">
        <v>561</v>
      </c>
      <c r="E344" s="33" t="n">
        <v>-18.767814</v>
      </c>
      <c r="F344" s="33" t="n">
        <v>-39.760514</v>
      </c>
      <c r="G344" s="5" t="s">
        <v>713</v>
      </c>
      <c r="H344" s="5" t="s">
        <v>724</v>
      </c>
      <c r="I344" s="22" t="s">
        <v>715</v>
      </c>
      <c r="J344" s="5" t="s">
        <v>716</v>
      </c>
      <c r="K344" s="5" t="s">
        <v>722</v>
      </c>
      <c r="L344" s="21" t="n">
        <v>350.3</v>
      </c>
      <c r="M344" s="5" t="s">
        <v>218</v>
      </c>
      <c r="N344" s="9"/>
    </row>
    <row r="345" customFormat="false" ht="15" hidden="false" customHeight="false" outlineLevel="0" collapsed="false">
      <c r="A345" s="5" t="n">
        <v>341</v>
      </c>
      <c r="B345" s="5" t="n">
        <v>42</v>
      </c>
      <c r="C345" s="5" t="s">
        <v>73</v>
      </c>
      <c r="D345" s="5" t="s">
        <v>570</v>
      </c>
      <c r="E345" s="33" t="n">
        <v>-18.770261</v>
      </c>
      <c r="F345" s="33" t="n">
        <v>-39.750264</v>
      </c>
      <c r="G345" s="5" t="s">
        <v>713</v>
      </c>
      <c r="H345" s="5" t="s">
        <v>714</v>
      </c>
      <c r="I345" s="22" t="s">
        <v>715</v>
      </c>
      <c r="J345" s="5" t="s">
        <v>716</v>
      </c>
      <c r="K345" s="5" t="s">
        <v>722</v>
      </c>
      <c r="L345" s="21" t="n">
        <v>358.8</v>
      </c>
      <c r="M345" s="5" t="s">
        <v>218</v>
      </c>
      <c r="N345" s="9"/>
    </row>
    <row r="346" customFormat="false" ht="22.35" hidden="false" customHeight="false" outlineLevel="0" collapsed="false">
      <c r="A346" s="5" t="n">
        <v>342</v>
      </c>
      <c r="B346" s="5" t="n">
        <v>42</v>
      </c>
      <c r="C346" s="5" t="s">
        <v>73</v>
      </c>
      <c r="D346" s="5" t="s">
        <v>570</v>
      </c>
      <c r="E346" s="33" t="n">
        <v>-18.770202</v>
      </c>
      <c r="F346" s="33" t="n">
        <v>-39.753667</v>
      </c>
      <c r="G346" s="5" t="s">
        <v>736</v>
      </c>
      <c r="H346" s="5" t="s">
        <v>218</v>
      </c>
      <c r="I346" s="22" t="s">
        <v>715</v>
      </c>
      <c r="J346" s="5" t="s">
        <v>716</v>
      </c>
      <c r="K346" s="5" t="s">
        <v>218</v>
      </c>
      <c r="L346" s="21" t="n">
        <v>358.8</v>
      </c>
      <c r="M346" s="5" t="s">
        <v>737</v>
      </c>
      <c r="N346" s="9" t="s">
        <v>807</v>
      </c>
    </row>
    <row r="347" customFormat="false" ht="15" hidden="false" customHeight="false" outlineLevel="0" collapsed="false">
      <c r="A347" s="5" t="n">
        <v>343</v>
      </c>
      <c r="B347" s="5" t="n">
        <v>42</v>
      </c>
      <c r="C347" s="5" t="s">
        <v>73</v>
      </c>
      <c r="D347" s="5" t="s">
        <v>570</v>
      </c>
      <c r="E347" s="33" t="n">
        <v>-18.770118</v>
      </c>
      <c r="F347" s="33" t="n">
        <v>-39.75707</v>
      </c>
      <c r="G347" s="5" t="s">
        <v>736</v>
      </c>
      <c r="H347" s="5" t="s">
        <v>218</v>
      </c>
      <c r="I347" s="22" t="s">
        <v>715</v>
      </c>
      <c r="J347" s="5" t="s">
        <v>716</v>
      </c>
      <c r="K347" s="5" t="s">
        <v>218</v>
      </c>
      <c r="L347" s="21" t="n">
        <v>358.8</v>
      </c>
      <c r="M347" s="5" t="s">
        <v>737</v>
      </c>
      <c r="N347" s="9"/>
    </row>
    <row r="348" customFormat="false" ht="15" hidden="false" customHeight="false" outlineLevel="0" collapsed="false">
      <c r="A348" s="5" t="n">
        <v>344</v>
      </c>
      <c r="B348" s="5" t="n">
        <v>42</v>
      </c>
      <c r="C348" s="5" t="s">
        <v>73</v>
      </c>
      <c r="D348" s="5" t="s">
        <v>570</v>
      </c>
      <c r="E348" s="33" t="n">
        <v>-18.770052</v>
      </c>
      <c r="F348" s="33" t="n">
        <v>-39.760474</v>
      </c>
      <c r="G348" s="5" t="s">
        <v>713</v>
      </c>
      <c r="H348" s="5" t="s">
        <v>724</v>
      </c>
      <c r="I348" s="25" t="s">
        <v>723</v>
      </c>
      <c r="J348" s="5" t="s">
        <v>174</v>
      </c>
      <c r="K348" s="5" t="s">
        <v>722</v>
      </c>
      <c r="L348" s="21" t="n">
        <v>358.8</v>
      </c>
      <c r="M348" s="5" t="s">
        <v>218</v>
      </c>
      <c r="N348" s="9" t="s">
        <v>806</v>
      </c>
    </row>
    <row r="349" customFormat="false" ht="15" hidden="false" customHeight="false" outlineLevel="0" collapsed="false">
      <c r="A349" s="5" t="n">
        <v>345</v>
      </c>
      <c r="B349" s="5" t="n">
        <v>42</v>
      </c>
      <c r="C349" s="5" t="s">
        <v>73</v>
      </c>
      <c r="D349" s="5" t="s">
        <v>568</v>
      </c>
      <c r="E349" s="33" t="n">
        <v>-18.769686</v>
      </c>
      <c r="F349" s="33" t="n">
        <v>-39.750638</v>
      </c>
      <c r="G349" s="5" t="s">
        <v>713</v>
      </c>
      <c r="H349" s="5" t="s">
        <v>714</v>
      </c>
      <c r="I349" s="22" t="s">
        <v>715</v>
      </c>
      <c r="J349" s="5" t="s">
        <v>716</v>
      </c>
      <c r="K349" s="5" t="s">
        <v>720</v>
      </c>
      <c r="L349" s="21" t="n">
        <v>347.6</v>
      </c>
      <c r="M349" s="5" t="s">
        <v>218</v>
      </c>
      <c r="N349" s="9"/>
    </row>
    <row r="350" customFormat="false" ht="15" hidden="false" customHeight="false" outlineLevel="0" collapsed="false">
      <c r="A350" s="5" t="n">
        <v>346</v>
      </c>
      <c r="B350" s="5" t="n">
        <v>42</v>
      </c>
      <c r="C350" s="5" t="s">
        <v>73</v>
      </c>
      <c r="D350" s="5" t="s">
        <v>568</v>
      </c>
      <c r="E350" s="33" t="n">
        <v>-18.769636</v>
      </c>
      <c r="F350" s="33" t="n">
        <v>-39.753935</v>
      </c>
      <c r="G350" s="5" t="s">
        <v>713</v>
      </c>
      <c r="H350" s="5" t="s">
        <v>714</v>
      </c>
      <c r="I350" s="22" t="s">
        <v>715</v>
      </c>
      <c r="J350" s="5" t="s">
        <v>716</v>
      </c>
      <c r="K350" s="5" t="s">
        <v>722</v>
      </c>
      <c r="L350" s="21" t="n">
        <v>347.6</v>
      </c>
      <c r="M350" s="5" t="s">
        <v>218</v>
      </c>
      <c r="N350" s="9"/>
    </row>
    <row r="351" customFormat="false" ht="15" hidden="false" customHeight="false" outlineLevel="0" collapsed="false">
      <c r="A351" s="5" t="n">
        <v>347</v>
      </c>
      <c r="B351" s="5" t="n">
        <v>42</v>
      </c>
      <c r="C351" s="5" t="s">
        <v>73</v>
      </c>
      <c r="D351" s="5" t="s">
        <v>568</v>
      </c>
      <c r="E351" s="33" t="n">
        <v>-18.769566</v>
      </c>
      <c r="F351" s="33" t="n">
        <v>-39.757231</v>
      </c>
      <c r="G351" s="5" t="s">
        <v>736</v>
      </c>
      <c r="H351" s="5" t="s">
        <v>218</v>
      </c>
      <c r="I351" s="22" t="s">
        <v>715</v>
      </c>
      <c r="J351" s="5" t="s">
        <v>716</v>
      </c>
      <c r="K351" s="5" t="s">
        <v>218</v>
      </c>
      <c r="L351" s="21" t="n">
        <v>347.6</v>
      </c>
      <c r="M351" s="5" t="s">
        <v>737</v>
      </c>
      <c r="N351" s="9"/>
    </row>
    <row r="352" customFormat="false" ht="15" hidden="false" customHeight="false" outlineLevel="0" collapsed="false">
      <c r="A352" s="5" t="n">
        <v>348</v>
      </c>
      <c r="B352" s="5" t="n">
        <v>42</v>
      </c>
      <c r="C352" s="5" t="s">
        <v>73</v>
      </c>
      <c r="D352" s="5" t="s">
        <v>568</v>
      </c>
      <c r="E352" s="33" t="n">
        <v>-18.769492</v>
      </c>
      <c r="F352" s="33" t="n">
        <v>-39.760528</v>
      </c>
      <c r="G352" s="5" t="s">
        <v>736</v>
      </c>
      <c r="H352" s="5" t="s">
        <v>218</v>
      </c>
      <c r="I352" s="22" t="s">
        <v>715</v>
      </c>
      <c r="J352" s="5" t="s">
        <v>716</v>
      </c>
      <c r="K352" s="5" t="s">
        <v>218</v>
      </c>
      <c r="L352" s="21" t="n">
        <v>347.6</v>
      </c>
      <c r="M352" s="5" t="s">
        <v>737</v>
      </c>
      <c r="N352" s="9"/>
    </row>
    <row r="353" customFormat="false" ht="22.35" hidden="false" customHeight="false" outlineLevel="0" collapsed="false">
      <c r="A353" s="5" t="n">
        <v>349</v>
      </c>
      <c r="B353" s="5" t="n">
        <v>42</v>
      </c>
      <c r="C353" s="5" t="s">
        <v>73</v>
      </c>
      <c r="D353" s="5" t="s">
        <v>578</v>
      </c>
      <c r="E353" s="33" t="n">
        <v>-18.773549</v>
      </c>
      <c r="F353" s="33" t="n">
        <v>-39.754262</v>
      </c>
      <c r="G353" s="5" t="s">
        <v>736</v>
      </c>
      <c r="H353" s="5" t="s">
        <v>218</v>
      </c>
      <c r="I353" s="22" t="s">
        <v>715</v>
      </c>
      <c r="J353" s="5" t="s">
        <v>716</v>
      </c>
      <c r="K353" s="5" t="s">
        <v>218</v>
      </c>
      <c r="L353" s="21" t="n">
        <v>333.7</v>
      </c>
      <c r="M353" s="5" t="s">
        <v>737</v>
      </c>
      <c r="N353" s="9" t="s">
        <v>808</v>
      </c>
    </row>
    <row r="354" customFormat="false" ht="15" hidden="false" customHeight="false" outlineLevel="0" collapsed="false">
      <c r="A354" s="5" t="n">
        <v>350</v>
      </c>
      <c r="B354" s="5" t="n">
        <v>42</v>
      </c>
      <c r="C354" s="5" t="s">
        <v>73</v>
      </c>
      <c r="D354" s="5" t="s">
        <v>578</v>
      </c>
      <c r="E354" s="33" t="n">
        <v>-18.773491</v>
      </c>
      <c r="F354" s="33" t="n">
        <v>-39.757428</v>
      </c>
      <c r="G354" s="5" t="s">
        <v>736</v>
      </c>
      <c r="H354" s="5" t="s">
        <v>218</v>
      </c>
      <c r="I354" s="22" t="s">
        <v>715</v>
      </c>
      <c r="J354" s="5" t="s">
        <v>716</v>
      </c>
      <c r="K354" s="5" t="s">
        <v>218</v>
      </c>
      <c r="L354" s="21" t="n">
        <v>333.7</v>
      </c>
      <c r="M354" s="5" t="s">
        <v>737</v>
      </c>
      <c r="N354" s="9"/>
    </row>
    <row r="355" customFormat="false" ht="15" hidden="false" customHeight="false" outlineLevel="0" collapsed="false">
      <c r="A355" s="5" t="n">
        <v>351</v>
      </c>
      <c r="B355" s="5" t="n">
        <v>42</v>
      </c>
      <c r="C355" s="5" t="s">
        <v>73</v>
      </c>
      <c r="D355" s="5" t="s">
        <v>578</v>
      </c>
      <c r="E355" s="33" t="n">
        <v>-18.773422</v>
      </c>
      <c r="F355" s="33" t="n">
        <v>-39.760593</v>
      </c>
      <c r="G355" s="5" t="s">
        <v>713</v>
      </c>
      <c r="H355" s="5" t="s">
        <v>724</v>
      </c>
      <c r="I355" s="25" t="s">
        <v>723</v>
      </c>
      <c r="J355" s="5" t="s">
        <v>174</v>
      </c>
      <c r="K355" s="5" t="s">
        <v>720</v>
      </c>
      <c r="L355" s="21" t="n">
        <v>333.7</v>
      </c>
      <c r="M355" s="5" t="s">
        <v>218</v>
      </c>
      <c r="N355" s="9"/>
    </row>
    <row r="356" customFormat="false" ht="15" hidden="false" customHeight="false" outlineLevel="0" collapsed="false">
      <c r="A356" s="5" t="n">
        <v>352</v>
      </c>
      <c r="B356" s="5" t="n">
        <v>42</v>
      </c>
      <c r="C356" s="5" t="s">
        <v>73</v>
      </c>
      <c r="D356" s="5" t="s">
        <v>581</v>
      </c>
      <c r="E356" s="33" t="n">
        <v>-18.773065</v>
      </c>
      <c r="F356" s="33" t="n">
        <v>-39.750709</v>
      </c>
      <c r="G356" s="5" t="s">
        <v>713</v>
      </c>
      <c r="H356" s="5" t="s">
        <v>714</v>
      </c>
      <c r="I356" s="22" t="s">
        <v>715</v>
      </c>
      <c r="J356" s="5" t="s">
        <v>716</v>
      </c>
      <c r="K356" s="5" t="s">
        <v>720</v>
      </c>
      <c r="L356" s="21" t="n">
        <v>345.5</v>
      </c>
      <c r="M356" s="5" t="s">
        <v>218</v>
      </c>
      <c r="N356" s="9"/>
    </row>
    <row r="357" customFormat="false" ht="15" hidden="false" customHeight="false" outlineLevel="0" collapsed="false">
      <c r="A357" s="5" t="n">
        <v>353</v>
      </c>
      <c r="B357" s="5" t="n">
        <v>42</v>
      </c>
      <c r="C357" s="5" t="s">
        <v>73</v>
      </c>
      <c r="D357" s="5" t="s">
        <v>581</v>
      </c>
      <c r="E357" s="33" t="n">
        <v>-18.772988</v>
      </c>
      <c r="F357" s="33" t="n">
        <v>-39.753984</v>
      </c>
      <c r="G357" s="5" t="s">
        <v>713</v>
      </c>
      <c r="H357" s="5" t="s">
        <v>714</v>
      </c>
      <c r="I357" s="22" t="s">
        <v>715</v>
      </c>
      <c r="J357" s="5" t="s">
        <v>716</v>
      </c>
      <c r="K357" s="5" t="s">
        <v>720</v>
      </c>
      <c r="L357" s="21" t="n">
        <v>345.5</v>
      </c>
      <c r="M357" s="5" t="s">
        <v>218</v>
      </c>
      <c r="N357" s="9"/>
    </row>
    <row r="358" customFormat="false" ht="15" hidden="false" customHeight="false" outlineLevel="0" collapsed="false">
      <c r="A358" s="5" t="n">
        <v>354</v>
      </c>
      <c r="B358" s="5" t="n">
        <v>42</v>
      </c>
      <c r="C358" s="5" t="s">
        <v>73</v>
      </c>
      <c r="D358" s="5" t="s">
        <v>581</v>
      </c>
      <c r="E358" s="33" t="n">
        <v>-18.772934</v>
      </c>
      <c r="F358" s="33" t="n">
        <v>-39.757261</v>
      </c>
      <c r="G358" s="5" t="s">
        <v>713</v>
      </c>
      <c r="H358" s="5" t="s">
        <v>714</v>
      </c>
      <c r="I358" s="22" t="s">
        <v>715</v>
      </c>
      <c r="J358" s="5" t="s">
        <v>716</v>
      </c>
      <c r="K358" s="5" t="s">
        <v>722</v>
      </c>
      <c r="L358" s="21" t="n">
        <v>345.5</v>
      </c>
      <c r="M358" s="5" t="s">
        <v>218</v>
      </c>
      <c r="N358" s="9" t="s">
        <v>809</v>
      </c>
    </row>
    <row r="359" customFormat="false" ht="15" hidden="false" customHeight="false" outlineLevel="0" collapsed="false">
      <c r="A359" s="5" t="n">
        <v>355</v>
      </c>
      <c r="B359" s="5" t="n">
        <v>42</v>
      </c>
      <c r="C359" s="5" t="s">
        <v>73</v>
      </c>
      <c r="D359" s="5" t="s">
        <v>581</v>
      </c>
      <c r="E359" s="33" t="n">
        <v>-18.772836</v>
      </c>
      <c r="F359" s="33" t="n">
        <v>-39.760537</v>
      </c>
      <c r="G359" s="5" t="s">
        <v>713</v>
      </c>
      <c r="H359" s="5" t="s">
        <v>724</v>
      </c>
      <c r="I359" s="25" t="s">
        <v>723</v>
      </c>
      <c r="J359" s="5" t="s">
        <v>174</v>
      </c>
      <c r="K359" s="5" t="s">
        <v>722</v>
      </c>
      <c r="L359" s="21" t="n">
        <v>345.5</v>
      </c>
      <c r="M359" s="5" t="s">
        <v>218</v>
      </c>
      <c r="N359" s="9"/>
    </row>
    <row r="360" customFormat="false" ht="15" hidden="false" customHeight="false" outlineLevel="0" collapsed="false">
      <c r="A360" s="5" t="n">
        <v>356</v>
      </c>
      <c r="B360" s="5" t="n">
        <v>42</v>
      </c>
      <c r="C360" s="5" t="s">
        <v>73</v>
      </c>
      <c r="D360" s="5" t="s">
        <v>577</v>
      </c>
      <c r="E360" s="33" t="n">
        <v>-18.772495</v>
      </c>
      <c r="F360" s="33" t="n">
        <v>-39.750689</v>
      </c>
      <c r="G360" s="5" t="s">
        <v>713</v>
      </c>
      <c r="H360" s="5" t="s">
        <v>724</v>
      </c>
      <c r="I360" s="22" t="s">
        <v>715</v>
      </c>
      <c r="J360" s="5" t="s">
        <v>716</v>
      </c>
      <c r="K360" s="5" t="s">
        <v>720</v>
      </c>
      <c r="L360" s="21" t="n">
        <v>346</v>
      </c>
      <c r="M360" s="5" t="s">
        <v>218</v>
      </c>
      <c r="N360" s="9"/>
    </row>
    <row r="361" customFormat="false" ht="15" hidden="false" customHeight="false" outlineLevel="0" collapsed="false">
      <c r="A361" s="5" t="n">
        <v>357</v>
      </c>
      <c r="B361" s="5" t="n">
        <v>42</v>
      </c>
      <c r="C361" s="5" t="s">
        <v>73</v>
      </c>
      <c r="D361" s="5" t="s">
        <v>577</v>
      </c>
      <c r="E361" s="33" t="n">
        <v>-18.772447</v>
      </c>
      <c r="F361" s="33" t="n">
        <v>-39.753971</v>
      </c>
      <c r="G361" s="5" t="s">
        <v>713</v>
      </c>
      <c r="H361" s="5" t="s">
        <v>714</v>
      </c>
      <c r="I361" s="22" t="s">
        <v>715</v>
      </c>
      <c r="J361" s="5" t="s">
        <v>716</v>
      </c>
      <c r="K361" s="5" t="s">
        <v>720</v>
      </c>
      <c r="L361" s="21" t="n">
        <v>346</v>
      </c>
      <c r="M361" s="5" t="s">
        <v>218</v>
      </c>
      <c r="N361" s="9"/>
    </row>
    <row r="362" customFormat="false" ht="15" hidden="false" customHeight="false" outlineLevel="0" collapsed="false">
      <c r="A362" s="5" t="n">
        <v>358</v>
      </c>
      <c r="B362" s="5" t="n">
        <v>42</v>
      </c>
      <c r="C362" s="5" t="s">
        <v>73</v>
      </c>
      <c r="D362" s="5" t="s">
        <v>577</v>
      </c>
      <c r="E362" s="33" t="n">
        <v>-18.772368</v>
      </c>
      <c r="F362" s="33" t="n">
        <v>-39.757253</v>
      </c>
      <c r="G362" s="5" t="s">
        <v>713</v>
      </c>
      <c r="H362" s="5" t="s">
        <v>714</v>
      </c>
      <c r="I362" s="22" t="s">
        <v>715</v>
      </c>
      <c r="J362" s="5" t="s">
        <v>716</v>
      </c>
      <c r="K362" s="5" t="s">
        <v>720</v>
      </c>
      <c r="L362" s="21" t="n">
        <v>346</v>
      </c>
      <c r="M362" s="5" t="s">
        <v>218</v>
      </c>
      <c r="N362" s="9"/>
    </row>
    <row r="363" customFormat="false" ht="15" hidden="false" customHeight="false" outlineLevel="0" collapsed="false">
      <c r="A363" s="5" t="n">
        <v>359</v>
      </c>
      <c r="B363" s="5" t="n">
        <v>42</v>
      </c>
      <c r="C363" s="5" t="s">
        <v>73</v>
      </c>
      <c r="D363" s="5" t="s">
        <v>577</v>
      </c>
      <c r="E363" s="33" t="n">
        <v>-18.772313</v>
      </c>
      <c r="F363" s="33" t="n">
        <v>-39.760535</v>
      </c>
      <c r="G363" s="5" t="s">
        <v>713</v>
      </c>
      <c r="H363" s="5" t="s">
        <v>724</v>
      </c>
      <c r="I363" s="25" t="s">
        <v>723</v>
      </c>
      <c r="J363" s="5" t="s">
        <v>174</v>
      </c>
      <c r="K363" s="5" t="s">
        <v>722</v>
      </c>
      <c r="L363" s="21" t="n">
        <v>346</v>
      </c>
      <c r="M363" s="5" t="s">
        <v>218</v>
      </c>
      <c r="N363" s="9"/>
    </row>
    <row r="364" customFormat="false" ht="15" hidden="false" customHeight="false" outlineLevel="0" collapsed="false">
      <c r="A364" s="5" t="n">
        <v>360</v>
      </c>
      <c r="B364" s="5" t="n">
        <v>42</v>
      </c>
      <c r="C364" s="5" t="s">
        <v>73</v>
      </c>
      <c r="D364" s="5" t="s">
        <v>567</v>
      </c>
      <c r="E364" s="33" t="n">
        <v>-18.769137</v>
      </c>
      <c r="F364" s="33" t="n">
        <v>-39.750582</v>
      </c>
      <c r="G364" s="5" t="s">
        <v>713</v>
      </c>
      <c r="H364" s="5" t="s">
        <v>714</v>
      </c>
      <c r="I364" s="22" t="s">
        <v>715</v>
      </c>
      <c r="J364" s="5" t="s">
        <v>716</v>
      </c>
      <c r="K364" s="5" t="s">
        <v>722</v>
      </c>
      <c r="L364" s="21" t="n">
        <v>349.3</v>
      </c>
      <c r="M364" s="5" t="s">
        <v>218</v>
      </c>
      <c r="N364" s="9" t="s">
        <v>810</v>
      </c>
    </row>
    <row r="365" customFormat="false" ht="15" hidden="false" customHeight="false" outlineLevel="0" collapsed="false">
      <c r="A365" s="5" t="n">
        <v>361</v>
      </c>
      <c r="B365" s="5" t="n">
        <v>42</v>
      </c>
      <c r="C365" s="5" t="s">
        <v>73</v>
      </c>
      <c r="D365" s="5" t="s">
        <v>567</v>
      </c>
      <c r="E365" s="33" t="n">
        <v>-18.769077</v>
      </c>
      <c r="F365" s="33" t="n">
        <v>-39.753894</v>
      </c>
      <c r="G365" s="5" t="s">
        <v>736</v>
      </c>
      <c r="H365" s="5" t="s">
        <v>218</v>
      </c>
      <c r="I365" s="22" t="s">
        <v>715</v>
      </c>
      <c r="J365" s="5" t="s">
        <v>716</v>
      </c>
      <c r="K365" s="5" t="s">
        <v>218</v>
      </c>
      <c r="L365" s="21" t="n">
        <v>349.3</v>
      </c>
      <c r="M365" s="5" t="s">
        <v>737</v>
      </c>
      <c r="N365" s="9"/>
    </row>
    <row r="366" customFormat="false" ht="15" hidden="false" customHeight="false" outlineLevel="0" collapsed="false">
      <c r="A366" s="5" t="n">
        <v>362</v>
      </c>
      <c r="B366" s="5" t="n">
        <v>42</v>
      </c>
      <c r="C366" s="5" t="s">
        <v>73</v>
      </c>
      <c r="D366" s="5" t="s">
        <v>567</v>
      </c>
      <c r="E366" s="33" t="n">
        <v>-18.769024</v>
      </c>
      <c r="F366" s="33" t="n">
        <v>-39.757207</v>
      </c>
      <c r="G366" s="5" t="s">
        <v>736</v>
      </c>
      <c r="H366" s="5" t="s">
        <v>218</v>
      </c>
      <c r="I366" s="22" t="s">
        <v>715</v>
      </c>
      <c r="J366" s="5" t="s">
        <v>716</v>
      </c>
      <c r="K366" s="5" t="s">
        <v>218</v>
      </c>
      <c r="L366" s="21" t="n">
        <v>349.3</v>
      </c>
      <c r="M366" s="5" t="s">
        <v>737</v>
      </c>
      <c r="N366" s="9"/>
    </row>
    <row r="367" customFormat="false" ht="15" hidden="false" customHeight="false" outlineLevel="0" collapsed="false">
      <c r="A367" s="5" t="n">
        <v>363</v>
      </c>
      <c r="B367" s="5" t="n">
        <v>42</v>
      </c>
      <c r="C367" s="5" t="s">
        <v>73</v>
      </c>
      <c r="D367" s="5" t="s">
        <v>567</v>
      </c>
      <c r="E367" s="33" t="n">
        <v>-18.768939</v>
      </c>
      <c r="F367" s="33" t="n">
        <v>-39.76052</v>
      </c>
      <c r="G367" s="5" t="s">
        <v>736</v>
      </c>
      <c r="H367" s="5" t="s">
        <v>218</v>
      </c>
      <c r="I367" s="22" t="s">
        <v>715</v>
      </c>
      <c r="J367" s="5" t="s">
        <v>716</v>
      </c>
      <c r="K367" s="5" t="s">
        <v>218</v>
      </c>
      <c r="L367" s="21" t="n">
        <v>349.3</v>
      </c>
      <c r="M367" s="5" t="s">
        <v>737</v>
      </c>
      <c r="N367" s="9"/>
    </row>
    <row r="368" customFormat="false" ht="15" hidden="false" customHeight="false" outlineLevel="0" collapsed="false">
      <c r="A368" s="5" t="n">
        <v>364</v>
      </c>
      <c r="B368" s="5" t="n">
        <v>42</v>
      </c>
      <c r="C368" s="5" t="s">
        <v>73</v>
      </c>
      <c r="D368" s="5" t="s">
        <v>564</v>
      </c>
      <c r="E368" s="33" t="n">
        <v>-18.768567</v>
      </c>
      <c r="F368" s="33" t="n">
        <v>-39.750563</v>
      </c>
      <c r="G368" s="5" t="s">
        <v>713</v>
      </c>
      <c r="H368" s="5" t="s">
        <v>714</v>
      </c>
      <c r="I368" s="22" t="s">
        <v>715</v>
      </c>
      <c r="J368" s="5" t="s">
        <v>716</v>
      </c>
      <c r="K368" s="5" t="s">
        <v>722</v>
      </c>
      <c r="L368" s="21" t="n">
        <v>349.8</v>
      </c>
      <c r="M368" s="5" t="s">
        <v>218</v>
      </c>
      <c r="N368" s="9" t="s">
        <v>811</v>
      </c>
    </row>
    <row r="369" customFormat="false" ht="15" hidden="false" customHeight="false" outlineLevel="0" collapsed="false">
      <c r="A369" s="5" t="n">
        <v>365</v>
      </c>
      <c r="B369" s="5" t="n">
        <v>42</v>
      </c>
      <c r="C369" s="5" t="s">
        <v>73</v>
      </c>
      <c r="D369" s="5" t="s">
        <v>564</v>
      </c>
      <c r="E369" s="33" t="n">
        <v>-18.768517</v>
      </c>
      <c r="F369" s="33" t="n">
        <v>-39.753882</v>
      </c>
      <c r="G369" s="5" t="s">
        <v>736</v>
      </c>
      <c r="H369" s="5" t="s">
        <v>218</v>
      </c>
      <c r="I369" s="22" t="s">
        <v>715</v>
      </c>
      <c r="J369" s="5" t="s">
        <v>716</v>
      </c>
      <c r="K369" s="5" t="s">
        <v>218</v>
      </c>
      <c r="L369" s="21" t="n">
        <v>349.8</v>
      </c>
      <c r="M369" s="5" t="s">
        <v>737</v>
      </c>
      <c r="N369" s="9"/>
    </row>
    <row r="370" customFormat="false" ht="15" hidden="false" customHeight="false" outlineLevel="0" collapsed="false">
      <c r="A370" s="5" t="n">
        <v>366</v>
      </c>
      <c r="B370" s="5" t="n">
        <v>42</v>
      </c>
      <c r="C370" s="5" t="s">
        <v>73</v>
      </c>
      <c r="D370" s="5" t="s">
        <v>564</v>
      </c>
      <c r="E370" s="33" t="n">
        <v>-18.768437</v>
      </c>
      <c r="F370" s="33" t="n">
        <v>-39.757199</v>
      </c>
      <c r="G370" s="5" t="s">
        <v>736</v>
      </c>
      <c r="H370" s="5" t="s">
        <v>218</v>
      </c>
      <c r="I370" s="22" t="s">
        <v>715</v>
      </c>
      <c r="J370" s="5" t="s">
        <v>716</v>
      </c>
      <c r="K370" s="5" t="s">
        <v>218</v>
      </c>
      <c r="L370" s="21" t="n">
        <v>349.8</v>
      </c>
      <c r="M370" s="5" t="s">
        <v>737</v>
      </c>
      <c r="N370" s="9"/>
    </row>
    <row r="371" customFormat="false" ht="22.35" hidden="false" customHeight="false" outlineLevel="0" collapsed="false">
      <c r="A371" s="5" t="n">
        <v>367</v>
      </c>
      <c r="B371" s="5" t="n">
        <v>42</v>
      </c>
      <c r="C371" s="5" t="s">
        <v>73</v>
      </c>
      <c r="D371" s="5" t="s">
        <v>564</v>
      </c>
      <c r="E371" s="33" t="n">
        <v>-18.768372</v>
      </c>
      <c r="F371" s="33" t="n">
        <v>-39.760517</v>
      </c>
      <c r="G371" s="5" t="s">
        <v>736</v>
      </c>
      <c r="H371" s="5" t="s">
        <v>218</v>
      </c>
      <c r="I371" s="22" t="s">
        <v>715</v>
      </c>
      <c r="J371" s="5" t="s">
        <v>716</v>
      </c>
      <c r="K371" s="5" t="s">
        <v>218</v>
      </c>
      <c r="L371" s="21" t="n">
        <v>349.8</v>
      </c>
      <c r="M371" s="5" t="s">
        <v>737</v>
      </c>
      <c r="N371" s="9" t="s">
        <v>812</v>
      </c>
    </row>
    <row r="372" customFormat="false" ht="15" hidden="false" customHeight="false" outlineLevel="0" collapsed="false">
      <c r="A372" s="5" t="n">
        <v>368</v>
      </c>
      <c r="B372" s="5" t="n">
        <v>42</v>
      </c>
      <c r="C372" s="5" t="s">
        <v>73</v>
      </c>
      <c r="D372" s="5" t="s">
        <v>572</v>
      </c>
      <c r="E372" s="33" t="n">
        <v>-18.770807</v>
      </c>
      <c r="F372" s="33" t="n">
        <v>-39.750633</v>
      </c>
      <c r="G372" s="5" t="s">
        <v>713</v>
      </c>
      <c r="H372" s="5" t="s">
        <v>714</v>
      </c>
      <c r="I372" s="22" t="s">
        <v>715</v>
      </c>
      <c r="J372" s="5" t="s">
        <v>716</v>
      </c>
      <c r="K372" s="5" t="s">
        <v>722</v>
      </c>
      <c r="L372" s="21" t="n">
        <v>347.7</v>
      </c>
      <c r="M372" s="5" t="s">
        <v>218</v>
      </c>
      <c r="N372" s="9" t="s">
        <v>813</v>
      </c>
    </row>
    <row r="373" customFormat="false" ht="15" hidden="false" customHeight="false" outlineLevel="0" collapsed="false">
      <c r="A373" s="5" t="n">
        <v>369</v>
      </c>
      <c r="B373" s="5" t="n">
        <v>42</v>
      </c>
      <c r="C373" s="5" t="s">
        <v>73</v>
      </c>
      <c r="D373" s="5" t="s">
        <v>572</v>
      </c>
      <c r="E373" s="33" t="n">
        <v>-18.770756</v>
      </c>
      <c r="F373" s="33" t="n">
        <v>-39.753932</v>
      </c>
      <c r="G373" s="5" t="s">
        <v>736</v>
      </c>
      <c r="H373" s="5" t="s">
        <v>218</v>
      </c>
      <c r="I373" s="22" t="s">
        <v>715</v>
      </c>
      <c r="J373" s="5" t="s">
        <v>716</v>
      </c>
      <c r="K373" s="5" t="s">
        <v>218</v>
      </c>
      <c r="L373" s="21" t="n">
        <v>347.7</v>
      </c>
      <c r="M373" s="5" t="s">
        <v>737</v>
      </c>
      <c r="N373" s="9"/>
    </row>
    <row r="374" customFormat="false" ht="15" hidden="false" customHeight="false" outlineLevel="0" collapsed="false">
      <c r="A374" s="5" t="n">
        <v>370</v>
      </c>
      <c r="B374" s="5" t="n">
        <v>42</v>
      </c>
      <c r="C374" s="5" t="s">
        <v>73</v>
      </c>
      <c r="D374" s="5" t="s">
        <v>572</v>
      </c>
      <c r="E374" s="33" t="n">
        <v>-18.770685</v>
      </c>
      <c r="F374" s="33" t="n">
        <v>-39.757229</v>
      </c>
      <c r="G374" s="5" t="s">
        <v>736</v>
      </c>
      <c r="H374" s="5" t="s">
        <v>218</v>
      </c>
      <c r="I374" s="22" t="s">
        <v>715</v>
      </c>
      <c r="J374" s="5" t="s">
        <v>716</v>
      </c>
      <c r="K374" s="5" t="s">
        <v>218</v>
      </c>
      <c r="L374" s="21" t="n">
        <v>347.7</v>
      </c>
      <c r="M374" s="5" t="s">
        <v>737</v>
      </c>
      <c r="N374" s="9"/>
    </row>
    <row r="375" customFormat="false" ht="15" hidden="false" customHeight="false" outlineLevel="0" collapsed="false">
      <c r="A375" s="5" t="n">
        <v>371</v>
      </c>
      <c r="B375" s="5" t="n">
        <v>42</v>
      </c>
      <c r="C375" s="5" t="s">
        <v>73</v>
      </c>
      <c r="D375" s="5" t="s">
        <v>572</v>
      </c>
      <c r="E375" s="33" t="n">
        <v>-18.770626</v>
      </c>
      <c r="F375" s="33" t="n">
        <v>-39.760527</v>
      </c>
      <c r="G375" s="5" t="s">
        <v>713</v>
      </c>
      <c r="H375" s="5" t="s">
        <v>714</v>
      </c>
      <c r="I375" s="22" t="s">
        <v>715</v>
      </c>
      <c r="J375" s="5" t="s">
        <v>716</v>
      </c>
      <c r="K375" s="5" t="s">
        <v>720</v>
      </c>
      <c r="L375" s="21" t="n">
        <v>347.7</v>
      </c>
      <c r="M375" s="5" t="s">
        <v>218</v>
      </c>
      <c r="N375" s="9"/>
    </row>
    <row r="376" customFormat="false" ht="15" hidden="false" customHeight="false" outlineLevel="0" collapsed="false">
      <c r="A376" s="5" t="n">
        <v>372</v>
      </c>
      <c r="B376" s="5" t="n">
        <v>42</v>
      </c>
      <c r="C376" s="5" t="s">
        <v>73</v>
      </c>
      <c r="D376" s="5" t="s">
        <v>558</v>
      </c>
      <c r="E376" s="33" t="n">
        <v>-18.767466</v>
      </c>
      <c r="F376" s="33" t="n">
        <v>-39.75029</v>
      </c>
      <c r="G376" s="5" t="s">
        <v>713</v>
      </c>
      <c r="H376" s="5" t="s">
        <v>714</v>
      </c>
      <c r="I376" s="22" t="s">
        <v>715</v>
      </c>
      <c r="J376" s="5" t="s">
        <v>716</v>
      </c>
      <c r="K376" s="5" t="s">
        <v>722</v>
      </c>
      <c r="L376" s="21" t="n">
        <v>300.8</v>
      </c>
      <c r="M376" s="5" t="s">
        <v>218</v>
      </c>
      <c r="N376" s="9" t="s">
        <v>718</v>
      </c>
    </row>
    <row r="377" customFormat="false" ht="15" hidden="false" customHeight="false" outlineLevel="0" collapsed="false">
      <c r="A377" s="5" t="n">
        <v>373</v>
      </c>
      <c r="B377" s="5" t="n">
        <v>42</v>
      </c>
      <c r="C377" s="5" t="s">
        <v>73</v>
      </c>
      <c r="D377" s="5" t="s">
        <v>558</v>
      </c>
      <c r="E377" s="33" t="n">
        <v>-18.767398</v>
      </c>
      <c r="F377" s="33" t="n">
        <v>-39.753142</v>
      </c>
      <c r="G377" s="5" t="s">
        <v>713</v>
      </c>
      <c r="H377" s="5" t="s">
        <v>724</v>
      </c>
      <c r="I377" s="22" t="s">
        <v>715</v>
      </c>
      <c r="J377" s="5" t="s">
        <v>716</v>
      </c>
      <c r="K377" s="5" t="s">
        <v>722</v>
      </c>
      <c r="L377" s="21" t="n">
        <v>300.8</v>
      </c>
      <c r="M377" s="5" t="s">
        <v>218</v>
      </c>
      <c r="N377" s="9"/>
    </row>
    <row r="378" customFormat="false" ht="22.35" hidden="false" customHeight="false" outlineLevel="0" collapsed="false">
      <c r="A378" s="5" t="n">
        <v>374</v>
      </c>
      <c r="B378" s="5" t="n">
        <v>42</v>
      </c>
      <c r="C378" s="5" t="s">
        <v>73</v>
      </c>
      <c r="D378" s="5" t="s">
        <v>558</v>
      </c>
      <c r="E378" s="33" t="n">
        <v>-18.767332</v>
      </c>
      <c r="F378" s="33" t="n">
        <v>-39.755995</v>
      </c>
      <c r="G378" s="5" t="s">
        <v>736</v>
      </c>
      <c r="H378" s="5" t="s">
        <v>218</v>
      </c>
      <c r="I378" s="22" t="s">
        <v>715</v>
      </c>
      <c r="J378" s="5" t="s">
        <v>716</v>
      </c>
      <c r="K378" s="5" t="s">
        <v>218</v>
      </c>
      <c r="L378" s="21" t="n">
        <v>300.8</v>
      </c>
      <c r="M378" s="5" t="s">
        <v>141</v>
      </c>
      <c r="N378" s="9" t="s">
        <v>814</v>
      </c>
    </row>
    <row r="379" customFormat="false" ht="15" hidden="false" customHeight="false" outlineLevel="0" collapsed="false">
      <c r="A379" s="5" t="n">
        <v>375</v>
      </c>
      <c r="B379" s="5" t="n">
        <v>42</v>
      </c>
      <c r="C379" s="5" t="s">
        <v>73</v>
      </c>
      <c r="D379" s="5" t="s">
        <v>583</v>
      </c>
      <c r="E379" s="33" t="n">
        <v>-18.771737</v>
      </c>
      <c r="F379" s="33" t="n">
        <v>-39.750416</v>
      </c>
      <c r="G379" s="5" t="s">
        <v>713</v>
      </c>
      <c r="H379" s="5" t="s">
        <v>714</v>
      </c>
      <c r="I379" s="22" t="s">
        <v>715</v>
      </c>
      <c r="J379" s="5" t="s">
        <v>716</v>
      </c>
      <c r="K379" s="5" t="s">
        <v>717</v>
      </c>
      <c r="L379" s="21" t="n">
        <v>390.4</v>
      </c>
      <c r="M379" s="5" t="s">
        <v>218</v>
      </c>
      <c r="N379" s="9" t="s">
        <v>718</v>
      </c>
    </row>
    <row r="380" customFormat="false" ht="15" hidden="false" customHeight="false" outlineLevel="0" collapsed="false">
      <c r="A380" s="5" t="n">
        <v>376</v>
      </c>
      <c r="B380" s="5" t="n">
        <v>42</v>
      </c>
      <c r="C380" s="5" t="s">
        <v>73</v>
      </c>
      <c r="D380" s="5" t="s">
        <v>583</v>
      </c>
      <c r="E380" s="33" t="n">
        <v>-18.771712</v>
      </c>
      <c r="F380" s="33" t="n">
        <v>-39.75032</v>
      </c>
      <c r="G380" s="5" t="s">
        <v>713</v>
      </c>
      <c r="H380" s="5" t="s">
        <v>724</v>
      </c>
      <c r="I380" s="22" t="s">
        <v>715</v>
      </c>
      <c r="J380" s="5" t="s">
        <v>716</v>
      </c>
      <c r="K380" s="5" t="s">
        <v>717</v>
      </c>
      <c r="L380" s="21" t="n">
        <v>389.3</v>
      </c>
      <c r="M380" s="5" t="s">
        <v>218</v>
      </c>
      <c r="N380" s="9" t="s">
        <v>718</v>
      </c>
    </row>
    <row r="381" customFormat="false" ht="15" hidden="false" customHeight="false" outlineLevel="0" collapsed="false">
      <c r="A381" s="5" t="n">
        <v>377</v>
      </c>
      <c r="B381" s="5" t="n">
        <v>42</v>
      </c>
      <c r="C381" s="5" t="s">
        <v>73</v>
      </c>
      <c r="D381" s="5" t="s">
        <v>171</v>
      </c>
      <c r="E381" s="33" t="n">
        <v>-18.768363</v>
      </c>
      <c r="F381" s="33" t="n">
        <v>-39.752494</v>
      </c>
      <c r="G381" s="5" t="s">
        <v>713</v>
      </c>
      <c r="H381" s="5" t="s">
        <v>714</v>
      </c>
      <c r="I381" s="22" t="s">
        <v>715</v>
      </c>
      <c r="J381" s="5" t="s">
        <v>716</v>
      </c>
      <c r="K381" s="5" t="s">
        <v>722</v>
      </c>
      <c r="L381" s="21" t="n">
        <v>385.8</v>
      </c>
      <c r="M381" s="5" t="s">
        <v>218</v>
      </c>
      <c r="N381" s="9" t="s">
        <v>718</v>
      </c>
    </row>
    <row r="382" customFormat="false" ht="15" hidden="false" customHeight="false" outlineLevel="0" collapsed="false">
      <c r="A382" s="5" t="n">
        <v>378</v>
      </c>
      <c r="B382" s="5" t="n">
        <v>42</v>
      </c>
      <c r="C382" s="5" t="s">
        <v>73</v>
      </c>
      <c r="D382" s="5" t="s">
        <v>171</v>
      </c>
      <c r="E382" s="33" t="n">
        <v>-18.771848</v>
      </c>
      <c r="F382" s="33" t="n">
        <v>-39.752618</v>
      </c>
      <c r="G382" s="5" t="s">
        <v>713</v>
      </c>
      <c r="H382" s="5" t="s">
        <v>714</v>
      </c>
      <c r="I382" s="22" t="s">
        <v>715</v>
      </c>
      <c r="J382" s="5" t="s">
        <v>716</v>
      </c>
      <c r="K382" s="5" t="s">
        <v>720</v>
      </c>
      <c r="L382" s="21" t="n">
        <v>385.8</v>
      </c>
      <c r="M382" s="5" t="s">
        <v>218</v>
      </c>
      <c r="N382" s="9" t="s">
        <v>718</v>
      </c>
    </row>
    <row r="383" customFormat="false" ht="15" hidden="false" customHeight="false" outlineLevel="0" collapsed="false">
      <c r="A383" s="5" t="n">
        <v>379</v>
      </c>
      <c r="B383" s="5" t="n">
        <v>42</v>
      </c>
      <c r="C383" s="5" t="s">
        <v>73</v>
      </c>
      <c r="D383" s="5" t="s">
        <v>171</v>
      </c>
      <c r="E383" s="33" t="n">
        <v>-18.766742</v>
      </c>
      <c r="F383" s="33" t="n">
        <v>-39.752344</v>
      </c>
      <c r="G383" s="5" t="s">
        <v>713</v>
      </c>
      <c r="H383" s="5" t="s">
        <v>714</v>
      </c>
      <c r="I383" s="22" t="s">
        <v>715</v>
      </c>
      <c r="J383" s="5" t="s">
        <v>716</v>
      </c>
      <c r="K383" s="5" t="s">
        <v>722</v>
      </c>
      <c r="L383" s="21" t="n">
        <v>28.4</v>
      </c>
      <c r="M383" s="5" t="s">
        <v>218</v>
      </c>
      <c r="N383" s="9" t="s">
        <v>718</v>
      </c>
    </row>
    <row r="384" customFormat="false" ht="32.8" hidden="false" customHeight="false" outlineLevel="0" collapsed="false">
      <c r="A384" s="5" t="n">
        <v>380</v>
      </c>
      <c r="B384" s="5" t="n">
        <v>42</v>
      </c>
      <c r="C384" s="5" t="s">
        <v>73</v>
      </c>
      <c r="D384" s="5" t="s">
        <v>556</v>
      </c>
      <c r="E384" s="33" t="n">
        <v>-18.766881</v>
      </c>
      <c r="F384" s="33" t="n">
        <v>-39.751211</v>
      </c>
      <c r="G384" s="5" t="s">
        <v>736</v>
      </c>
      <c r="H384" s="5" t="s">
        <v>218</v>
      </c>
      <c r="I384" s="25" t="s">
        <v>723</v>
      </c>
      <c r="J384" s="5" t="s">
        <v>174</v>
      </c>
      <c r="K384" s="5" t="s">
        <v>218</v>
      </c>
      <c r="L384" s="21" t="n">
        <v>499.5</v>
      </c>
      <c r="M384" s="5" t="s">
        <v>737</v>
      </c>
      <c r="N384" s="9" t="s">
        <v>815</v>
      </c>
    </row>
    <row r="385" customFormat="false" ht="22.35" hidden="false" customHeight="false" outlineLevel="0" collapsed="false">
      <c r="A385" s="5" t="n">
        <v>381</v>
      </c>
      <c r="B385" s="5" t="n">
        <v>42</v>
      </c>
      <c r="C385" s="5" t="s">
        <v>73</v>
      </c>
      <c r="D385" s="5" t="s">
        <v>589</v>
      </c>
      <c r="E385" s="33" t="n">
        <v>-18.768922</v>
      </c>
      <c r="F385" s="33" t="n">
        <v>-39.75738</v>
      </c>
      <c r="G385" s="5" t="s">
        <v>736</v>
      </c>
      <c r="H385" s="5" t="s">
        <v>218</v>
      </c>
      <c r="I385" s="22" t="s">
        <v>715</v>
      </c>
      <c r="J385" s="5" t="s">
        <v>716</v>
      </c>
      <c r="K385" s="5" t="s">
        <v>218</v>
      </c>
      <c r="L385" s="21" t="n">
        <v>337.1</v>
      </c>
      <c r="M385" s="5" t="s">
        <v>737</v>
      </c>
      <c r="N385" s="9" t="s">
        <v>816</v>
      </c>
    </row>
    <row r="386" customFormat="false" ht="15" hidden="false" customHeight="false" outlineLevel="0" collapsed="false">
      <c r="A386" s="5" t="n">
        <v>382</v>
      </c>
      <c r="B386" s="5" t="n">
        <v>42</v>
      </c>
      <c r="C386" s="5" t="s">
        <v>73</v>
      </c>
      <c r="D386" s="5" t="s">
        <v>592</v>
      </c>
      <c r="E386" s="33" t="n">
        <v>-18.772965</v>
      </c>
      <c r="F386" s="33" t="n">
        <v>-39.75989</v>
      </c>
      <c r="G386" s="5" t="s">
        <v>713</v>
      </c>
      <c r="H386" s="5" t="s">
        <v>724</v>
      </c>
      <c r="I386" s="22" t="s">
        <v>715</v>
      </c>
      <c r="J386" s="5" t="s">
        <v>716</v>
      </c>
      <c r="K386" s="5" t="s">
        <v>722</v>
      </c>
      <c r="L386" s="21" t="n">
        <v>379.1</v>
      </c>
      <c r="M386" s="5" t="s">
        <v>218</v>
      </c>
      <c r="N386" s="9"/>
    </row>
    <row r="387" customFormat="false" ht="22.35" hidden="false" customHeight="false" outlineLevel="0" collapsed="false">
      <c r="A387" s="5" t="n">
        <v>383</v>
      </c>
      <c r="B387" s="5" t="n">
        <v>42</v>
      </c>
      <c r="C387" s="5" t="s">
        <v>73</v>
      </c>
      <c r="D387" s="5" t="s">
        <v>592</v>
      </c>
      <c r="E387" s="33" t="n">
        <v>-18.769542</v>
      </c>
      <c r="F387" s="33" t="n">
        <v>-39.759782</v>
      </c>
      <c r="G387" s="5" t="s">
        <v>736</v>
      </c>
      <c r="H387" s="5" t="s">
        <v>218</v>
      </c>
      <c r="I387" s="22" t="s">
        <v>715</v>
      </c>
      <c r="J387" s="5" t="s">
        <v>716</v>
      </c>
      <c r="K387" s="5" t="s">
        <v>218</v>
      </c>
      <c r="L387" s="21" t="n">
        <v>379.1</v>
      </c>
      <c r="M387" s="5" t="s">
        <v>737</v>
      </c>
      <c r="N387" s="9" t="s">
        <v>817</v>
      </c>
    </row>
    <row r="388" customFormat="false" ht="15" hidden="false" customHeight="false" outlineLevel="0" collapsed="false">
      <c r="A388" s="5" t="n">
        <v>384</v>
      </c>
      <c r="B388" s="5" t="n">
        <v>42</v>
      </c>
      <c r="C388" s="5" t="s">
        <v>73</v>
      </c>
      <c r="D388" s="5" t="s">
        <v>427</v>
      </c>
      <c r="E388" s="33" t="n">
        <v>-18.768895</v>
      </c>
      <c r="F388" s="33" t="n">
        <v>-39.75499</v>
      </c>
      <c r="G388" s="5" t="s">
        <v>736</v>
      </c>
      <c r="H388" s="5" t="s">
        <v>218</v>
      </c>
      <c r="I388" s="22" t="s">
        <v>715</v>
      </c>
      <c r="J388" s="5" t="s">
        <v>716</v>
      </c>
      <c r="K388" s="5" t="s">
        <v>218</v>
      </c>
      <c r="L388" s="21" t="n">
        <v>342.1</v>
      </c>
      <c r="M388" s="5" t="s">
        <v>737</v>
      </c>
      <c r="N388" s="9" t="s">
        <v>818</v>
      </c>
    </row>
    <row r="389" customFormat="false" ht="15" hidden="false" customHeight="false" outlineLevel="0" collapsed="false">
      <c r="A389" s="5" t="n">
        <v>385</v>
      </c>
      <c r="B389" s="5" t="n">
        <v>42</v>
      </c>
      <c r="C389" s="5" t="s">
        <v>73</v>
      </c>
      <c r="D389" s="5" t="s">
        <v>427</v>
      </c>
      <c r="E389" s="33" t="n">
        <v>-18.771985</v>
      </c>
      <c r="F389" s="33" t="n">
        <v>-39.755088</v>
      </c>
      <c r="G389" s="5" t="s">
        <v>713</v>
      </c>
      <c r="H389" s="5" t="s">
        <v>714</v>
      </c>
      <c r="I389" s="22" t="s">
        <v>715</v>
      </c>
      <c r="J389" s="5" t="s">
        <v>716</v>
      </c>
      <c r="K389" s="5" t="s">
        <v>722</v>
      </c>
      <c r="L389" s="21" t="n">
        <v>342.1</v>
      </c>
      <c r="M389" s="5" t="s">
        <v>218</v>
      </c>
      <c r="N389" s="9"/>
    </row>
    <row r="390" customFormat="false" ht="15" hidden="false" customHeight="false" outlineLevel="0" collapsed="false">
      <c r="A390" s="5" t="n">
        <v>386</v>
      </c>
      <c r="B390" s="5" t="n">
        <v>42</v>
      </c>
      <c r="C390" s="5" t="s">
        <v>73</v>
      </c>
      <c r="D390" s="5" t="s">
        <v>149</v>
      </c>
      <c r="E390" s="33" t="n">
        <v>-18.771952</v>
      </c>
      <c r="F390" s="33" t="n">
        <v>-39.752542</v>
      </c>
      <c r="G390" s="5" t="s">
        <v>713</v>
      </c>
      <c r="H390" s="5" t="s">
        <v>714</v>
      </c>
      <c r="I390" s="22" t="s">
        <v>715</v>
      </c>
      <c r="J390" s="5" t="s">
        <v>716</v>
      </c>
      <c r="K390" s="5" t="s">
        <v>722</v>
      </c>
      <c r="L390" s="21" t="n">
        <v>375.2</v>
      </c>
      <c r="M390" s="5" t="s">
        <v>218</v>
      </c>
      <c r="N390" s="9" t="s">
        <v>718</v>
      </c>
    </row>
    <row r="391" customFormat="false" ht="22.35" hidden="false" customHeight="false" outlineLevel="0" collapsed="false">
      <c r="A391" s="5" t="n">
        <v>387</v>
      </c>
      <c r="B391" s="5" t="n">
        <v>42</v>
      </c>
      <c r="C391" s="5" t="s">
        <v>73</v>
      </c>
      <c r="D391" s="5" t="s">
        <v>168</v>
      </c>
      <c r="E391" s="33" t="n">
        <v>-18.773952</v>
      </c>
      <c r="F391" s="33" t="n">
        <v>-39.761018</v>
      </c>
      <c r="G391" s="5" t="s">
        <v>736</v>
      </c>
      <c r="H391" s="5" t="s">
        <v>218</v>
      </c>
      <c r="I391" s="25" t="s">
        <v>723</v>
      </c>
      <c r="J391" s="5" t="s">
        <v>174</v>
      </c>
      <c r="K391" s="5" t="s">
        <v>218</v>
      </c>
      <c r="L391" s="21" t="n">
        <v>244.2</v>
      </c>
      <c r="M391" s="5" t="s">
        <v>141</v>
      </c>
      <c r="N391" s="9" t="s">
        <v>819</v>
      </c>
    </row>
    <row r="392" customFormat="false" ht="15" hidden="false" customHeight="false" outlineLevel="0" collapsed="false">
      <c r="A392" s="5" t="n">
        <v>388</v>
      </c>
      <c r="B392" s="5" t="n">
        <v>42</v>
      </c>
      <c r="C392" s="5" t="s">
        <v>73</v>
      </c>
      <c r="D392" s="5" t="s">
        <v>168</v>
      </c>
      <c r="E392" s="33" t="n">
        <v>-18.772395</v>
      </c>
      <c r="F392" s="33" t="n">
        <v>-39.75619</v>
      </c>
      <c r="G392" s="5" t="s">
        <v>713</v>
      </c>
      <c r="H392" s="5" t="s">
        <v>714</v>
      </c>
      <c r="I392" s="22" t="s">
        <v>715</v>
      </c>
      <c r="J392" s="5" t="s">
        <v>716</v>
      </c>
      <c r="K392" s="5" t="s">
        <v>722</v>
      </c>
      <c r="L392" s="21" t="n">
        <v>246.9</v>
      </c>
      <c r="M392" s="5" t="s">
        <v>218</v>
      </c>
      <c r="N392" s="9"/>
    </row>
    <row r="393" customFormat="false" ht="22.35" hidden="false" customHeight="false" outlineLevel="0" collapsed="false">
      <c r="A393" s="5" t="n">
        <v>389</v>
      </c>
      <c r="B393" s="5" t="n">
        <v>42</v>
      </c>
      <c r="C393" s="5" t="s">
        <v>73</v>
      </c>
      <c r="D393" s="5" t="s">
        <v>168</v>
      </c>
      <c r="E393" s="33" t="n">
        <v>-18.76902</v>
      </c>
      <c r="F393" s="33" t="n">
        <v>-39.756119</v>
      </c>
      <c r="G393" s="5" t="s">
        <v>736</v>
      </c>
      <c r="H393" s="5" t="s">
        <v>218</v>
      </c>
      <c r="I393" s="25" t="s">
        <v>723</v>
      </c>
      <c r="J393" s="5" t="s">
        <v>174</v>
      </c>
      <c r="K393" s="5" t="s">
        <v>218</v>
      </c>
      <c r="L393" s="21" t="n">
        <v>374.1</v>
      </c>
      <c r="M393" s="5" t="s">
        <v>737</v>
      </c>
      <c r="N393" s="9" t="s">
        <v>820</v>
      </c>
    </row>
    <row r="394" customFormat="false" ht="15" hidden="false" customHeight="false" outlineLevel="0" collapsed="false">
      <c r="A394" s="5" t="n">
        <v>390</v>
      </c>
      <c r="B394" s="5" t="n">
        <v>42</v>
      </c>
      <c r="C394" s="5" t="s">
        <v>73</v>
      </c>
      <c r="D394" s="5" t="s">
        <v>168</v>
      </c>
      <c r="E394" s="33" t="n">
        <v>-18.771437</v>
      </c>
      <c r="F394" s="33" t="n">
        <v>-39.753804</v>
      </c>
      <c r="G394" s="5" t="s">
        <v>713</v>
      </c>
      <c r="H394" s="5" t="s">
        <v>724</v>
      </c>
      <c r="I394" s="22" t="s">
        <v>715</v>
      </c>
      <c r="J394" s="5" t="s">
        <v>716</v>
      </c>
      <c r="K394" s="5" t="s">
        <v>720</v>
      </c>
      <c r="L394" s="21" t="n">
        <v>343.7</v>
      </c>
      <c r="M394" s="5" t="s">
        <v>218</v>
      </c>
      <c r="N394" s="9"/>
    </row>
    <row r="395" customFormat="false" ht="22.35" hidden="false" customHeight="false" outlineLevel="0" collapsed="false">
      <c r="A395" s="5" t="n">
        <v>391</v>
      </c>
      <c r="B395" s="5" t="n">
        <v>42</v>
      </c>
      <c r="C395" s="5" t="s">
        <v>73</v>
      </c>
      <c r="D395" s="5" t="s">
        <v>168</v>
      </c>
      <c r="E395" s="33" t="n">
        <v>-18.774353</v>
      </c>
      <c r="F395" s="33" t="n">
        <v>-39.752645</v>
      </c>
      <c r="G395" s="5" t="s">
        <v>736</v>
      </c>
      <c r="H395" s="5" t="s">
        <v>218</v>
      </c>
      <c r="I395" s="25" t="s">
        <v>723</v>
      </c>
      <c r="J395" s="5" t="s">
        <v>174</v>
      </c>
      <c r="K395" s="5" t="s">
        <v>218</v>
      </c>
      <c r="L395" s="21" t="n">
        <v>224.6</v>
      </c>
      <c r="M395" s="5" t="s">
        <v>141</v>
      </c>
      <c r="N395" s="9" t="s">
        <v>821</v>
      </c>
    </row>
    <row r="396" customFormat="false" ht="15" hidden="false" customHeight="false" outlineLevel="0" collapsed="false">
      <c r="A396" s="5" t="n">
        <v>392</v>
      </c>
      <c r="B396" s="5" t="n">
        <v>42</v>
      </c>
      <c r="C396" s="5" t="s">
        <v>73</v>
      </c>
      <c r="D396" s="5" t="s">
        <v>168</v>
      </c>
      <c r="E396" s="33" t="n">
        <v>-18.774531</v>
      </c>
      <c r="F396" s="33" t="n">
        <v>-39.751582</v>
      </c>
      <c r="G396" s="5" t="s">
        <v>713</v>
      </c>
      <c r="H396" s="5" t="s">
        <v>724</v>
      </c>
      <c r="I396" s="25" t="s">
        <v>723</v>
      </c>
      <c r="J396" s="5" t="s">
        <v>174</v>
      </c>
      <c r="K396" s="5" t="s">
        <v>722</v>
      </c>
      <c r="L396" s="21" t="n">
        <v>31.2</v>
      </c>
      <c r="M396" s="5" t="s">
        <v>218</v>
      </c>
      <c r="N396" s="9"/>
    </row>
    <row r="397" customFormat="false" ht="15" hidden="false" customHeight="false" outlineLevel="0" collapsed="false">
      <c r="A397" s="5" t="n">
        <v>393</v>
      </c>
      <c r="B397" s="5" t="n">
        <v>42</v>
      </c>
      <c r="C397" s="5" t="s">
        <v>73</v>
      </c>
      <c r="D397" s="5" t="s">
        <v>168</v>
      </c>
      <c r="E397" s="33" t="n">
        <v>-18.77372</v>
      </c>
      <c r="F397" s="33" t="n">
        <v>-39.751575</v>
      </c>
      <c r="G397" s="5" t="s">
        <v>713</v>
      </c>
      <c r="H397" s="5" t="s">
        <v>724</v>
      </c>
      <c r="I397" s="25" t="s">
        <v>723</v>
      </c>
      <c r="J397" s="5" t="s">
        <v>174</v>
      </c>
      <c r="K397" s="5" t="s">
        <v>720</v>
      </c>
      <c r="L397" s="21" t="n">
        <v>148.3</v>
      </c>
      <c r="M397" s="5" t="s">
        <v>218</v>
      </c>
      <c r="N397" s="9"/>
    </row>
    <row r="398" customFormat="false" ht="15" hidden="false" customHeight="false" outlineLevel="0" collapsed="false">
      <c r="A398" s="5" t="n">
        <v>394</v>
      </c>
      <c r="B398" s="5" t="n">
        <v>42</v>
      </c>
      <c r="C398" s="5" t="s">
        <v>73</v>
      </c>
      <c r="D398" s="5" t="s">
        <v>168</v>
      </c>
      <c r="E398" s="33" t="n">
        <v>-18.773507</v>
      </c>
      <c r="F398" s="33" t="n">
        <v>-39.750508</v>
      </c>
      <c r="G398" s="5" t="s">
        <v>713</v>
      </c>
      <c r="H398" s="5" t="s">
        <v>724</v>
      </c>
      <c r="I398" s="22" t="s">
        <v>715</v>
      </c>
      <c r="J398" s="5" t="s">
        <v>716</v>
      </c>
      <c r="K398" s="5" t="s">
        <v>720</v>
      </c>
      <c r="L398" s="21" t="n">
        <v>391.2</v>
      </c>
      <c r="M398" s="5" t="s">
        <v>218</v>
      </c>
      <c r="N398" s="9" t="s">
        <v>718</v>
      </c>
    </row>
    <row r="399" customFormat="false" ht="15" hidden="false" customHeight="false" outlineLevel="0" collapsed="false">
      <c r="A399" s="5" t="n">
        <v>395</v>
      </c>
      <c r="B399" s="5" t="n">
        <v>42</v>
      </c>
      <c r="C399" s="5" t="s">
        <v>73</v>
      </c>
      <c r="D399" s="5" t="s">
        <v>168</v>
      </c>
      <c r="E399" s="33" t="n">
        <v>-18.774536</v>
      </c>
      <c r="F399" s="33" t="n">
        <v>-39.749543</v>
      </c>
      <c r="G399" s="5" t="s">
        <v>713</v>
      </c>
      <c r="H399" s="5" t="s">
        <v>724</v>
      </c>
      <c r="I399" s="25" t="s">
        <v>723</v>
      </c>
      <c r="J399" s="5" t="s">
        <v>174</v>
      </c>
      <c r="K399" s="5" t="s">
        <v>722</v>
      </c>
      <c r="L399" s="21" t="n">
        <v>30.1</v>
      </c>
      <c r="M399" s="5" t="s">
        <v>218</v>
      </c>
      <c r="N399" s="9"/>
    </row>
    <row r="400" customFormat="false" ht="15" hidden="false" customHeight="false" outlineLevel="0" collapsed="false">
      <c r="A400" s="5" t="n">
        <v>396</v>
      </c>
      <c r="B400" s="5" t="n">
        <v>42</v>
      </c>
      <c r="C400" s="5" t="s">
        <v>73</v>
      </c>
      <c r="D400" s="5" t="s">
        <v>168</v>
      </c>
      <c r="E400" s="33" t="n">
        <v>-18.77405</v>
      </c>
      <c r="F400" s="33" t="n">
        <v>-39.74953</v>
      </c>
      <c r="G400" s="5" t="s">
        <v>713</v>
      </c>
      <c r="H400" s="5" t="s">
        <v>724</v>
      </c>
      <c r="I400" s="25" t="s">
        <v>723</v>
      </c>
      <c r="J400" s="5" t="s">
        <v>174</v>
      </c>
      <c r="K400" s="5" t="s">
        <v>722</v>
      </c>
      <c r="L400" s="21" t="n">
        <v>77.5</v>
      </c>
      <c r="M400" s="5" t="s">
        <v>218</v>
      </c>
      <c r="N400" s="9" t="s">
        <v>822</v>
      </c>
    </row>
    <row r="401" customFormat="false" ht="15" hidden="false" customHeight="false" outlineLevel="0" collapsed="false">
      <c r="A401" s="5" t="n">
        <v>397</v>
      </c>
      <c r="B401" s="5" t="n">
        <v>42</v>
      </c>
      <c r="C401" s="5" t="s">
        <v>73</v>
      </c>
      <c r="D401" s="5" t="s">
        <v>168</v>
      </c>
      <c r="E401" s="33" t="n">
        <v>-18.774492</v>
      </c>
      <c r="F401" s="33" t="n">
        <v>-39.749122</v>
      </c>
      <c r="G401" s="5" t="s">
        <v>713</v>
      </c>
      <c r="H401" s="5" t="s">
        <v>724</v>
      </c>
      <c r="I401" s="25" t="s">
        <v>723</v>
      </c>
      <c r="J401" s="5" t="s">
        <v>174</v>
      </c>
      <c r="K401" s="5" t="s">
        <v>722</v>
      </c>
      <c r="L401" s="21" t="n">
        <v>20.4</v>
      </c>
      <c r="M401" s="5" t="s">
        <v>218</v>
      </c>
      <c r="N401" s="9"/>
    </row>
    <row r="402" customFormat="false" ht="15" hidden="false" customHeight="false" outlineLevel="0" collapsed="false">
      <c r="A402" s="5" t="n">
        <v>398</v>
      </c>
      <c r="B402" s="5" t="n">
        <v>42</v>
      </c>
      <c r="C402" s="5" t="s">
        <v>73</v>
      </c>
      <c r="D402" s="5" t="s">
        <v>168</v>
      </c>
      <c r="E402" s="33" t="n">
        <v>-18.773745</v>
      </c>
      <c r="F402" s="33" t="n">
        <v>-39.749095</v>
      </c>
      <c r="G402" s="5" t="s">
        <v>713</v>
      </c>
      <c r="H402" s="5" t="s">
        <v>724</v>
      </c>
      <c r="I402" s="25" t="s">
        <v>723</v>
      </c>
      <c r="J402" s="5" t="s">
        <v>174</v>
      </c>
      <c r="K402" s="5" t="s">
        <v>720</v>
      </c>
      <c r="L402" s="21" t="n">
        <v>145.1</v>
      </c>
      <c r="M402" s="5" t="s">
        <v>218</v>
      </c>
      <c r="N402" s="9"/>
    </row>
    <row r="403" customFormat="false" ht="15" hidden="false" customHeight="false" outlineLevel="0" collapsed="false">
      <c r="A403" s="5" t="n">
        <v>399</v>
      </c>
      <c r="B403" s="5" t="n">
        <v>9</v>
      </c>
      <c r="C403" s="5" t="s">
        <v>30</v>
      </c>
      <c r="D403" s="5" t="s">
        <v>210</v>
      </c>
      <c r="E403" s="33" t="n">
        <v>-18.775914</v>
      </c>
      <c r="F403" s="33" t="n">
        <v>-39.767678</v>
      </c>
      <c r="G403" s="5" t="s">
        <v>713</v>
      </c>
      <c r="H403" s="5" t="s">
        <v>724</v>
      </c>
      <c r="I403" s="25" t="s">
        <v>721</v>
      </c>
      <c r="J403" s="5" t="s">
        <v>174</v>
      </c>
      <c r="K403" s="5" t="s">
        <v>722</v>
      </c>
      <c r="L403" s="21" t="n">
        <v>310.5</v>
      </c>
      <c r="M403" s="5" t="s">
        <v>218</v>
      </c>
      <c r="N403" s="9"/>
    </row>
    <row r="404" customFormat="false" ht="15" hidden="false" customHeight="false" outlineLevel="0" collapsed="false">
      <c r="A404" s="5" t="n">
        <v>400</v>
      </c>
      <c r="B404" s="5" t="n">
        <v>9</v>
      </c>
      <c r="C404" s="5" t="s">
        <v>30</v>
      </c>
      <c r="D404" s="5" t="s">
        <v>210</v>
      </c>
      <c r="E404" s="33" t="n">
        <v>-18.778693</v>
      </c>
      <c r="F404" s="33" t="n">
        <v>-39.767271</v>
      </c>
      <c r="G404" s="5" t="s">
        <v>713</v>
      </c>
      <c r="H404" s="5" t="s">
        <v>724</v>
      </c>
      <c r="I404" s="25" t="s">
        <v>721</v>
      </c>
      <c r="J404" s="5" t="s">
        <v>174</v>
      </c>
      <c r="K404" s="5" t="s">
        <v>722</v>
      </c>
      <c r="L404" s="21" t="n">
        <v>310.5</v>
      </c>
      <c r="M404" s="5" t="s">
        <v>218</v>
      </c>
      <c r="N404" s="9"/>
    </row>
    <row r="405" customFormat="false" ht="15" hidden="false" customHeight="false" outlineLevel="0" collapsed="false">
      <c r="A405" s="5" t="n">
        <v>401</v>
      </c>
      <c r="B405" s="5" t="n">
        <v>9</v>
      </c>
      <c r="C405" s="5" t="s">
        <v>30</v>
      </c>
      <c r="D405" s="5" t="s">
        <v>210</v>
      </c>
      <c r="E405" s="33" t="n">
        <v>-18.781471</v>
      </c>
      <c r="F405" s="33" t="n">
        <v>-39.766857</v>
      </c>
      <c r="G405" s="5" t="s">
        <v>713</v>
      </c>
      <c r="H405" s="5" t="s">
        <v>724</v>
      </c>
      <c r="I405" s="25" t="s">
        <v>721</v>
      </c>
      <c r="J405" s="5" t="s">
        <v>174</v>
      </c>
      <c r="K405" s="5" t="s">
        <v>722</v>
      </c>
      <c r="L405" s="21" t="n">
        <v>310.5</v>
      </c>
      <c r="M405" s="5" t="s">
        <v>218</v>
      </c>
      <c r="N405" s="9"/>
    </row>
    <row r="406" customFormat="false" ht="15" hidden="false" customHeight="false" outlineLevel="0" collapsed="false">
      <c r="A406" s="5" t="n">
        <v>402</v>
      </c>
      <c r="B406" s="5" t="n">
        <v>9</v>
      </c>
      <c r="C406" s="5" t="s">
        <v>30</v>
      </c>
      <c r="D406" s="10" t="s">
        <v>823</v>
      </c>
      <c r="E406" s="33" t="n">
        <v>-18.774609</v>
      </c>
      <c r="F406" s="33" t="n">
        <v>-39.759783</v>
      </c>
      <c r="G406" s="5" t="s">
        <v>736</v>
      </c>
      <c r="H406" s="5" t="s">
        <v>218</v>
      </c>
      <c r="I406" s="25" t="s">
        <v>723</v>
      </c>
      <c r="J406" s="5" t="s">
        <v>174</v>
      </c>
      <c r="K406" s="5" t="s">
        <v>218</v>
      </c>
      <c r="L406" s="21" t="n">
        <v>18.1</v>
      </c>
      <c r="M406" s="5" t="s">
        <v>737</v>
      </c>
      <c r="N406" s="9" t="s">
        <v>824</v>
      </c>
    </row>
    <row r="407" customFormat="false" ht="15" hidden="false" customHeight="false" outlineLevel="0" collapsed="false">
      <c r="A407" s="5" t="n">
        <v>403</v>
      </c>
      <c r="B407" s="5" t="n">
        <v>9</v>
      </c>
      <c r="C407" s="5" t="s">
        <v>30</v>
      </c>
      <c r="D407" s="10" t="s">
        <v>746</v>
      </c>
      <c r="E407" s="33" t="n">
        <v>-18.776145</v>
      </c>
      <c r="F407" s="33" t="n">
        <v>-39.753847</v>
      </c>
      <c r="G407" s="5" t="s">
        <v>736</v>
      </c>
      <c r="H407" s="5" t="s">
        <v>218</v>
      </c>
      <c r="I407" s="25" t="s">
        <v>723</v>
      </c>
      <c r="J407" s="5" t="s">
        <v>174</v>
      </c>
      <c r="K407" s="5" t="s">
        <v>218</v>
      </c>
      <c r="L407" s="21" t="n">
        <v>324</v>
      </c>
      <c r="M407" s="5" t="s">
        <v>141</v>
      </c>
      <c r="N407" s="9"/>
    </row>
    <row r="408" customFormat="false" ht="15" hidden="false" customHeight="false" outlineLevel="0" collapsed="false">
      <c r="A408" s="5" t="n">
        <v>404</v>
      </c>
      <c r="B408" s="5" t="n">
        <v>9</v>
      </c>
      <c r="C408" s="5" t="s">
        <v>30</v>
      </c>
      <c r="D408" s="10" t="s">
        <v>746</v>
      </c>
      <c r="E408" s="33" t="n">
        <v>-18.776096</v>
      </c>
      <c r="F408" s="33" t="n">
        <v>-39.756921</v>
      </c>
      <c r="G408" s="5" t="s">
        <v>736</v>
      </c>
      <c r="H408" s="5" t="s">
        <v>218</v>
      </c>
      <c r="I408" s="25" t="s">
        <v>723</v>
      </c>
      <c r="J408" s="5" t="s">
        <v>174</v>
      </c>
      <c r="K408" s="5" t="s">
        <v>218</v>
      </c>
      <c r="L408" s="21" t="n">
        <v>324</v>
      </c>
      <c r="M408" s="5" t="s">
        <v>141</v>
      </c>
      <c r="N408" s="9"/>
    </row>
    <row r="409" customFormat="false" ht="15" hidden="false" customHeight="false" outlineLevel="0" collapsed="false">
      <c r="A409" s="5" t="n">
        <v>405</v>
      </c>
      <c r="B409" s="5" t="n">
        <v>9</v>
      </c>
      <c r="C409" s="5" t="s">
        <v>30</v>
      </c>
      <c r="D409" s="10" t="s">
        <v>746</v>
      </c>
      <c r="E409" s="33" t="n">
        <v>-18.77604</v>
      </c>
      <c r="F409" s="33" t="n">
        <v>-39.759995</v>
      </c>
      <c r="G409" s="5" t="s">
        <v>736</v>
      </c>
      <c r="H409" s="5" t="s">
        <v>218</v>
      </c>
      <c r="I409" s="25" t="s">
        <v>723</v>
      </c>
      <c r="J409" s="5" t="s">
        <v>174</v>
      </c>
      <c r="K409" s="5" t="s">
        <v>218</v>
      </c>
      <c r="L409" s="21" t="n">
        <v>324</v>
      </c>
      <c r="M409" s="5" t="s">
        <v>141</v>
      </c>
      <c r="N409" s="9"/>
    </row>
    <row r="410" customFormat="false" ht="15" hidden="false" customHeight="false" outlineLevel="0" collapsed="false">
      <c r="A410" s="5" t="n">
        <v>406</v>
      </c>
      <c r="B410" s="5" t="n">
        <v>9</v>
      </c>
      <c r="C410" s="5" t="s">
        <v>30</v>
      </c>
      <c r="D410" s="10" t="s">
        <v>746</v>
      </c>
      <c r="E410" s="33" t="n">
        <v>-18.775984</v>
      </c>
      <c r="F410" s="33" t="n">
        <v>-39.763069</v>
      </c>
      <c r="G410" s="5" t="s">
        <v>736</v>
      </c>
      <c r="H410" s="5" t="s">
        <v>218</v>
      </c>
      <c r="I410" s="25" t="s">
        <v>723</v>
      </c>
      <c r="J410" s="5" t="s">
        <v>174</v>
      </c>
      <c r="K410" s="5" t="s">
        <v>218</v>
      </c>
      <c r="L410" s="21" t="n">
        <v>324</v>
      </c>
      <c r="M410" s="5" t="s">
        <v>141</v>
      </c>
      <c r="N410" s="9"/>
    </row>
    <row r="411" customFormat="false" ht="15" hidden="false" customHeight="false" outlineLevel="0" collapsed="false">
      <c r="A411" s="5" t="n">
        <v>407</v>
      </c>
      <c r="B411" s="5" t="n">
        <v>9</v>
      </c>
      <c r="C411" s="5" t="s">
        <v>30</v>
      </c>
      <c r="D411" s="10" t="s">
        <v>746</v>
      </c>
      <c r="E411" s="33" t="n">
        <v>-18.775928</v>
      </c>
      <c r="F411" s="33" t="n">
        <v>-39.766143</v>
      </c>
      <c r="G411" s="5" t="s">
        <v>736</v>
      </c>
      <c r="H411" s="5" t="s">
        <v>218</v>
      </c>
      <c r="I411" s="25" t="s">
        <v>723</v>
      </c>
      <c r="J411" s="5" t="s">
        <v>174</v>
      </c>
      <c r="K411" s="5" t="s">
        <v>218</v>
      </c>
      <c r="L411" s="21" t="n">
        <v>324</v>
      </c>
      <c r="M411" s="5" t="s">
        <v>141</v>
      </c>
      <c r="N411" s="9" t="s">
        <v>825</v>
      </c>
    </row>
    <row r="412" customFormat="false" ht="15" hidden="false" customHeight="false" outlineLevel="0" collapsed="false">
      <c r="A412" s="5" t="n">
        <v>408</v>
      </c>
      <c r="B412" s="5" t="n">
        <v>9</v>
      </c>
      <c r="C412" s="5" t="s">
        <v>30</v>
      </c>
      <c r="D412" s="10" t="s">
        <v>746</v>
      </c>
      <c r="E412" s="33" t="n">
        <v>-18.777687</v>
      </c>
      <c r="F412" s="33" t="n">
        <v>-39.76584</v>
      </c>
      <c r="G412" s="5" t="s">
        <v>713</v>
      </c>
      <c r="H412" s="5" t="s">
        <v>724</v>
      </c>
      <c r="I412" s="25" t="s">
        <v>723</v>
      </c>
      <c r="J412" s="5" t="s">
        <v>174</v>
      </c>
      <c r="K412" s="5" t="s">
        <v>722</v>
      </c>
      <c r="L412" s="21" t="n">
        <v>333.1</v>
      </c>
      <c r="M412" s="5" t="s">
        <v>218</v>
      </c>
      <c r="N412" s="9"/>
    </row>
    <row r="413" customFormat="false" ht="15" hidden="false" customHeight="false" outlineLevel="0" collapsed="false">
      <c r="A413" s="5" t="n">
        <v>409</v>
      </c>
      <c r="B413" s="5" t="n">
        <v>9</v>
      </c>
      <c r="C413" s="5" t="s">
        <v>30</v>
      </c>
      <c r="D413" s="10" t="s">
        <v>746</v>
      </c>
      <c r="E413" s="33" t="n">
        <v>-18.77774</v>
      </c>
      <c r="F413" s="33" t="n">
        <v>-39.76268</v>
      </c>
      <c r="G413" s="5" t="s">
        <v>713</v>
      </c>
      <c r="H413" s="5" t="s">
        <v>724</v>
      </c>
      <c r="I413" s="25" t="s">
        <v>723</v>
      </c>
      <c r="J413" s="5" t="s">
        <v>174</v>
      </c>
      <c r="K413" s="5" t="s">
        <v>722</v>
      </c>
      <c r="L413" s="21" t="n">
        <v>333.1</v>
      </c>
      <c r="M413" s="5" t="s">
        <v>218</v>
      </c>
      <c r="N413" s="9"/>
    </row>
    <row r="414" customFormat="false" ht="15" hidden="false" customHeight="false" outlineLevel="0" collapsed="false">
      <c r="A414" s="5" t="n">
        <v>410</v>
      </c>
      <c r="B414" s="5" t="n">
        <v>9</v>
      </c>
      <c r="C414" s="5" t="s">
        <v>30</v>
      </c>
      <c r="D414" s="10" t="s">
        <v>746</v>
      </c>
      <c r="E414" s="33" t="n">
        <v>-18.777797</v>
      </c>
      <c r="F414" s="33" t="n">
        <v>-39.75952</v>
      </c>
      <c r="G414" s="5" t="s">
        <v>713</v>
      </c>
      <c r="H414" s="5" t="s">
        <v>724</v>
      </c>
      <c r="I414" s="25" t="s">
        <v>723</v>
      </c>
      <c r="J414" s="5" t="s">
        <v>174</v>
      </c>
      <c r="K414" s="5" t="s">
        <v>722</v>
      </c>
      <c r="L414" s="21" t="n">
        <v>333.1</v>
      </c>
      <c r="M414" s="5" t="s">
        <v>218</v>
      </c>
      <c r="N414" s="9"/>
    </row>
    <row r="415" customFormat="false" ht="15" hidden="false" customHeight="false" outlineLevel="0" collapsed="false">
      <c r="A415" s="5" t="n">
        <v>411</v>
      </c>
      <c r="B415" s="5" t="n">
        <v>9</v>
      </c>
      <c r="C415" s="5" t="s">
        <v>30</v>
      </c>
      <c r="D415" s="10" t="s">
        <v>746</v>
      </c>
      <c r="E415" s="33" t="n">
        <v>-18.777854</v>
      </c>
      <c r="F415" s="33" t="n">
        <v>-39.75636</v>
      </c>
      <c r="G415" s="5" t="s">
        <v>713</v>
      </c>
      <c r="H415" s="5" t="s">
        <v>724</v>
      </c>
      <c r="I415" s="25" t="s">
        <v>723</v>
      </c>
      <c r="J415" s="5" t="s">
        <v>174</v>
      </c>
      <c r="K415" s="5" t="s">
        <v>722</v>
      </c>
      <c r="L415" s="21" t="n">
        <v>333.1</v>
      </c>
      <c r="M415" s="5" t="s">
        <v>218</v>
      </c>
      <c r="N415" s="9"/>
    </row>
    <row r="416" customFormat="false" ht="15" hidden="false" customHeight="false" outlineLevel="0" collapsed="false">
      <c r="A416" s="5" t="n">
        <v>412</v>
      </c>
      <c r="B416" s="5" t="n">
        <v>9</v>
      </c>
      <c r="C416" s="5" t="s">
        <v>30</v>
      </c>
      <c r="D416" s="10" t="s">
        <v>746</v>
      </c>
      <c r="E416" s="33" t="n">
        <v>-18.777916</v>
      </c>
      <c r="F416" s="33" t="n">
        <v>-39.7532</v>
      </c>
      <c r="G416" s="5" t="s">
        <v>713</v>
      </c>
      <c r="H416" s="5" t="s">
        <v>724</v>
      </c>
      <c r="I416" s="25" t="s">
        <v>723</v>
      </c>
      <c r="J416" s="5" t="s">
        <v>174</v>
      </c>
      <c r="K416" s="5" t="s">
        <v>720</v>
      </c>
      <c r="L416" s="21" t="n">
        <v>333.1</v>
      </c>
      <c r="M416" s="5" t="s">
        <v>218</v>
      </c>
      <c r="N416" s="9"/>
    </row>
    <row r="417" customFormat="false" ht="15" hidden="false" customHeight="false" outlineLevel="0" collapsed="false">
      <c r="A417" s="5" t="n">
        <v>413</v>
      </c>
      <c r="B417" s="5" t="n">
        <v>9</v>
      </c>
      <c r="C417" s="5" t="s">
        <v>30</v>
      </c>
      <c r="D417" s="10" t="s">
        <v>746</v>
      </c>
      <c r="E417" s="33" t="n">
        <v>-18.77617</v>
      </c>
      <c r="F417" s="33" t="n">
        <v>-39.751955</v>
      </c>
      <c r="G417" s="5" t="s">
        <v>736</v>
      </c>
      <c r="H417" s="5" t="s">
        <v>218</v>
      </c>
      <c r="I417" s="25" t="s">
        <v>723</v>
      </c>
      <c r="J417" s="5" t="s">
        <v>174</v>
      </c>
      <c r="K417" s="5" t="s">
        <v>218</v>
      </c>
      <c r="L417" s="21" t="n">
        <v>74.8</v>
      </c>
      <c r="M417" s="5" t="s">
        <v>141</v>
      </c>
      <c r="N417" s="9"/>
    </row>
    <row r="418" customFormat="false" ht="15" hidden="false" customHeight="false" outlineLevel="0" collapsed="false">
      <c r="A418" s="5" t="n">
        <v>414</v>
      </c>
      <c r="B418" s="5" t="n">
        <v>9</v>
      </c>
      <c r="C418" s="5" t="s">
        <v>30</v>
      </c>
      <c r="D418" s="10" t="s">
        <v>746</v>
      </c>
      <c r="E418" s="33" t="n">
        <v>-18.77663</v>
      </c>
      <c r="F418" s="33" t="n">
        <v>-39.75231</v>
      </c>
      <c r="G418" s="5" t="s">
        <v>736</v>
      </c>
      <c r="H418" s="5" t="s">
        <v>218</v>
      </c>
      <c r="I418" s="25" t="s">
        <v>723</v>
      </c>
      <c r="J418" s="5" t="s">
        <v>174</v>
      </c>
      <c r="K418" s="5" t="s">
        <v>218</v>
      </c>
      <c r="L418" s="21" t="n">
        <v>101.8</v>
      </c>
      <c r="M418" s="5" t="s">
        <v>141</v>
      </c>
      <c r="N418" s="9"/>
    </row>
    <row r="419" customFormat="false" ht="15" hidden="false" customHeight="false" outlineLevel="0" collapsed="false">
      <c r="A419" s="5" t="n">
        <v>415</v>
      </c>
      <c r="B419" s="5" t="n">
        <v>9</v>
      </c>
      <c r="C419" s="5" t="s">
        <v>30</v>
      </c>
      <c r="D419" s="10" t="s">
        <v>746</v>
      </c>
      <c r="E419" s="33" t="n">
        <v>-18.77869</v>
      </c>
      <c r="F419" s="33" t="n">
        <v>-39.751635</v>
      </c>
      <c r="G419" s="5" t="s">
        <v>736</v>
      </c>
      <c r="H419" s="5" t="s">
        <v>218</v>
      </c>
      <c r="I419" s="25" t="s">
        <v>723</v>
      </c>
      <c r="J419" s="5" t="s">
        <v>174</v>
      </c>
      <c r="K419" s="5" t="s">
        <v>218</v>
      </c>
      <c r="L419" s="21" t="n">
        <v>166</v>
      </c>
      <c r="M419" s="5" t="s">
        <v>141</v>
      </c>
      <c r="N419" s="9"/>
    </row>
    <row r="420" customFormat="false" ht="15" hidden="false" customHeight="false" outlineLevel="0" collapsed="false">
      <c r="A420" s="5" t="n">
        <v>416</v>
      </c>
      <c r="B420" s="5" t="n">
        <v>9</v>
      </c>
      <c r="C420" s="5" t="s">
        <v>30</v>
      </c>
      <c r="D420" s="10" t="s">
        <v>746</v>
      </c>
      <c r="E420" s="33" t="n">
        <v>-18.777055</v>
      </c>
      <c r="F420" s="33" t="n">
        <v>-39.75162</v>
      </c>
      <c r="G420" s="5" t="s">
        <v>736</v>
      </c>
      <c r="H420" s="5" t="s">
        <v>218</v>
      </c>
      <c r="I420" s="25" t="s">
        <v>723</v>
      </c>
      <c r="J420" s="5" t="s">
        <v>174</v>
      </c>
      <c r="K420" s="5" t="s">
        <v>218</v>
      </c>
      <c r="L420" s="21" t="n">
        <v>195.9</v>
      </c>
      <c r="M420" s="5" t="s">
        <v>141</v>
      </c>
      <c r="N420" s="9"/>
    </row>
    <row r="421" customFormat="false" ht="15" hidden="false" customHeight="false" outlineLevel="0" collapsed="false">
      <c r="A421" s="5" t="n">
        <v>417</v>
      </c>
      <c r="B421" s="5" t="n">
        <v>9</v>
      </c>
      <c r="C421" s="5" t="s">
        <v>30</v>
      </c>
      <c r="D421" s="10" t="s">
        <v>746</v>
      </c>
      <c r="E421" s="33" t="n">
        <v>-18.77795</v>
      </c>
      <c r="F421" s="33" t="n">
        <v>-39.750453</v>
      </c>
      <c r="G421" s="5" t="s">
        <v>713</v>
      </c>
      <c r="H421" s="5" t="s">
        <v>724</v>
      </c>
      <c r="I421" s="25" t="s">
        <v>723</v>
      </c>
      <c r="J421" s="5" t="s">
        <v>174</v>
      </c>
      <c r="K421" s="5" t="s">
        <v>722</v>
      </c>
      <c r="L421" s="21" t="n">
        <v>246</v>
      </c>
      <c r="M421" s="5" t="s">
        <v>218</v>
      </c>
      <c r="N421" s="9"/>
    </row>
    <row r="422" customFormat="false" ht="15" hidden="false" customHeight="false" outlineLevel="0" collapsed="false">
      <c r="A422" s="5" t="n">
        <v>418</v>
      </c>
      <c r="B422" s="5" t="n">
        <v>9</v>
      </c>
      <c r="C422" s="5" t="s">
        <v>30</v>
      </c>
      <c r="D422" s="10" t="s">
        <v>746</v>
      </c>
      <c r="E422" s="33" t="n">
        <v>-18.775349</v>
      </c>
      <c r="F422" s="33" t="n">
        <v>-39.751591</v>
      </c>
      <c r="G422" s="5" t="s">
        <v>736</v>
      </c>
      <c r="H422" s="5" t="s">
        <v>218</v>
      </c>
      <c r="I422" s="25" t="s">
        <v>723</v>
      </c>
      <c r="J422" s="5" t="s">
        <v>174</v>
      </c>
      <c r="K422" s="5" t="s">
        <v>218</v>
      </c>
      <c r="L422" s="21" t="n">
        <v>181.7</v>
      </c>
      <c r="M422" s="5" t="s">
        <v>141</v>
      </c>
      <c r="N422" s="9"/>
    </row>
    <row r="423" customFormat="false" ht="15" hidden="false" customHeight="false" outlineLevel="0" collapsed="false">
      <c r="A423" s="5" t="n">
        <v>419</v>
      </c>
      <c r="B423" s="5" t="n">
        <v>9</v>
      </c>
      <c r="C423" s="5" t="s">
        <v>30</v>
      </c>
      <c r="D423" s="10" t="s">
        <v>746</v>
      </c>
      <c r="E423" s="33" t="n">
        <v>-18.776195</v>
      </c>
      <c r="F423" s="33" t="n">
        <v>-39.75094</v>
      </c>
      <c r="G423" s="5" t="s">
        <v>736</v>
      </c>
      <c r="H423" s="5" t="s">
        <v>218</v>
      </c>
      <c r="I423" s="25" t="s">
        <v>723</v>
      </c>
      <c r="J423" s="5" t="s">
        <v>174</v>
      </c>
      <c r="K423" s="5" t="s">
        <v>218</v>
      </c>
      <c r="L423" s="21" t="n">
        <v>139.2</v>
      </c>
      <c r="M423" s="5" t="s">
        <v>141</v>
      </c>
      <c r="N423" s="9"/>
    </row>
    <row r="424" customFormat="false" ht="15" hidden="false" customHeight="false" outlineLevel="0" collapsed="false">
      <c r="A424" s="5" t="n">
        <v>420</v>
      </c>
      <c r="B424" s="5" t="n">
        <v>9</v>
      </c>
      <c r="C424" s="5" t="s">
        <v>30</v>
      </c>
      <c r="D424" s="10" t="s">
        <v>746</v>
      </c>
      <c r="E424" s="33" t="n">
        <v>-18.77648</v>
      </c>
      <c r="F424" s="33" t="n">
        <v>-39.750285</v>
      </c>
      <c r="G424" s="5" t="s">
        <v>736</v>
      </c>
      <c r="H424" s="5" t="s">
        <v>218</v>
      </c>
      <c r="I424" s="25" t="s">
        <v>723</v>
      </c>
      <c r="J424" s="5" t="s">
        <v>174</v>
      </c>
      <c r="K424" s="5" t="s">
        <v>218</v>
      </c>
      <c r="L424" s="21" t="n">
        <v>59.8</v>
      </c>
      <c r="M424" s="5" t="s">
        <v>141</v>
      </c>
      <c r="N424" s="9" t="s">
        <v>826</v>
      </c>
    </row>
    <row r="425" customFormat="false" ht="15" hidden="false" customHeight="false" outlineLevel="0" collapsed="false">
      <c r="A425" s="5" t="n">
        <v>421</v>
      </c>
      <c r="B425" s="5" t="n">
        <v>9</v>
      </c>
      <c r="C425" s="5" t="s">
        <v>30</v>
      </c>
      <c r="D425" s="10" t="s">
        <v>746</v>
      </c>
      <c r="E425" s="33" t="n">
        <v>-18.77621</v>
      </c>
      <c r="F425" s="33" t="n">
        <v>-39.749945</v>
      </c>
      <c r="G425" s="5" t="s">
        <v>736</v>
      </c>
      <c r="H425" s="5" t="s">
        <v>218</v>
      </c>
      <c r="I425" s="25" t="s">
        <v>723</v>
      </c>
      <c r="J425" s="5" t="s">
        <v>174</v>
      </c>
      <c r="K425" s="5" t="s">
        <v>218</v>
      </c>
      <c r="L425" s="21" t="n">
        <v>70.6</v>
      </c>
      <c r="M425" s="5" t="s">
        <v>141</v>
      </c>
      <c r="N425" s="9"/>
    </row>
    <row r="426" customFormat="false" ht="15" hidden="false" customHeight="false" outlineLevel="0" collapsed="false">
      <c r="A426" s="5" t="n">
        <v>422</v>
      </c>
      <c r="B426" s="5" t="n">
        <v>9</v>
      </c>
      <c r="C426" s="5" t="s">
        <v>30</v>
      </c>
      <c r="D426" s="10" t="s">
        <v>746</v>
      </c>
      <c r="E426" s="33" t="n">
        <v>-18.775945</v>
      </c>
      <c r="F426" s="33" t="n">
        <v>-39.75026</v>
      </c>
      <c r="G426" s="5" t="s">
        <v>736</v>
      </c>
      <c r="H426" s="5" t="s">
        <v>218</v>
      </c>
      <c r="I426" s="25" t="s">
        <v>723</v>
      </c>
      <c r="J426" s="5" t="s">
        <v>174</v>
      </c>
      <c r="K426" s="5" t="s">
        <v>218</v>
      </c>
      <c r="L426" s="21" t="n">
        <v>58.8</v>
      </c>
      <c r="M426" s="5" t="s">
        <v>141</v>
      </c>
      <c r="N426" s="9" t="s">
        <v>826</v>
      </c>
    </row>
    <row r="427" customFormat="false" ht="15" hidden="false" customHeight="false" outlineLevel="0" collapsed="false">
      <c r="A427" s="5" t="n">
        <v>423</v>
      </c>
      <c r="B427" s="5" t="n">
        <v>9</v>
      </c>
      <c r="C427" s="5" t="s">
        <v>30</v>
      </c>
      <c r="D427" s="10" t="s">
        <v>746</v>
      </c>
      <c r="E427" s="33" t="n">
        <v>-18.77621</v>
      </c>
      <c r="F427" s="33" t="n">
        <v>-39.749595</v>
      </c>
      <c r="G427" s="5" t="s">
        <v>713</v>
      </c>
      <c r="H427" s="5" t="s">
        <v>724</v>
      </c>
      <c r="I427" s="25" t="s">
        <v>723</v>
      </c>
      <c r="J427" s="5" t="s">
        <v>174</v>
      </c>
      <c r="K427" s="5" t="s">
        <v>722</v>
      </c>
      <c r="L427" s="21" t="n">
        <v>3.2</v>
      </c>
      <c r="M427" s="5" t="s">
        <v>218</v>
      </c>
      <c r="N427" s="9" t="s">
        <v>827</v>
      </c>
    </row>
    <row r="428" customFormat="false" ht="15" hidden="false" customHeight="false" outlineLevel="0" collapsed="false">
      <c r="A428" s="5" t="n">
        <v>424</v>
      </c>
      <c r="B428" s="5" t="n">
        <v>9</v>
      </c>
      <c r="C428" s="5" t="s">
        <v>30</v>
      </c>
      <c r="D428" s="10" t="s">
        <v>746</v>
      </c>
      <c r="E428" s="33" t="n">
        <v>-18.775369</v>
      </c>
      <c r="F428" s="33" t="n">
        <v>-39.749576</v>
      </c>
      <c r="G428" s="5" t="s">
        <v>713</v>
      </c>
      <c r="H428" s="5" t="s">
        <v>724</v>
      </c>
      <c r="I428" s="25" t="s">
        <v>721</v>
      </c>
      <c r="J428" s="5" t="s">
        <v>174</v>
      </c>
      <c r="K428" s="5" t="s">
        <v>722</v>
      </c>
      <c r="L428" s="21" t="n">
        <v>186.3</v>
      </c>
      <c r="M428" s="5" t="s">
        <v>218</v>
      </c>
      <c r="N428" s="9" t="s">
        <v>827</v>
      </c>
    </row>
    <row r="429" customFormat="false" ht="15" hidden="false" customHeight="false" outlineLevel="0" collapsed="false">
      <c r="A429" s="5" t="n">
        <v>425</v>
      </c>
      <c r="B429" s="5" t="n">
        <v>9</v>
      </c>
      <c r="C429" s="5" t="s">
        <v>30</v>
      </c>
      <c r="D429" s="10" t="s">
        <v>746</v>
      </c>
      <c r="E429" s="33" t="n">
        <v>-18.776485</v>
      </c>
      <c r="F429" s="33" t="n">
        <v>-39.749595</v>
      </c>
      <c r="G429" s="5" t="s">
        <v>713</v>
      </c>
      <c r="H429" s="5" t="s">
        <v>724</v>
      </c>
      <c r="I429" s="25" t="s">
        <v>721</v>
      </c>
      <c r="J429" s="5" t="s">
        <v>174</v>
      </c>
      <c r="K429" s="5" t="s">
        <v>722</v>
      </c>
      <c r="L429" s="21" t="n">
        <v>60.9</v>
      </c>
      <c r="M429" s="5" t="s">
        <v>218</v>
      </c>
      <c r="N429" s="9" t="s">
        <v>828</v>
      </c>
    </row>
    <row r="430" customFormat="false" ht="15" hidden="false" customHeight="false" outlineLevel="0" collapsed="false">
      <c r="A430" s="5" t="n">
        <v>426</v>
      </c>
      <c r="B430" s="5" t="n">
        <v>14</v>
      </c>
      <c r="C430" s="5" t="s">
        <v>42</v>
      </c>
      <c r="D430" s="5" t="s">
        <v>322</v>
      </c>
      <c r="E430" s="33" t="n">
        <v>-18.730128</v>
      </c>
      <c r="F430" s="33" t="n">
        <v>-39.766522</v>
      </c>
      <c r="G430" s="5" t="s">
        <v>713</v>
      </c>
      <c r="H430" s="5" t="s">
        <v>719</v>
      </c>
      <c r="I430" s="22" t="s">
        <v>715</v>
      </c>
      <c r="J430" s="5" t="s">
        <v>716</v>
      </c>
      <c r="K430" s="5" t="s">
        <v>717</v>
      </c>
      <c r="L430" s="21" t="n">
        <v>159.7</v>
      </c>
      <c r="M430" s="5" t="s">
        <v>218</v>
      </c>
      <c r="N430" s="9"/>
    </row>
    <row r="431" customFormat="false" ht="15" hidden="false" customHeight="false" outlineLevel="0" collapsed="false">
      <c r="A431" s="5" t="n">
        <v>427</v>
      </c>
      <c r="B431" s="5" t="n">
        <v>14</v>
      </c>
      <c r="C431" s="5" t="s">
        <v>42</v>
      </c>
      <c r="D431" s="5" t="s">
        <v>325</v>
      </c>
      <c r="E431" s="33" t="n">
        <v>-18.730177</v>
      </c>
      <c r="F431" s="33" t="n">
        <v>-39.765342</v>
      </c>
      <c r="G431" s="5" t="s">
        <v>713</v>
      </c>
      <c r="H431" s="5" t="s">
        <v>719</v>
      </c>
      <c r="I431" s="25" t="s">
        <v>721</v>
      </c>
      <c r="J431" s="5" t="s">
        <v>174</v>
      </c>
      <c r="K431" s="5" t="s">
        <v>722</v>
      </c>
      <c r="L431" s="21" t="n">
        <v>159.7</v>
      </c>
      <c r="M431" s="5" t="s">
        <v>218</v>
      </c>
      <c r="N431" s="9"/>
    </row>
    <row r="432" customFormat="false" ht="15" hidden="false" customHeight="false" outlineLevel="0" collapsed="false">
      <c r="A432" s="5" t="n">
        <v>428</v>
      </c>
      <c r="B432" s="5" t="n">
        <v>14</v>
      </c>
      <c r="C432" s="5" t="s">
        <v>42</v>
      </c>
      <c r="D432" s="5" t="s">
        <v>328</v>
      </c>
      <c r="E432" s="33" t="n">
        <v>-18.730055</v>
      </c>
      <c r="F432" s="33" t="n">
        <v>-39.768282</v>
      </c>
      <c r="G432" s="5" t="s">
        <v>713</v>
      </c>
      <c r="H432" s="5" t="s">
        <v>719</v>
      </c>
      <c r="I432" s="25" t="s">
        <v>721</v>
      </c>
      <c r="J432" s="5" t="s">
        <v>174</v>
      </c>
      <c r="K432" s="5" t="s">
        <v>722</v>
      </c>
      <c r="L432" s="21" t="n">
        <v>159.7</v>
      </c>
      <c r="M432" s="5" t="s">
        <v>218</v>
      </c>
      <c r="N432" s="9"/>
    </row>
    <row r="433" customFormat="false" ht="15" hidden="false" customHeight="false" outlineLevel="0" collapsed="false">
      <c r="A433" s="5" t="n">
        <v>429</v>
      </c>
      <c r="B433" s="5" t="n">
        <v>14</v>
      </c>
      <c r="C433" s="5" t="s">
        <v>42</v>
      </c>
      <c r="D433" s="5" t="s">
        <v>330</v>
      </c>
      <c r="E433" s="33" t="n">
        <v>-18.730079</v>
      </c>
      <c r="F433" s="33" t="n">
        <v>-39.767702</v>
      </c>
      <c r="G433" s="5" t="s">
        <v>713</v>
      </c>
      <c r="H433" s="5" t="s">
        <v>719</v>
      </c>
      <c r="I433" s="25" t="s">
        <v>721</v>
      </c>
      <c r="J433" s="5" t="s">
        <v>174</v>
      </c>
      <c r="K433" s="5" t="s">
        <v>722</v>
      </c>
      <c r="L433" s="21" t="n">
        <v>159.7</v>
      </c>
      <c r="M433" s="5" t="s">
        <v>218</v>
      </c>
      <c r="N433" s="9"/>
    </row>
    <row r="434" customFormat="false" ht="15" hidden="false" customHeight="false" outlineLevel="0" collapsed="false">
      <c r="A434" s="5" t="n">
        <v>430</v>
      </c>
      <c r="B434" s="5" t="n">
        <v>14</v>
      </c>
      <c r="C434" s="5" t="s">
        <v>42</v>
      </c>
      <c r="D434" s="5" t="s">
        <v>332</v>
      </c>
      <c r="E434" s="33" t="n">
        <v>-18.730104</v>
      </c>
      <c r="F434" s="33" t="n">
        <v>-39.767108</v>
      </c>
      <c r="G434" s="5" t="s">
        <v>713</v>
      </c>
      <c r="H434" s="5" t="s">
        <v>724</v>
      </c>
      <c r="I434" s="25" t="s">
        <v>721</v>
      </c>
      <c r="J434" s="5" t="s">
        <v>174</v>
      </c>
      <c r="K434" s="5" t="s">
        <v>722</v>
      </c>
      <c r="L434" s="21" t="n">
        <v>159.7</v>
      </c>
      <c r="M434" s="5" t="s">
        <v>218</v>
      </c>
      <c r="N434" s="9"/>
    </row>
    <row r="435" customFormat="false" ht="15" hidden="false" customHeight="false" outlineLevel="0" collapsed="false">
      <c r="A435" s="5" t="n">
        <v>431</v>
      </c>
      <c r="B435" s="5" t="n">
        <v>14</v>
      </c>
      <c r="C435" s="5" t="s">
        <v>42</v>
      </c>
      <c r="D435" s="5" t="s">
        <v>336</v>
      </c>
      <c r="E435" s="33" t="n">
        <v>-18.730153</v>
      </c>
      <c r="F435" s="33" t="n">
        <v>-39.765927</v>
      </c>
      <c r="G435" s="5" t="s">
        <v>713</v>
      </c>
      <c r="H435" s="5" t="s">
        <v>719</v>
      </c>
      <c r="I435" s="22" t="s">
        <v>715</v>
      </c>
      <c r="J435" s="5" t="s">
        <v>716</v>
      </c>
      <c r="K435" s="5" t="s">
        <v>722</v>
      </c>
      <c r="L435" s="21" t="n">
        <v>159.7</v>
      </c>
      <c r="M435" s="5" t="s">
        <v>218</v>
      </c>
      <c r="N435" s="9" t="s">
        <v>829</v>
      </c>
    </row>
    <row r="436" customFormat="false" ht="15" hidden="false" customHeight="false" outlineLevel="0" collapsed="false">
      <c r="A436" s="5" t="n">
        <v>432</v>
      </c>
      <c r="B436" s="5" t="n">
        <v>14</v>
      </c>
      <c r="C436" s="5" t="s">
        <v>42</v>
      </c>
      <c r="D436" s="5" t="s">
        <v>368</v>
      </c>
      <c r="E436" s="33" t="n">
        <v>-18.728255</v>
      </c>
      <c r="F436" s="33" t="n">
        <v>-39.748612</v>
      </c>
      <c r="G436" s="5" t="s">
        <v>713</v>
      </c>
      <c r="H436" s="5" t="s">
        <v>719</v>
      </c>
      <c r="I436" s="25" t="s">
        <v>723</v>
      </c>
      <c r="J436" s="5" t="s">
        <v>174</v>
      </c>
      <c r="K436" s="5" t="s">
        <v>722</v>
      </c>
      <c r="L436" s="21" t="n">
        <v>306.6</v>
      </c>
      <c r="M436" s="5" t="s">
        <v>218</v>
      </c>
      <c r="N436" s="9"/>
    </row>
    <row r="437" customFormat="false" ht="15" hidden="false" customHeight="false" outlineLevel="0" collapsed="false">
      <c r="A437" s="5" t="n">
        <v>433</v>
      </c>
      <c r="B437" s="5" t="n">
        <v>14</v>
      </c>
      <c r="C437" s="5" t="s">
        <v>42</v>
      </c>
      <c r="D437" s="5" t="s">
        <v>368</v>
      </c>
      <c r="E437" s="33" t="n">
        <v>-18.728135</v>
      </c>
      <c r="F437" s="33" t="n">
        <v>-39.751517</v>
      </c>
      <c r="G437" s="5" t="s">
        <v>713</v>
      </c>
      <c r="H437" s="5" t="s">
        <v>719</v>
      </c>
      <c r="I437" s="25" t="s">
        <v>723</v>
      </c>
      <c r="J437" s="5" t="s">
        <v>174</v>
      </c>
      <c r="K437" s="5" t="s">
        <v>722</v>
      </c>
      <c r="L437" s="21" t="n">
        <v>306.6</v>
      </c>
      <c r="M437" s="5" t="s">
        <v>218</v>
      </c>
      <c r="N437" s="9"/>
    </row>
    <row r="438" customFormat="false" ht="15" hidden="false" customHeight="false" outlineLevel="0" collapsed="false">
      <c r="A438" s="5" t="n">
        <v>434</v>
      </c>
      <c r="B438" s="5" t="n">
        <v>14</v>
      </c>
      <c r="C438" s="5" t="s">
        <v>42</v>
      </c>
      <c r="D438" s="5" t="s">
        <v>368</v>
      </c>
      <c r="E438" s="33" t="n">
        <v>-18.728024</v>
      </c>
      <c r="F438" s="33" t="n">
        <v>-39.754423</v>
      </c>
      <c r="G438" s="5" t="s">
        <v>713</v>
      </c>
      <c r="H438" s="5" t="s">
        <v>719</v>
      </c>
      <c r="I438" s="25" t="s">
        <v>723</v>
      </c>
      <c r="J438" s="5" t="s">
        <v>174</v>
      </c>
      <c r="K438" s="5" t="s">
        <v>722</v>
      </c>
      <c r="L438" s="21" t="n">
        <v>306.6</v>
      </c>
      <c r="M438" s="5" t="s">
        <v>218</v>
      </c>
      <c r="N438" s="9"/>
    </row>
    <row r="439" customFormat="false" ht="15" hidden="false" customHeight="false" outlineLevel="0" collapsed="false">
      <c r="A439" s="5" t="n">
        <v>435</v>
      </c>
      <c r="B439" s="5" t="n">
        <v>14</v>
      </c>
      <c r="C439" s="5" t="s">
        <v>42</v>
      </c>
      <c r="D439" s="5" t="s">
        <v>179</v>
      </c>
      <c r="E439" s="33" t="n">
        <v>-18.727866</v>
      </c>
      <c r="F439" s="33" t="n">
        <v>-39.748313</v>
      </c>
      <c r="G439" s="5" t="s">
        <v>713</v>
      </c>
      <c r="H439" s="5" t="s">
        <v>719</v>
      </c>
      <c r="I439" s="25" t="s">
        <v>723</v>
      </c>
      <c r="J439" s="5" t="s">
        <v>174</v>
      </c>
      <c r="K439" s="5" t="s">
        <v>720</v>
      </c>
      <c r="L439" s="21" t="n">
        <v>395.7</v>
      </c>
      <c r="M439" s="5" t="s">
        <v>218</v>
      </c>
      <c r="N439" s="9"/>
    </row>
    <row r="440" customFormat="false" ht="15" hidden="false" customHeight="false" outlineLevel="0" collapsed="false">
      <c r="A440" s="5" t="n">
        <v>436</v>
      </c>
      <c r="B440" s="5" t="n">
        <v>14</v>
      </c>
      <c r="C440" s="5" t="s">
        <v>42</v>
      </c>
      <c r="D440" s="5" t="s">
        <v>179</v>
      </c>
      <c r="E440" s="33" t="n">
        <v>-18.731439</v>
      </c>
      <c r="F440" s="33" t="n">
        <v>-39.748477</v>
      </c>
      <c r="G440" s="5" t="s">
        <v>713</v>
      </c>
      <c r="H440" s="5" t="s">
        <v>719</v>
      </c>
      <c r="I440" s="25" t="s">
        <v>723</v>
      </c>
      <c r="J440" s="5" t="s">
        <v>174</v>
      </c>
      <c r="K440" s="5" t="s">
        <v>722</v>
      </c>
      <c r="L440" s="21" t="n">
        <v>395.7</v>
      </c>
      <c r="M440" s="5" t="s">
        <v>218</v>
      </c>
      <c r="N440" s="9"/>
    </row>
    <row r="441" customFormat="false" ht="15" hidden="false" customHeight="false" outlineLevel="0" collapsed="false">
      <c r="A441" s="5" t="n">
        <v>437</v>
      </c>
      <c r="B441" s="5" t="n">
        <v>14</v>
      </c>
      <c r="C441" s="5" t="s">
        <v>42</v>
      </c>
      <c r="D441" s="5" t="s">
        <v>157</v>
      </c>
      <c r="E441" s="33" t="n">
        <v>-18.728258</v>
      </c>
      <c r="F441" s="33" t="n">
        <v>-39.748911</v>
      </c>
      <c r="G441" s="5" t="s">
        <v>713</v>
      </c>
      <c r="H441" s="5" t="s">
        <v>719</v>
      </c>
      <c r="I441" s="25" t="s">
        <v>723</v>
      </c>
      <c r="J441" s="5" t="s">
        <v>174</v>
      </c>
      <c r="K441" s="5" t="s">
        <v>722</v>
      </c>
      <c r="L441" s="21" t="n">
        <v>365.1</v>
      </c>
      <c r="M441" s="5" t="s">
        <v>218</v>
      </c>
      <c r="N441" s="9"/>
    </row>
    <row r="442" customFormat="false" ht="15" hidden="false" customHeight="false" outlineLevel="0" collapsed="false">
      <c r="A442" s="5" t="n">
        <v>438</v>
      </c>
      <c r="B442" s="5" t="n">
        <v>14</v>
      </c>
      <c r="C442" s="5" t="s">
        <v>42</v>
      </c>
      <c r="D442" s="5" t="s">
        <v>157</v>
      </c>
      <c r="E442" s="33" t="n">
        <v>-18.731554</v>
      </c>
      <c r="F442" s="33" t="n">
        <v>-39.749072</v>
      </c>
      <c r="G442" s="5" t="s">
        <v>713</v>
      </c>
      <c r="H442" s="5" t="s">
        <v>719</v>
      </c>
      <c r="I442" s="25" t="s">
        <v>721</v>
      </c>
      <c r="J442" s="5" t="s">
        <v>174</v>
      </c>
      <c r="K442" s="5" t="s">
        <v>722</v>
      </c>
      <c r="L442" s="21" t="n">
        <v>365.1</v>
      </c>
      <c r="M442" s="5" t="s">
        <v>218</v>
      </c>
      <c r="N442" s="9"/>
    </row>
    <row r="443" customFormat="false" ht="22.35" hidden="false" customHeight="false" outlineLevel="0" collapsed="false">
      <c r="A443" s="5" t="n">
        <v>439</v>
      </c>
      <c r="B443" s="5" t="n">
        <v>14</v>
      </c>
      <c r="C443" s="5" t="s">
        <v>42</v>
      </c>
      <c r="D443" s="5" t="s">
        <v>168</v>
      </c>
      <c r="E443" s="33" t="n">
        <v>-18.725573</v>
      </c>
      <c r="F443" s="33" t="n">
        <v>-39.755813</v>
      </c>
      <c r="G443" s="5" t="s">
        <v>736</v>
      </c>
      <c r="H443" s="5" t="s">
        <v>218</v>
      </c>
      <c r="I443" s="22" t="s">
        <v>725</v>
      </c>
      <c r="J443" s="5" t="s">
        <v>716</v>
      </c>
      <c r="K443" s="5" t="s">
        <v>218</v>
      </c>
      <c r="L443" s="21" t="n">
        <v>13.3</v>
      </c>
      <c r="M443" s="5" t="s">
        <v>141</v>
      </c>
      <c r="N443" s="9" t="s">
        <v>830</v>
      </c>
    </row>
    <row r="444" customFormat="false" ht="15" hidden="false" customHeight="false" outlineLevel="0" collapsed="false">
      <c r="A444" s="5" t="n">
        <v>440</v>
      </c>
      <c r="B444" s="5" t="n">
        <v>14</v>
      </c>
      <c r="C444" s="5" t="s">
        <v>42</v>
      </c>
      <c r="D444" s="5" t="s">
        <v>168</v>
      </c>
      <c r="E444" s="33" t="n">
        <v>-18.726308</v>
      </c>
      <c r="F444" s="33" t="n">
        <v>-39.755055</v>
      </c>
      <c r="G444" s="5" t="s">
        <v>713</v>
      </c>
      <c r="H444" s="5" t="s">
        <v>719</v>
      </c>
      <c r="I444" s="25" t="s">
        <v>721</v>
      </c>
      <c r="J444" s="5" t="s">
        <v>174</v>
      </c>
      <c r="K444" s="5" t="s">
        <v>722</v>
      </c>
      <c r="L444" s="21" t="n">
        <v>173.2</v>
      </c>
      <c r="M444" s="5" t="s">
        <v>218</v>
      </c>
      <c r="N444" s="9" t="s">
        <v>831</v>
      </c>
    </row>
    <row r="445" customFormat="false" ht="15" hidden="false" customHeight="false" outlineLevel="0" collapsed="false">
      <c r="A445" s="5" t="n">
        <v>441</v>
      </c>
      <c r="B445" s="5" t="n">
        <v>14</v>
      </c>
      <c r="C445" s="5" t="s">
        <v>42</v>
      </c>
      <c r="D445" s="5" t="s">
        <v>168</v>
      </c>
      <c r="E445" s="33" t="n">
        <v>-18.72536</v>
      </c>
      <c r="F445" s="33" t="n">
        <v>-39.755757</v>
      </c>
      <c r="G445" s="5" t="s">
        <v>736</v>
      </c>
      <c r="H445" s="5" t="s">
        <v>218</v>
      </c>
      <c r="I445" s="22" t="s">
        <v>725</v>
      </c>
      <c r="J445" s="5" t="s">
        <v>716</v>
      </c>
      <c r="K445" s="5" t="s">
        <v>218</v>
      </c>
      <c r="L445" s="21" t="n">
        <v>46.6</v>
      </c>
      <c r="M445" s="5" t="s">
        <v>141</v>
      </c>
      <c r="N445" s="9" t="s">
        <v>832</v>
      </c>
    </row>
    <row r="446" customFormat="false" ht="15" hidden="false" customHeight="false" outlineLevel="0" collapsed="false">
      <c r="A446" s="5" t="n">
        <v>442</v>
      </c>
      <c r="B446" s="5" t="n">
        <v>14</v>
      </c>
      <c r="C446" s="5" t="s">
        <v>42</v>
      </c>
      <c r="D446" s="5" t="s">
        <v>168</v>
      </c>
      <c r="E446" s="33" t="n">
        <v>-18.725537</v>
      </c>
      <c r="F446" s="33" t="n">
        <v>-39.75459</v>
      </c>
      <c r="G446" s="5" t="s">
        <v>736</v>
      </c>
      <c r="H446" s="5" t="s">
        <v>218</v>
      </c>
      <c r="I446" s="22" t="s">
        <v>725</v>
      </c>
      <c r="J446" s="5" t="s">
        <v>716</v>
      </c>
      <c r="K446" s="5" t="s">
        <v>218</v>
      </c>
      <c r="L446" s="21" t="n">
        <v>244.7</v>
      </c>
      <c r="M446" s="5" t="s">
        <v>141</v>
      </c>
      <c r="N446" s="9"/>
    </row>
    <row r="447" customFormat="false" ht="15" hidden="false" customHeight="false" outlineLevel="0" collapsed="false">
      <c r="A447" s="5" t="n">
        <v>443</v>
      </c>
      <c r="B447" s="5" t="n">
        <v>14</v>
      </c>
      <c r="C447" s="5" t="s">
        <v>42</v>
      </c>
      <c r="D447" s="5" t="s">
        <v>168</v>
      </c>
      <c r="E447" s="33" t="n">
        <v>-18.72646</v>
      </c>
      <c r="F447" s="33" t="n">
        <v>-39.752475</v>
      </c>
      <c r="G447" s="5" t="s">
        <v>713</v>
      </c>
      <c r="H447" s="5" t="s">
        <v>719</v>
      </c>
      <c r="I447" s="25" t="s">
        <v>723</v>
      </c>
      <c r="J447" s="5" t="s">
        <v>174</v>
      </c>
      <c r="K447" s="5" t="s">
        <v>722</v>
      </c>
      <c r="L447" s="21" t="n">
        <v>250.2</v>
      </c>
      <c r="M447" s="5" t="s">
        <v>218</v>
      </c>
      <c r="N447" s="9" t="s">
        <v>833</v>
      </c>
    </row>
    <row r="448" customFormat="false" ht="15" hidden="false" customHeight="false" outlineLevel="0" collapsed="false">
      <c r="A448" s="5" t="n">
        <v>444</v>
      </c>
      <c r="B448" s="5" t="n">
        <v>14</v>
      </c>
      <c r="C448" s="5" t="s">
        <v>42</v>
      </c>
      <c r="D448" s="5" t="s">
        <v>168</v>
      </c>
      <c r="E448" s="33" t="n">
        <v>-18.72528</v>
      </c>
      <c r="F448" s="33" t="n">
        <v>-39.753441</v>
      </c>
      <c r="G448" s="5" t="s">
        <v>736</v>
      </c>
      <c r="H448" s="5" t="s">
        <v>218</v>
      </c>
      <c r="I448" s="22" t="s">
        <v>725</v>
      </c>
      <c r="J448" s="5" t="s">
        <v>716</v>
      </c>
      <c r="K448" s="5" t="s">
        <v>218</v>
      </c>
      <c r="L448" s="21" t="n">
        <v>50.9</v>
      </c>
      <c r="M448" s="5" t="s">
        <v>141</v>
      </c>
      <c r="N448" s="9"/>
    </row>
    <row r="449" customFormat="false" ht="15" hidden="false" customHeight="false" outlineLevel="0" collapsed="false">
      <c r="A449" s="5" t="n">
        <v>445</v>
      </c>
      <c r="B449" s="5" t="n">
        <v>14</v>
      </c>
      <c r="C449" s="5" t="s">
        <v>42</v>
      </c>
      <c r="D449" s="5" t="s">
        <v>168</v>
      </c>
      <c r="E449" s="33" t="n">
        <v>-18.725464</v>
      </c>
      <c r="F449" s="33" t="n">
        <v>-39.75215</v>
      </c>
      <c r="G449" s="5" t="s">
        <v>736</v>
      </c>
      <c r="H449" s="5" t="s">
        <v>218</v>
      </c>
      <c r="I449" s="22" t="s">
        <v>725</v>
      </c>
      <c r="J449" s="5" t="s">
        <v>716</v>
      </c>
      <c r="K449" s="5" t="s">
        <v>218</v>
      </c>
      <c r="L449" s="21" t="n">
        <v>270.1</v>
      </c>
      <c r="M449" s="5" t="s">
        <v>141</v>
      </c>
      <c r="N449" s="9"/>
    </row>
    <row r="450" customFormat="false" ht="15" hidden="false" customHeight="false" outlineLevel="0" collapsed="false">
      <c r="A450" s="5" t="n">
        <v>446</v>
      </c>
      <c r="B450" s="5" t="n">
        <v>14</v>
      </c>
      <c r="C450" s="5" t="s">
        <v>42</v>
      </c>
      <c r="D450" s="5" t="s">
        <v>168</v>
      </c>
      <c r="E450" s="33" t="n">
        <v>-18.733008</v>
      </c>
      <c r="F450" s="33" t="n">
        <v>-39.750995</v>
      </c>
      <c r="G450" s="5" t="s">
        <v>713</v>
      </c>
      <c r="H450" s="5" t="s">
        <v>714</v>
      </c>
      <c r="I450" s="25" t="s">
        <v>721</v>
      </c>
      <c r="J450" s="5" t="s">
        <v>174</v>
      </c>
      <c r="K450" s="5" t="s">
        <v>722</v>
      </c>
      <c r="L450" s="21" t="n">
        <v>32.7</v>
      </c>
      <c r="M450" s="5" t="s">
        <v>218</v>
      </c>
      <c r="N450" s="9" t="s">
        <v>834</v>
      </c>
    </row>
    <row r="451" customFormat="false" ht="15" hidden="false" customHeight="false" outlineLevel="0" collapsed="false">
      <c r="A451" s="5" t="n">
        <v>447</v>
      </c>
      <c r="B451" s="5" t="n">
        <v>14</v>
      </c>
      <c r="C451" s="5" t="s">
        <v>42</v>
      </c>
      <c r="D451" s="5" t="s">
        <v>168</v>
      </c>
      <c r="E451" s="33" t="n">
        <v>-18.728455</v>
      </c>
      <c r="F451" s="33" t="n">
        <v>-39.74715</v>
      </c>
      <c r="G451" s="5" t="s">
        <v>713</v>
      </c>
      <c r="H451" s="5" t="s">
        <v>714</v>
      </c>
      <c r="I451" s="22" t="s">
        <v>715</v>
      </c>
      <c r="J451" s="5" t="s">
        <v>716</v>
      </c>
      <c r="K451" s="5" t="s">
        <v>720</v>
      </c>
      <c r="L451" s="21" t="n">
        <v>450.5</v>
      </c>
      <c r="M451" s="5" t="s">
        <v>218</v>
      </c>
      <c r="N451" s="9" t="s">
        <v>835</v>
      </c>
    </row>
    <row r="452" customFormat="false" ht="15" hidden="false" customHeight="false" outlineLevel="0" collapsed="false">
      <c r="A452" s="5" t="n">
        <v>448</v>
      </c>
      <c r="B452" s="5" t="n">
        <v>14</v>
      </c>
      <c r="C452" s="5" t="s">
        <v>42</v>
      </c>
      <c r="D452" s="5" t="s">
        <v>168</v>
      </c>
      <c r="E452" s="33" t="n">
        <v>-18.726495</v>
      </c>
      <c r="F452" s="33" t="n">
        <v>-39.74745</v>
      </c>
      <c r="G452" s="5" t="s">
        <v>713</v>
      </c>
      <c r="H452" s="5" t="s">
        <v>719</v>
      </c>
      <c r="I452" s="25" t="s">
        <v>721</v>
      </c>
      <c r="J452" s="5" t="s">
        <v>174</v>
      </c>
      <c r="K452" s="5" t="s">
        <v>722</v>
      </c>
      <c r="L452" s="21" t="n">
        <v>57.2</v>
      </c>
      <c r="M452" s="5" t="s">
        <v>218</v>
      </c>
      <c r="N452" s="9" t="s">
        <v>836</v>
      </c>
    </row>
    <row r="453" customFormat="false" ht="15" hidden="false" customHeight="false" outlineLevel="0" collapsed="false">
      <c r="A453" s="5" t="n">
        <v>449</v>
      </c>
      <c r="B453" s="5" t="n">
        <v>14</v>
      </c>
      <c r="C453" s="5" t="s">
        <v>42</v>
      </c>
      <c r="D453" s="5" t="s">
        <v>168</v>
      </c>
      <c r="E453" s="33" t="n">
        <v>-18.73311</v>
      </c>
      <c r="F453" s="33" t="n">
        <v>-39.74725</v>
      </c>
      <c r="G453" s="5" t="s">
        <v>713</v>
      </c>
      <c r="H453" s="5" t="s">
        <v>714</v>
      </c>
      <c r="I453" s="22" t="s">
        <v>715</v>
      </c>
      <c r="J453" s="5" t="s">
        <v>716</v>
      </c>
      <c r="K453" s="5" t="s">
        <v>717</v>
      </c>
      <c r="L453" s="21" t="n">
        <v>20.9</v>
      </c>
      <c r="M453" s="5" t="s">
        <v>218</v>
      </c>
      <c r="N453" s="9" t="s">
        <v>837</v>
      </c>
    </row>
    <row r="454" customFormat="false" ht="15" hidden="false" customHeight="false" outlineLevel="0" collapsed="false">
      <c r="A454" s="5" t="n">
        <v>450</v>
      </c>
      <c r="B454" s="5" t="n">
        <v>14</v>
      </c>
      <c r="C454" s="5" t="s">
        <v>42</v>
      </c>
      <c r="D454" s="5" t="s">
        <v>168</v>
      </c>
      <c r="E454" s="33" t="n">
        <v>-18.72562</v>
      </c>
      <c r="F454" s="33" t="n">
        <v>-39.747214</v>
      </c>
      <c r="G454" s="5" t="s">
        <v>713</v>
      </c>
      <c r="H454" s="5" t="s">
        <v>714</v>
      </c>
      <c r="I454" s="22" t="s">
        <v>715</v>
      </c>
      <c r="J454" s="5" t="s">
        <v>716</v>
      </c>
      <c r="K454" s="5" t="s">
        <v>717</v>
      </c>
      <c r="L454" s="21" t="n">
        <v>177.2</v>
      </c>
      <c r="M454" s="5" t="s">
        <v>218</v>
      </c>
      <c r="N454" s="9" t="s">
        <v>837</v>
      </c>
    </row>
    <row r="455" customFormat="false" ht="15" hidden="false" customHeight="false" outlineLevel="0" collapsed="false">
      <c r="A455" s="5" t="n">
        <v>451</v>
      </c>
      <c r="B455" s="5" t="n">
        <v>14</v>
      </c>
      <c r="C455" s="5" t="s">
        <v>42</v>
      </c>
      <c r="D455" s="5" t="s">
        <v>168</v>
      </c>
      <c r="E455" s="33" t="n">
        <v>-18.732182</v>
      </c>
      <c r="F455" s="33" t="n">
        <v>-39.747171</v>
      </c>
      <c r="G455" s="5" t="s">
        <v>713</v>
      </c>
      <c r="H455" s="5" t="s">
        <v>838</v>
      </c>
      <c r="I455" s="22" t="s">
        <v>715</v>
      </c>
      <c r="J455" s="5" t="s">
        <v>716</v>
      </c>
      <c r="K455" s="5" t="s">
        <v>720</v>
      </c>
      <c r="L455" s="21" t="n">
        <v>185.7</v>
      </c>
      <c r="M455" s="5" t="s">
        <v>218</v>
      </c>
      <c r="N455" s="9" t="s">
        <v>837</v>
      </c>
    </row>
    <row r="456" customFormat="false" ht="15" hidden="false" customHeight="false" outlineLevel="0" collapsed="false">
      <c r="A456" s="5" t="n">
        <v>452</v>
      </c>
      <c r="B456" s="5" t="n">
        <v>14</v>
      </c>
      <c r="C456" s="5" t="s">
        <v>42</v>
      </c>
      <c r="D456" s="5" t="s">
        <v>294</v>
      </c>
      <c r="E456" s="33" t="n">
        <v>-18.728047</v>
      </c>
      <c r="F456" s="33" t="n">
        <v>-39.754311</v>
      </c>
      <c r="G456" s="5" t="s">
        <v>713</v>
      </c>
      <c r="H456" s="5" t="s">
        <v>719</v>
      </c>
      <c r="I456" s="25" t="s">
        <v>723</v>
      </c>
      <c r="J456" s="5" t="s">
        <v>174</v>
      </c>
      <c r="K456" s="5" t="s">
        <v>722</v>
      </c>
      <c r="L456" s="21" t="n">
        <v>364.8</v>
      </c>
      <c r="M456" s="5" t="s">
        <v>218</v>
      </c>
      <c r="N456" s="9"/>
    </row>
    <row r="457" customFormat="false" ht="15" hidden="false" customHeight="false" outlineLevel="0" collapsed="false">
      <c r="A457" s="5" t="n">
        <v>453</v>
      </c>
      <c r="B457" s="5" t="n">
        <v>14</v>
      </c>
      <c r="C457" s="5" t="s">
        <v>42</v>
      </c>
      <c r="D457" s="5" t="s">
        <v>294</v>
      </c>
      <c r="E457" s="33" t="n">
        <v>-18.731341</v>
      </c>
      <c r="F457" s="33" t="n">
        <v>-39.754462</v>
      </c>
      <c r="G457" s="5" t="s">
        <v>713</v>
      </c>
      <c r="H457" s="5" t="s">
        <v>719</v>
      </c>
      <c r="I457" s="25" t="s">
        <v>723</v>
      </c>
      <c r="J457" s="5" t="s">
        <v>174</v>
      </c>
      <c r="K457" s="5" t="s">
        <v>722</v>
      </c>
      <c r="L457" s="21" t="n">
        <v>364.8</v>
      </c>
      <c r="M457" s="5" t="s">
        <v>218</v>
      </c>
      <c r="N457" s="9"/>
    </row>
    <row r="458" customFormat="false" ht="15" hidden="false" customHeight="false" outlineLevel="0" collapsed="false">
      <c r="A458" s="5" t="n">
        <v>454</v>
      </c>
      <c r="B458" s="5" t="n">
        <v>14</v>
      </c>
      <c r="C458" s="5" t="s">
        <v>42</v>
      </c>
      <c r="D458" s="5" t="s">
        <v>340</v>
      </c>
      <c r="E458" s="33" t="n">
        <v>-18.730468</v>
      </c>
      <c r="F458" s="33" t="n">
        <v>-39.758302</v>
      </c>
      <c r="G458" s="5" t="s">
        <v>713</v>
      </c>
      <c r="H458" s="5" t="s">
        <v>719</v>
      </c>
      <c r="I458" s="25" t="s">
        <v>721</v>
      </c>
      <c r="J458" s="5" t="s">
        <v>174</v>
      </c>
      <c r="K458" s="5" t="s">
        <v>720</v>
      </c>
      <c r="L458" s="21" t="n">
        <v>159.8</v>
      </c>
      <c r="M458" s="5" t="s">
        <v>218</v>
      </c>
      <c r="N458" s="9"/>
    </row>
    <row r="459" customFormat="false" ht="15" hidden="false" customHeight="false" outlineLevel="0" collapsed="false">
      <c r="A459" s="5" t="n">
        <v>455</v>
      </c>
      <c r="B459" s="5" t="n">
        <v>14</v>
      </c>
      <c r="C459" s="5" t="s">
        <v>42</v>
      </c>
      <c r="D459" s="5" t="s">
        <v>312</v>
      </c>
      <c r="E459" s="33" t="n">
        <v>-18.727471</v>
      </c>
      <c r="F459" s="33" t="n">
        <v>-39.751922</v>
      </c>
      <c r="G459" s="5" t="s">
        <v>713</v>
      </c>
      <c r="H459" s="5" t="s">
        <v>719</v>
      </c>
      <c r="I459" s="25" t="s">
        <v>721</v>
      </c>
      <c r="J459" s="5" t="s">
        <v>174</v>
      </c>
      <c r="K459" s="5" t="s">
        <v>722</v>
      </c>
      <c r="L459" s="21" t="n">
        <v>414.3</v>
      </c>
      <c r="M459" s="5" t="s">
        <v>218</v>
      </c>
      <c r="N459" s="9"/>
    </row>
    <row r="460" customFormat="false" ht="15" hidden="false" customHeight="false" outlineLevel="0" collapsed="false">
      <c r="A460" s="5" t="n">
        <v>456</v>
      </c>
      <c r="B460" s="5" t="n">
        <v>14</v>
      </c>
      <c r="C460" s="5" t="s">
        <v>42</v>
      </c>
      <c r="D460" s="5" t="s">
        <v>312</v>
      </c>
      <c r="E460" s="33" t="n">
        <v>-18.731212</v>
      </c>
      <c r="F460" s="33" t="n">
        <v>-39.752092</v>
      </c>
      <c r="G460" s="5" t="s">
        <v>713</v>
      </c>
      <c r="H460" s="5" t="s">
        <v>719</v>
      </c>
      <c r="I460" s="25" t="s">
        <v>721</v>
      </c>
      <c r="J460" s="5" t="s">
        <v>174</v>
      </c>
      <c r="K460" s="5" t="s">
        <v>722</v>
      </c>
      <c r="L460" s="21" t="n">
        <v>414.3</v>
      </c>
      <c r="M460" s="5" t="s">
        <v>218</v>
      </c>
      <c r="N460" s="9"/>
    </row>
    <row r="461" customFormat="false" ht="15" hidden="false" customHeight="false" outlineLevel="0" collapsed="false">
      <c r="A461" s="5" t="n">
        <v>457</v>
      </c>
      <c r="B461" s="5" t="n">
        <v>14</v>
      </c>
      <c r="C461" s="5" t="s">
        <v>42</v>
      </c>
      <c r="D461" s="5" t="s">
        <v>342</v>
      </c>
      <c r="E461" s="33" t="n">
        <v>-18.730298</v>
      </c>
      <c r="F461" s="33" t="n">
        <v>-39.762404</v>
      </c>
      <c r="G461" s="5" t="s">
        <v>713</v>
      </c>
      <c r="H461" s="5" t="s">
        <v>719</v>
      </c>
      <c r="I461" s="25" t="s">
        <v>721</v>
      </c>
      <c r="J461" s="5" t="s">
        <v>174</v>
      </c>
      <c r="K461" s="5" t="s">
        <v>722</v>
      </c>
      <c r="L461" s="21" t="n">
        <v>159.8</v>
      </c>
      <c r="M461" s="5" t="s">
        <v>218</v>
      </c>
      <c r="N461" s="9"/>
    </row>
    <row r="462" customFormat="false" ht="15" hidden="false" customHeight="false" outlineLevel="0" collapsed="false">
      <c r="A462" s="5" t="n">
        <v>458</v>
      </c>
      <c r="B462" s="5" t="n">
        <v>14</v>
      </c>
      <c r="C462" s="5" t="s">
        <v>42</v>
      </c>
      <c r="D462" s="5" t="s">
        <v>373</v>
      </c>
      <c r="E462" s="33" t="n">
        <v>-18.731302</v>
      </c>
      <c r="F462" s="33" t="n">
        <v>-39.757175</v>
      </c>
      <c r="G462" s="5" t="s">
        <v>713</v>
      </c>
      <c r="H462" s="5" t="s">
        <v>719</v>
      </c>
      <c r="I462" s="22" t="s">
        <v>715</v>
      </c>
      <c r="J462" s="5" t="s">
        <v>716</v>
      </c>
      <c r="K462" s="5" t="s">
        <v>722</v>
      </c>
      <c r="L462" s="21" t="n">
        <v>333.9</v>
      </c>
      <c r="M462" s="5" t="s">
        <v>218</v>
      </c>
      <c r="N462" s="9" t="s">
        <v>839</v>
      </c>
    </row>
    <row r="463" customFormat="false" ht="15" hidden="false" customHeight="false" outlineLevel="0" collapsed="false">
      <c r="A463" s="5" t="n">
        <v>459</v>
      </c>
      <c r="B463" s="5" t="n">
        <v>14</v>
      </c>
      <c r="C463" s="5" t="s">
        <v>42</v>
      </c>
      <c r="D463" s="5" t="s">
        <v>374</v>
      </c>
      <c r="E463" s="33" t="n">
        <v>-18.72764</v>
      </c>
      <c r="F463" s="33" t="n">
        <v>-39.755239</v>
      </c>
      <c r="G463" s="5" t="s">
        <v>713</v>
      </c>
      <c r="H463" s="5" t="s">
        <v>719</v>
      </c>
      <c r="I463" s="25" t="s">
        <v>721</v>
      </c>
      <c r="J463" s="5" t="s">
        <v>174</v>
      </c>
      <c r="K463" s="5" t="s">
        <v>722</v>
      </c>
      <c r="L463" s="21" t="n">
        <v>432</v>
      </c>
      <c r="M463" s="5" t="s">
        <v>218</v>
      </c>
      <c r="N463" s="9"/>
    </row>
    <row r="464" customFormat="false" ht="15" hidden="false" customHeight="false" outlineLevel="0" collapsed="false">
      <c r="A464" s="5" t="n">
        <v>460</v>
      </c>
      <c r="B464" s="5" t="n">
        <v>14</v>
      </c>
      <c r="C464" s="5" t="s">
        <v>42</v>
      </c>
      <c r="D464" s="5" t="s">
        <v>343</v>
      </c>
      <c r="E464" s="33" t="n">
        <v>-18.730765</v>
      </c>
      <c r="F464" s="33" t="n">
        <v>-39.757731</v>
      </c>
      <c r="G464" s="5" t="s">
        <v>713</v>
      </c>
      <c r="H464" s="5" t="s">
        <v>719</v>
      </c>
      <c r="I464" s="22" t="s">
        <v>715</v>
      </c>
      <c r="J464" s="5" t="s">
        <v>716</v>
      </c>
      <c r="K464" s="5" t="s">
        <v>722</v>
      </c>
      <c r="L464" s="21" t="n">
        <v>220.2</v>
      </c>
      <c r="M464" s="5" t="s">
        <v>218</v>
      </c>
      <c r="N464" s="9" t="s">
        <v>839</v>
      </c>
    </row>
    <row r="465" customFormat="false" ht="15" hidden="false" customHeight="false" outlineLevel="0" collapsed="false">
      <c r="A465" s="5" t="n">
        <v>461</v>
      </c>
      <c r="B465" s="5" t="n">
        <v>14</v>
      </c>
      <c r="C465" s="5" t="s">
        <v>42</v>
      </c>
      <c r="D465" s="5" t="s">
        <v>286</v>
      </c>
      <c r="E465" s="33" t="n">
        <v>-18.731213</v>
      </c>
      <c r="F465" s="33" t="n">
        <v>-39.755629</v>
      </c>
      <c r="G465" s="5" t="s">
        <v>713</v>
      </c>
      <c r="H465" s="5" t="s">
        <v>719</v>
      </c>
      <c r="I465" s="25" t="s">
        <v>721</v>
      </c>
      <c r="J465" s="5" t="s">
        <v>174</v>
      </c>
      <c r="K465" s="5" t="s">
        <v>720</v>
      </c>
      <c r="L465" s="21" t="n">
        <v>382.9</v>
      </c>
      <c r="M465" s="5" t="s">
        <v>218</v>
      </c>
      <c r="N465" s="9"/>
    </row>
    <row r="466" customFormat="false" ht="15" hidden="false" customHeight="false" outlineLevel="0" collapsed="false">
      <c r="A466" s="5" t="n">
        <v>462</v>
      </c>
      <c r="B466" s="5" t="n">
        <v>14</v>
      </c>
      <c r="C466" s="5" t="s">
        <v>42</v>
      </c>
      <c r="D466" s="5" t="s">
        <v>297</v>
      </c>
      <c r="E466" s="33" t="n">
        <v>-18.727085</v>
      </c>
      <c r="F466" s="33" t="n">
        <v>-39.752493</v>
      </c>
      <c r="G466" s="5" t="s">
        <v>713</v>
      </c>
      <c r="H466" s="5" t="s">
        <v>719</v>
      </c>
      <c r="I466" s="25" t="s">
        <v>721</v>
      </c>
      <c r="J466" s="5" t="s">
        <v>174</v>
      </c>
      <c r="K466" s="5" t="s">
        <v>722</v>
      </c>
      <c r="L466" s="21" t="n">
        <v>315.7</v>
      </c>
      <c r="M466" s="5" t="s">
        <v>218</v>
      </c>
      <c r="N466" s="9"/>
    </row>
    <row r="467" customFormat="false" ht="15" hidden="false" customHeight="false" outlineLevel="0" collapsed="false">
      <c r="A467" s="5" t="n">
        <v>463</v>
      </c>
      <c r="B467" s="5" t="n">
        <v>14</v>
      </c>
      <c r="C467" s="5" t="s">
        <v>42</v>
      </c>
      <c r="D467" s="5" t="s">
        <v>297</v>
      </c>
      <c r="E467" s="33" t="n">
        <v>-18.729935</v>
      </c>
      <c r="F467" s="33" t="n">
        <v>-39.752626</v>
      </c>
      <c r="G467" s="5" t="s">
        <v>713</v>
      </c>
      <c r="H467" s="5" t="s">
        <v>719</v>
      </c>
      <c r="I467" s="25" t="s">
        <v>721</v>
      </c>
      <c r="J467" s="5" t="s">
        <v>174</v>
      </c>
      <c r="K467" s="5" t="s">
        <v>722</v>
      </c>
      <c r="L467" s="21" t="n">
        <v>315.7</v>
      </c>
      <c r="M467" s="5" t="s">
        <v>218</v>
      </c>
      <c r="N467" s="9"/>
    </row>
    <row r="468" customFormat="false" ht="15" hidden="false" customHeight="false" outlineLevel="0" collapsed="false">
      <c r="A468" s="5" t="n">
        <v>464</v>
      </c>
      <c r="B468" s="5" t="n">
        <v>14</v>
      </c>
      <c r="C468" s="5" t="s">
        <v>42</v>
      </c>
      <c r="D468" s="5" t="s">
        <v>375</v>
      </c>
      <c r="E468" s="33" t="n">
        <v>-18.727276</v>
      </c>
      <c r="F468" s="33" t="n">
        <v>-39.755821</v>
      </c>
      <c r="G468" s="5" t="s">
        <v>713</v>
      </c>
      <c r="H468" s="5" t="s">
        <v>719</v>
      </c>
      <c r="I468" s="25" t="s">
        <v>721</v>
      </c>
      <c r="J468" s="5" t="s">
        <v>174</v>
      </c>
      <c r="K468" s="5" t="s">
        <v>722</v>
      </c>
      <c r="L468" s="21" t="n">
        <v>355.6</v>
      </c>
      <c r="M468" s="5" t="s">
        <v>218</v>
      </c>
      <c r="N468" s="9"/>
    </row>
    <row r="469" customFormat="false" ht="15" hidden="false" customHeight="false" outlineLevel="0" collapsed="false">
      <c r="A469" s="5" t="n">
        <v>465</v>
      </c>
      <c r="B469" s="5" t="n">
        <v>14</v>
      </c>
      <c r="C469" s="5" t="s">
        <v>42</v>
      </c>
      <c r="D469" s="5" t="s">
        <v>290</v>
      </c>
      <c r="E469" s="33" t="n">
        <v>-18.731282</v>
      </c>
      <c r="F469" s="33" t="n">
        <v>-39.755042</v>
      </c>
      <c r="G469" s="5" t="s">
        <v>713</v>
      </c>
      <c r="H469" s="5" t="s">
        <v>719</v>
      </c>
      <c r="I469" s="25" t="s">
        <v>721</v>
      </c>
      <c r="J469" s="5" t="s">
        <v>174</v>
      </c>
      <c r="K469" s="5" t="s">
        <v>722</v>
      </c>
      <c r="L469" s="21" t="n">
        <v>372.6</v>
      </c>
      <c r="M469" s="5" t="s">
        <v>218</v>
      </c>
      <c r="N469" s="9"/>
    </row>
    <row r="470" customFormat="false" ht="15" hidden="false" customHeight="false" outlineLevel="0" collapsed="false">
      <c r="A470" s="5" t="n">
        <v>466</v>
      </c>
      <c r="B470" s="5" t="n">
        <v>14</v>
      </c>
      <c r="C470" s="5" t="s">
        <v>42</v>
      </c>
      <c r="D470" s="5" t="s">
        <v>290</v>
      </c>
      <c r="E470" s="33" t="n">
        <v>-18.727655</v>
      </c>
      <c r="F470" s="33" t="n">
        <v>-39.754655</v>
      </c>
      <c r="G470" s="5" t="s">
        <v>713</v>
      </c>
      <c r="H470" s="5" t="s">
        <v>719</v>
      </c>
      <c r="I470" s="25" t="s">
        <v>721</v>
      </c>
      <c r="J470" s="5" t="s">
        <v>174</v>
      </c>
      <c r="K470" s="5" t="s">
        <v>722</v>
      </c>
      <c r="L470" s="21" t="n">
        <v>433.2</v>
      </c>
      <c r="M470" s="5" t="s">
        <v>218</v>
      </c>
      <c r="N470" s="9"/>
    </row>
    <row r="471" customFormat="false" ht="15" hidden="false" customHeight="false" outlineLevel="0" collapsed="false">
      <c r="A471" s="5" t="n">
        <v>467</v>
      </c>
      <c r="B471" s="5" t="n">
        <v>14</v>
      </c>
      <c r="C471" s="5" t="s">
        <v>42</v>
      </c>
      <c r="D471" s="5" t="s">
        <v>299</v>
      </c>
      <c r="E471" s="33" t="n">
        <v>-18.730444</v>
      </c>
      <c r="F471" s="33" t="n">
        <v>-39.758888</v>
      </c>
      <c r="G471" s="5" t="s">
        <v>713</v>
      </c>
      <c r="H471" s="5" t="s">
        <v>719</v>
      </c>
      <c r="I471" s="25" t="s">
        <v>721</v>
      </c>
      <c r="J471" s="5" t="s">
        <v>174</v>
      </c>
      <c r="K471" s="5" t="s">
        <v>722</v>
      </c>
      <c r="L471" s="21" t="n">
        <v>159.8</v>
      </c>
      <c r="M471" s="5" t="s">
        <v>218</v>
      </c>
      <c r="N471" s="9"/>
    </row>
    <row r="472" customFormat="false" ht="15" hidden="false" customHeight="false" outlineLevel="0" collapsed="false">
      <c r="A472" s="5" t="n">
        <v>468</v>
      </c>
      <c r="B472" s="5" t="n">
        <v>14</v>
      </c>
      <c r="C472" s="5" t="s">
        <v>42</v>
      </c>
      <c r="D472" s="5" t="s">
        <v>181</v>
      </c>
      <c r="E472" s="33" t="n">
        <v>-18.728231</v>
      </c>
      <c r="F472" s="33" t="n">
        <v>-39.749491</v>
      </c>
      <c r="G472" s="5" t="s">
        <v>713</v>
      </c>
      <c r="H472" s="5" t="s">
        <v>719</v>
      </c>
      <c r="I472" s="25" t="s">
        <v>721</v>
      </c>
      <c r="J472" s="5" t="s">
        <v>174</v>
      </c>
      <c r="K472" s="5" t="s">
        <v>722</v>
      </c>
      <c r="L472" s="21" t="n">
        <v>365.5</v>
      </c>
      <c r="M472" s="5" t="s">
        <v>218</v>
      </c>
      <c r="N472" s="9"/>
    </row>
    <row r="473" customFormat="false" ht="15" hidden="false" customHeight="false" outlineLevel="0" collapsed="false">
      <c r="A473" s="5" t="n">
        <v>469</v>
      </c>
      <c r="B473" s="5" t="n">
        <v>14</v>
      </c>
      <c r="C473" s="5" t="s">
        <v>42</v>
      </c>
      <c r="D473" s="5" t="s">
        <v>181</v>
      </c>
      <c r="E473" s="33" t="n">
        <v>-18.73153</v>
      </c>
      <c r="F473" s="33" t="n">
        <v>-39.749653</v>
      </c>
      <c r="G473" s="5" t="s">
        <v>713</v>
      </c>
      <c r="H473" s="5" t="s">
        <v>719</v>
      </c>
      <c r="I473" s="25" t="s">
        <v>721</v>
      </c>
      <c r="J473" s="5" t="s">
        <v>174</v>
      </c>
      <c r="K473" s="5" t="s">
        <v>722</v>
      </c>
      <c r="L473" s="21" t="n">
        <v>365.5</v>
      </c>
      <c r="M473" s="5" t="s">
        <v>218</v>
      </c>
      <c r="N473" s="9"/>
    </row>
    <row r="474" customFormat="false" ht="15" hidden="false" customHeight="false" outlineLevel="0" collapsed="false">
      <c r="A474" s="5" t="n">
        <v>470</v>
      </c>
      <c r="B474" s="5" t="n">
        <v>14</v>
      </c>
      <c r="C474" s="5" t="s">
        <v>42</v>
      </c>
      <c r="D474" s="5" t="s">
        <v>346</v>
      </c>
      <c r="E474" s="33" t="n">
        <v>-18.730395</v>
      </c>
      <c r="F474" s="33" t="n">
        <v>-39.760058</v>
      </c>
      <c r="G474" s="5" t="s">
        <v>713</v>
      </c>
      <c r="H474" s="5" t="s">
        <v>719</v>
      </c>
      <c r="I474" s="25" t="s">
        <v>721</v>
      </c>
      <c r="J474" s="5" t="s">
        <v>174</v>
      </c>
      <c r="K474" s="5" t="s">
        <v>722</v>
      </c>
      <c r="L474" s="21" t="n">
        <v>159.8</v>
      </c>
      <c r="M474" s="5" t="s">
        <v>218</v>
      </c>
      <c r="N474" s="9"/>
    </row>
    <row r="475" customFormat="false" ht="15" hidden="false" customHeight="false" outlineLevel="0" collapsed="false">
      <c r="A475" s="5" t="n">
        <v>471</v>
      </c>
      <c r="B475" s="5" t="n">
        <v>14</v>
      </c>
      <c r="C475" s="5" t="s">
        <v>42</v>
      </c>
      <c r="D475" s="5" t="s">
        <v>292</v>
      </c>
      <c r="E475" s="33" t="n">
        <v>-18.732064</v>
      </c>
      <c r="F475" s="33" t="n">
        <v>-39.756256</v>
      </c>
      <c r="G475" s="5" t="s">
        <v>713</v>
      </c>
      <c r="H475" s="5" t="s">
        <v>719</v>
      </c>
      <c r="I475" s="25" t="s">
        <v>721</v>
      </c>
      <c r="J475" s="5" t="s">
        <v>174</v>
      </c>
      <c r="K475" s="5" t="s">
        <v>722</v>
      </c>
      <c r="L475" s="21" t="n">
        <v>189.1</v>
      </c>
      <c r="M475" s="5" t="s">
        <v>218</v>
      </c>
      <c r="N475" s="9"/>
    </row>
    <row r="476" customFormat="false" ht="15" hidden="false" customHeight="false" outlineLevel="0" collapsed="false">
      <c r="A476" s="5" t="n">
        <v>472</v>
      </c>
      <c r="B476" s="5" t="n">
        <v>14</v>
      </c>
      <c r="C476" s="5" t="s">
        <v>42</v>
      </c>
      <c r="D476" s="5" t="s">
        <v>295</v>
      </c>
      <c r="E476" s="33" t="n">
        <v>-18.727453</v>
      </c>
      <c r="F476" s="33" t="n">
        <v>-39.751336</v>
      </c>
      <c r="G476" s="5" t="s">
        <v>713</v>
      </c>
      <c r="H476" s="5" t="s">
        <v>719</v>
      </c>
      <c r="I476" s="25" t="s">
        <v>721</v>
      </c>
      <c r="J476" s="5" t="s">
        <v>174</v>
      </c>
      <c r="K476" s="5" t="s">
        <v>722</v>
      </c>
      <c r="L476" s="21" t="n">
        <v>417.4</v>
      </c>
      <c r="M476" s="5" t="s">
        <v>218</v>
      </c>
      <c r="N476" s="9"/>
    </row>
    <row r="477" customFormat="false" ht="15" hidden="false" customHeight="false" outlineLevel="0" collapsed="false">
      <c r="A477" s="5" t="n">
        <v>473</v>
      </c>
      <c r="B477" s="5" t="n">
        <v>14</v>
      </c>
      <c r="C477" s="5" t="s">
        <v>42</v>
      </c>
      <c r="D477" s="5" t="s">
        <v>295</v>
      </c>
      <c r="E477" s="33" t="n">
        <v>-18.731221</v>
      </c>
      <c r="F477" s="33" t="n">
        <v>-39.751509</v>
      </c>
      <c r="G477" s="5" t="s">
        <v>713</v>
      </c>
      <c r="H477" s="5" t="s">
        <v>719</v>
      </c>
      <c r="I477" s="25" t="s">
        <v>721</v>
      </c>
      <c r="J477" s="5" t="s">
        <v>174</v>
      </c>
      <c r="K477" s="5" t="s">
        <v>722</v>
      </c>
      <c r="L477" s="21" t="n">
        <v>417.4</v>
      </c>
      <c r="M477" s="5" t="s">
        <v>218</v>
      </c>
      <c r="N477" s="9"/>
    </row>
    <row r="478" customFormat="false" ht="15" hidden="false" customHeight="false" outlineLevel="0" collapsed="false">
      <c r="A478" s="5" t="n">
        <v>474</v>
      </c>
      <c r="B478" s="5" t="n">
        <v>14</v>
      </c>
      <c r="C478" s="5" t="s">
        <v>42</v>
      </c>
      <c r="D478" s="5" t="s">
        <v>313</v>
      </c>
      <c r="E478" s="33" t="n">
        <v>-18.728082</v>
      </c>
      <c r="F478" s="33" t="n">
        <v>-39.753121</v>
      </c>
      <c r="G478" s="5" t="s">
        <v>713</v>
      </c>
      <c r="H478" s="5" t="s">
        <v>719</v>
      </c>
      <c r="I478" s="25" t="s">
        <v>721</v>
      </c>
      <c r="J478" s="5" t="s">
        <v>174</v>
      </c>
      <c r="K478" s="5" t="s">
        <v>720</v>
      </c>
      <c r="L478" s="21" t="n">
        <v>365.8</v>
      </c>
      <c r="M478" s="5" t="s">
        <v>218</v>
      </c>
      <c r="N478" s="9"/>
    </row>
    <row r="479" customFormat="false" ht="15" hidden="false" customHeight="false" outlineLevel="0" collapsed="false">
      <c r="A479" s="5" t="n">
        <v>475</v>
      </c>
      <c r="B479" s="5" t="n">
        <v>14</v>
      </c>
      <c r="C479" s="5" t="s">
        <v>42</v>
      </c>
      <c r="D479" s="5" t="s">
        <v>313</v>
      </c>
      <c r="E479" s="33" t="n">
        <v>-18.731383</v>
      </c>
      <c r="F479" s="33" t="n">
        <v>-39.753292</v>
      </c>
      <c r="G479" s="5" t="s">
        <v>713</v>
      </c>
      <c r="H479" s="5" t="s">
        <v>719</v>
      </c>
      <c r="I479" s="25" t="s">
        <v>721</v>
      </c>
      <c r="J479" s="5" t="s">
        <v>174</v>
      </c>
      <c r="K479" s="5" t="s">
        <v>722</v>
      </c>
      <c r="L479" s="21" t="n">
        <v>365.8</v>
      </c>
      <c r="M479" s="5" t="s">
        <v>218</v>
      </c>
      <c r="N479" s="9"/>
    </row>
    <row r="480" customFormat="false" ht="15" hidden="false" customHeight="false" outlineLevel="0" collapsed="false">
      <c r="A480" s="5" t="n">
        <v>476</v>
      </c>
      <c r="B480" s="5" t="n">
        <v>14</v>
      </c>
      <c r="C480" s="5" t="s">
        <v>42</v>
      </c>
      <c r="D480" s="5" t="s">
        <v>149</v>
      </c>
      <c r="E480" s="33" t="n">
        <v>-18.72729</v>
      </c>
      <c r="F480" s="33" t="n">
        <v>-39.750685</v>
      </c>
      <c r="G480" s="5" t="s">
        <v>713</v>
      </c>
      <c r="H480" s="5" t="s">
        <v>714</v>
      </c>
      <c r="I480" s="25" t="s">
        <v>721</v>
      </c>
      <c r="J480" s="5" t="s">
        <v>174</v>
      </c>
      <c r="K480" s="5" t="s">
        <v>722</v>
      </c>
      <c r="L480" s="21" t="n">
        <v>166.1</v>
      </c>
      <c r="M480" s="5" t="s">
        <v>218</v>
      </c>
      <c r="N480" s="9"/>
    </row>
    <row r="481" customFormat="false" ht="15" hidden="false" customHeight="false" outlineLevel="0" collapsed="false">
      <c r="A481" s="5" t="n">
        <v>477</v>
      </c>
      <c r="B481" s="5" t="n">
        <v>14</v>
      </c>
      <c r="C481" s="5" t="s">
        <v>42</v>
      </c>
      <c r="D481" s="5" t="s">
        <v>376</v>
      </c>
      <c r="E481" s="33" t="n">
        <v>-18.72659</v>
      </c>
      <c r="F481" s="33" t="n">
        <v>-39.749239</v>
      </c>
      <c r="G481" s="5" t="s">
        <v>713</v>
      </c>
      <c r="H481" s="5" t="s">
        <v>719</v>
      </c>
      <c r="I481" s="25" t="s">
        <v>723</v>
      </c>
      <c r="J481" s="5" t="s">
        <v>174</v>
      </c>
      <c r="K481" s="5" t="s">
        <v>722</v>
      </c>
      <c r="L481" s="21" t="n">
        <v>432.8</v>
      </c>
      <c r="M481" s="5" t="s">
        <v>218</v>
      </c>
      <c r="N481" s="9"/>
    </row>
    <row r="482" customFormat="false" ht="15" hidden="false" customHeight="false" outlineLevel="0" collapsed="false">
      <c r="A482" s="5" t="n">
        <v>478</v>
      </c>
      <c r="B482" s="5" t="n">
        <v>14</v>
      </c>
      <c r="C482" s="5" t="s">
        <v>42</v>
      </c>
      <c r="D482" s="5" t="s">
        <v>348</v>
      </c>
      <c r="E482" s="33" t="n">
        <v>-18.730273</v>
      </c>
      <c r="F482" s="33" t="n">
        <v>-39.763008</v>
      </c>
      <c r="G482" s="5" t="s">
        <v>713</v>
      </c>
      <c r="H482" s="5" t="s">
        <v>719</v>
      </c>
      <c r="I482" s="25" t="s">
        <v>721</v>
      </c>
      <c r="J482" s="5" t="s">
        <v>174</v>
      </c>
      <c r="K482" s="5" t="s">
        <v>720</v>
      </c>
      <c r="L482" s="21" t="n">
        <v>159.7</v>
      </c>
      <c r="M482" s="5" t="s">
        <v>218</v>
      </c>
      <c r="N482" s="9"/>
    </row>
    <row r="483" customFormat="false" ht="15" hidden="false" customHeight="false" outlineLevel="0" collapsed="false">
      <c r="A483" s="5" t="n">
        <v>479</v>
      </c>
      <c r="B483" s="5" t="n">
        <v>14</v>
      </c>
      <c r="C483" s="5" t="s">
        <v>42</v>
      </c>
      <c r="D483" s="5" t="s">
        <v>349</v>
      </c>
      <c r="E483" s="33" t="n">
        <v>-18.730201</v>
      </c>
      <c r="F483" s="33" t="n">
        <v>-39.764762</v>
      </c>
      <c r="G483" s="5" t="s">
        <v>713</v>
      </c>
      <c r="H483" s="5" t="s">
        <v>719</v>
      </c>
      <c r="I483" s="25" t="s">
        <v>721</v>
      </c>
      <c r="J483" s="5" t="s">
        <v>174</v>
      </c>
      <c r="K483" s="5" t="s">
        <v>720</v>
      </c>
      <c r="L483" s="21" t="n">
        <v>159.7</v>
      </c>
      <c r="M483" s="5" t="s">
        <v>218</v>
      </c>
      <c r="N483" s="9"/>
    </row>
    <row r="484" customFormat="false" ht="15" hidden="false" customHeight="false" outlineLevel="0" collapsed="false">
      <c r="A484" s="5" t="n">
        <v>480</v>
      </c>
      <c r="B484" s="5" t="n">
        <v>14</v>
      </c>
      <c r="C484" s="5" t="s">
        <v>42</v>
      </c>
      <c r="D484" s="5" t="s">
        <v>350</v>
      </c>
      <c r="E484" s="33" t="n">
        <v>-18.73037</v>
      </c>
      <c r="F484" s="33" t="n">
        <v>-39.760666</v>
      </c>
      <c r="G484" s="5" t="s">
        <v>713</v>
      </c>
      <c r="H484" s="5" t="s">
        <v>719</v>
      </c>
      <c r="I484" s="25" t="s">
        <v>721</v>
      </c>
      <c r="J484" s="5" t="s">
        <v>174</v>
      </c>
      <c r="K484" s="5" t="s">
        <v>722</v>
      </c>
      <c r="L484" s="21" t="n">
        <v>159.8</v>
      </c>
      <c r="M484" s="5" t="s">
        <v>218</v>
      </c>
      <c r="N484" s="9"/>
    </row>
    <row r="485" customFormat="false" ht="15" hidden="false" customHeight="false" outlineLevel="0" collapsed="false">
      <c r="A485" s="5" t="n">
        <v>481</v>
      </c>
      <c r="B485" s="5" t="n">
        <v>14</v>
      </c>
      <c r="C485" s="5" t="s">
        <v>42</v>
      </c>
      <c r="D485" s="5" t="s">
        <v>351</v>
      </c>
      <c r="E485" s="33" t="n">
        <v>-18.730346</v>
      </c>
      <c r="F485" s="33" t="n">
        <v>-39.761258</v>
      </c>
      <c r="G485" s="5" t="s">
        <v>713</v>
      </c>
      <c r="H485" s="5" t="s">
        <v>719</v>
      </c>
      <c r="I485" s="25" t="s">
        <v>721</v>
      </c>
      <c r="J485" s="5" t="s">
        <v>174</v>
      </c>
      <c r="K485" s="5" t="s">
        <v>722</v>
      </c>
      <c r="L485" s="21" t="n">
        <v>159.7</v>
      </c>
      <c r="M485" s="5" t="s">
        <v>218</v>
      </c>
      <c r="N485" s="9"/>
    </row>
    <row r="486" customFormat="false" ht="15" hidden="false" customHeight="false" outlineLevel="0" collapsed="false">
      <c r="A486" s="5" t="n">
        <v>482</v>
      </c>
      <c r="B486" s="5" t="n">
        <v>14</v>
      </c>
      <c r="C486" s="5" t="s">
        <v>42</v>
      </c>
      <c r="D486" s="5" t="s">
        <v>353</v>
      </c>
      <c r="E486" s="33" t="n">
        <v>-18.730224</v>
      </c>
      <c r="F486" s="33" t="n">
        <v>-39.764194</v>
      </c>
      <c r="G486" s="5" t="s">
        <v>713</v>
      </c>
      <c r="H486" s="5" t="s">
        <v>719</v>
      </c>
      <c r="I486" s="25" t="s">
        <v>721</v>
      </c>
      <c r="J486" s="5" t="s">
        <v>174</v>
      </c>
      <c r="K486" s="5" t="s">
        <v>720</v>
      </c>
      <c r="L486" s="21" t="n">
        <v>159.7</v>
      </c>
      <c r="M486" s="5" t="s">
        <v>218</v>
      </c>
      <c r="N486" s="9"/>
    </row>
    <row r="487" customFormat="false" ht="15" hidden="false" customHeight="false" outlineLevel="0" collapsed="false">
      <c r="A487" s="5" t="n">
        <v>483</v>
      </c>
      <c r="B487" s="5" t="n">
        <v>14</v>
      </c>
      <c r="C487" s="5" t="s">
        <v>42</v>
      </c>
      <c r="D487" s="5" t="s">
        <v>344</v>
      </c>
      <c r="E487" s="33" t="n">
        <v>-18.730323</v>
      </c>
      <c r="F487" s="33" t="n">
        <v>-39.76182</v>
      </c>
      <c r="G487" s="5" t="s">
        <v>713</v>
      </c>
      <c r="H487" s="5" t="s">
        <v>719</v>
      </c>
      <c r="I487" s="25" t="s">
        <v>721</v>
      </c>
      <c r="J487" s="5" t="s">
        <v>174</v>
      </c>
      <c r="K487" s="5" t="s">
        <v>722</v>
      </c>
      <c r="L487" s="21" t="n">
        <v>159.8</v>
      </c>
      <c r="M487" s="5" t="s">
        <v>218</v>
      </c>
      <c r="N487" s="9"/>
    </row>
    <row r="488" customFormat="false" ht="15" hidden="false" customHeight="false" outlineLevel="0" collapsed="false">
      <c r="A488" s="5" t="n">
        <v>484</v>
      </c>
      <c r="B488" s="5" t="n">
        <v>14</v>
      </c>
      <c r="C488" s="5" t="s">
        <v>42</v>
      </c>
      <c r="D488" s="5" t="s">
        <v>165</v>
      </c>
      <c r="E488" s="33" t="n">
        <v>-18.72821</v>
      </c>
      <c r="F488" s="33" t="n">
        <v>-39.750091</v>
      </c>
      <c r="G488" s="5" t="s">
        <v>713</v>
      </c>
      <c r="H488" s="5" t="s">
        <v>719</v>
      </c>
      <c r="I488" s="25" t="s">
        <v>721</v>
      </c>
      <c r="J488" s="5" t="s">
        <v>174</v>
      </c>
      <c r="K488" s="5" t="s">
        <v>717</v>
      </c>
      <c r="L488" s="21" t="n">
        <v>365.3</v>
      </c>
      <c r="M488" s="5" t="s">
        <v>218</v>
      </c>
      <c r="N488" s="9"/>
    </row>
    <row r="489" customFormat="false" ht="15" hidden="false" customHeight="false" outlineLevel="0" collapsed="false">
      <c r="A489" s="5" t="n">
        <v>485</v>
      </c>
      <c r="B489" s="5" t="n">
        <v>14</v>
      </c>
      <c r="C489" s="5" t="s">
        <v>42</v>
      </c>
      <c r="D489" s="5" t="s">
        <v>165</v>
      </c>
      <c r="E489" s="33" t="n">
        <v>-18.731507</v>
      </c>
      <c r="F489" s="33" t="n">
        <v>-39.750262</v>
      </c>
      <c r="G489" s="5" t="s">
        <v>713</v>
      </c>
      <c r="H489" s="5" t="s">
        <v>719</v>
      </c>
      <c r="I489" s="25" t="s">
        <v>721</v>
      </c>
      <c r="J489" s="5" t="s">
        <v>174</v>
      </c>
      <c r="K489" s="5" t="s">
        <v>722</v>
      </c>
      <c r="L489" s="21" t="n">
        <v>365.3</v>
      </c>
      <c r="M489" s="5" t="s">
        <v>218</v>
      </c>
      <c r="N489" s="9"/>
    </row>
    <row r="490" customFormat="false" ht="15" hidden="false" customHeight="false" outlineLevel="0" collapsed="false">
      <c r="A490" s="5" t="n">
        <v>486</v>
      </c>
      <c r="B490" s="5" t="n">
        <v>14</v>
      </c>
      <c r="C490" s="5" t="s">
        <v>42</v>
      </c>
      <c r="D490" s="5" t="s">
        <v>284</v>
      </c>
      <c r="E490" s="33" t="n">
        <v>-18.731325</v>
      </c>
      <c r="F490" s="33" t="n">
        <v>-39.756577</v>
      </c>
      <c r="G490" s="5" t="s">
        <v>713</v>
      </c>
      <c r="H490" s="5" t="s">
        <v>719</v>
      </c>
      <c r="I490" s="25" t="s">
        <v>723</v>
      </c>
      <c r="J490" s="5" t="s">
        <v>174</v>
      </c>
      <c r="K490" s="5" t="s">
        <v>722</v>
      </c>
      <c r="L490" s="21" t="n">
        <v>333.5</v>
      </c>
      <c r="M490" s="5" t="s">
        <v>218</v>
      </c>
      <c r="N490" s="9"/>
    </row>
    <row r="491" customFormat="false" ht="15" hidden="false" customHeight="false" outlineLevel="0" collapsed="false">
      <c r="A491" s="5" t="n">
        <v>487</v>
      </c>
      <c r="B491" s="5" t="n">
        <v>14</v>
      </c>
      <c r="C491" s="5" t="s">
        <v>42</v>
      </c>
      <c r="D491" s="5" t="s">
        <v>354</v>
      </c>
      <c r="E491" s="33" t="n">
        <v>-18.730249</v>
      </c>
      <c r="F491" s="33" t="n">
        <v>-39.763608</v>
      </c>
      <c r="G491" s="5" t="s">
        <v>713</v>
      </c>
      <c r="H491" s="5" t="s">
        <v>719</v>
      </c>
      <c r="I491" s="25" t="s">
        <v>723</v>
      </c>
      <c r="J491" s="5" t="s">
        <v>174</v>
      </c>
      <c r="K491" s="5" t="s">
        <v>720</v>
      </c>
      <c r="L491" s="21" t="n">
        <v>159.7</v>
      </c>
      <c r="M491" s="5" t="s">
        <v>218</v>
      </c>
      <c r="N491" s="9"/>
    </row>
    <row r="492" customFormat="false" ht="15" hidden="false" customHeight="false" outlineLevel="0" collapsed="false">
      <c r="A492" s="5" t="n">
        <v>488</v>
      </c>
      <c r="B492" s="5" t="n">
        <v>14</v>
      </c>
      <c r="C492" s="5" t="s">
        <v>42</v>
      </c>
      <c r="D492" s="5" t="s">
        <v>303</v>
      </c>
      <c r="E492" s="33" t="n">
        <v>-18.731201</v>
      </c>
      <c r="F492" s="33" t="n">
        <v>-39.753874</v>
      </c>
      <c r="G492" s="5" t="s">
        <v>713</v>
      </c>
      <c r="H492" s="5" t="s">
        <v>719</v>
      </c>
      <c r="I492" s="25" t="s">
        <v>723</v>
      </c>
      <c r="J492" s="5" t="s">
        <v>174</v>
      </c>
      <c r="K492" s="5" t="s">
        <v>720</v>
      </c>
      <c r="L492" s="21" t="n">
        <v>401</v>
      </c>
      <c r="M492" s="5" t="s">
        <v>218</v>
      </c>
      <c r="N492" s="9"/>
    </row>
    <row r="493" customFormat="false" ht="15" hidden="false" customHeight="false" outlineLevel="0" collapsed="false">
      <c r="A493" s="5" t="n">
        <v>489</v>
      </c>
      <c r="B493" s="5" t="n">
        <v>14</v>
      </c>
      <c r="C493" s="5" t="s">
        <v>42</v>
      </c>
      <c r="D493" s="5" t="s">
        <v>303</v>
      </c>
      <c r="E493" s="33" t="n">
        <v>-18.72758</v>
      </c>
      <c r="F493" s="33" t="n">
        <v>-39.75371</v>
      </c>
      <c r="G493" s="5" t="s">
        <v>713</v>
      </c>
      <c r="H493" s="5" t="s">
        <v>719</v>
      </c>
      <c r="I493" s="25" t="s">
        <v>723</v>
      </c>
      <c r="J493" s="5" t="s">
        <v>174</v>
      </c>
      <c r="K493" s="5" t="s">
        <v>722</v>
      </c>
      <c r="L493" s="21" t="n">
        <v>401</v>
      </c>
      <c r="M493" s="5" t="s">
        <v>218</v>
      </c>
      <c r="N493" s="9"/>
    </row>
    <row r="494" customFormat="false" ht="15" hidden="false" customHeight="false" outlineLevel="0" collapsed="false">
      <c r="A494" s="5" t="n">
        <v>490</v>
      </c>
      <c r="B494" s="5" t="n">
        <v>14</v>
      </c>
      <c r="C494" s="5" t="s">
        <v>42</v>
      </c>
      <c r="D494" s="5" t="s">
        <v>163</v>
      </c>
      <c r="E494" s="33" t="n">
        <v>-18.728324</v>
      </c>
      <c r="F494" s="33" t="n">
        <v>-39.747651</v>
      </c>
      <c r="G494" s="5" t="s">
        <v>713</v>
      </c>
      <c r="H494" s="5" t="s">
        <v>719</v>
      </c>
      <c r="I494" s="25" t="s">
        <v>723</v>
      </c>
      <c r="J494" s="5" t="s">
        <v>174</v>
      </c>
      <c r="K494" s="5" t="s">
        <v>722</v>
      </c>
      <c r="L494" s="21" t="n">
        <v>363.9</v>
      </c>
      <c r="M494" s="5" t="s">
        <v>218</v>
      </c>
      <c r="N494" s="9"/>
    </row>
    <row r="495" customFormat="false" ht="15" hidden="false" customHeight="false" outlineLevel="0" collapsed="false">
      <c r="A495" s="5" t="n">
        <v>491</v>
      </c>
      <c r="B495" s="5" t="n">
        <v>14</v>
      </c>
      <c r="C495" s="5" t="s">
        <v>42</v>
      </c>
      <c r="D495" s="5" t="s">
        <v>163</v>
      </c>
      <c r="E495" s="33" t="n">
        <v>-18.731609</v>
      </c>
      <c r="F495" s="33" t="n">
        <v>-39.747803</v>
      </c>
      <c r="G495" s="5" t="s">
        <v>713</v>
      </c>
      <c r="H495" s="5" t="s">
        <v>719</v>
      </c>
      <c r="I495" s="22" t="s">
        <v>715</v>
      </c>
      <c r="J495" s="5" t="s">
        <v>716</v>
      </c>
      <c r="K495" s="5" t="s">
        <v>720</v>
      </c>
      <c r="L495" s="21" t="n">
        <v>363.9</v>
      </c>
      <c r="M495" s="5" t="s">
        <v>218</v>
      </c>
      <c r="N495" s="9"/>
    </row>
    <row r="496" customFormat="false" ht="15" hidden="false" customHeight="false" outlineLevel="0" collapsed="false">
      <c r="A496" s="5" t="n">
        <v>492</v>
      </c>
      <c r="B496" s="5" t="n">
        <v>14</v>
      </c>
      <c r="C496" s="5" t="s">
        <v>42</v>
      </c>
      <c r="D496" s="5" t="s">
        <v>359</v>
      </c>
      <c r="E496" s="33" t="n">
        <v>-18.731165</v>
      </c>
      <c r="F496" s="33" t="n">
        <v>-39.757445</v>
      </c>
      <c r="G496" s="5" t="s">
        <v>713</v>
      </c>
      <c r="H496" s="5" t="s">
        <v>719</v>
      </c>
      <c r="I496" s="25" t="s">
        <v>723</v>
      </c>
      <c r="J496" s="5" t="s">
        <v>174</v>
      </c>
      <c r="K496" s="5" t="s">
        <v>722</v>
      </c>
      <c r="L496" s="21" t="n">
        <v>311.3</v>
      </c>
      <c r="M496" s="5" t="s">
        <v>218</v>
      </c>
      <c r="N496" s="9"/>
    </row>
    <row r="497" customFormat="false" ht="15" hidden="false" customHeight="false" outlineLevel="0" collapsed="false">
      <c r="A497" s="5" t="n">
        <v>493</v>
      </c>
      <c r="B497" s="5" t="n">
        <v>14</v>
      </c>
      <c r="C497" s="5" t="s">
        <v>42</v>
      </c>
      <c r="D497" s="5" t="s">
        <v>359</v>
      </c>
      <c r="E497" s="33" t="n">
        <v>-18.731399</v>
      </c>
      <c r="F497" s="33" t="n">
        <v>-39.751545</v>
      </c>
      <c r="G497" s="5" t="s">
        <v>713</v>
      </c>
      <c r="H497" s="5" t="s">
        <v>719</v>
      </c>
      <c r="I497" s="25" t="s">
        <v>723</v>
      </c>
      <c r="J497" s="5" t="s">
        <v>174</v>
      </c>
      <c r="K497" s="5" t="s">
        <v>722</v>
      </c>
      <c r="L497" s="21" t="n">
        <v>311.3</v>
      </c>
      <c r="M497" s="5" t="s">
        <v>218</v>
      </c>
      <c r="N497" s="9"/>
    </row>
    <row r="498" customFormat="false" ht="15" hidden="false" customHeight="false" outlineLevel="0" collapsed="false">
      <c r="A498" s="5" t="n">
        <v>494</v>
      </c>
      <c r="B498" s="5" t="n">
        <v>14</v>
      </c>
      <c r="C498" s="5" t="s">
        <v>42</v>
      </c>
      <c r="D498" s="5" t="s">
        <v>360</v>
      </c>
      <c r="E498" s="33" t="n">
        <v>-18.730419</v>
      </c>
      <c r="F498" s="33" t="n">
        <v>-39.759488</v>
      </c>
      <c r="G498" s="5" t="s">
        <v>713</v>
      </c>
      <c r="H498" s="5" t="s">
        <v>719</v>
      </c>
      <c r="I498" s="25" t="s">
        <v>723</v>
      </c>
      <c r="J498" s="5" t="s">
        <v>174</v>
      </c>
      <c r="K498" s="5" t="s">
        <v>722</v>
      </c>
      <c r="L498" s="21" t="n">
        <v>159.8</v>
      </c>
      <c r="M498" s="5" t="s">
        <v>218</v>
      </c>
      <c r="N498" s="9"/>
    </row>
    <row r="499" customFormat="false" ht="15" hidden="false" customHeight="false" outlineLevel="0" collapsed="false">
      <c r="A499" s="5" t="n">
        <v>495</v>
      </c>
      <c r="B499" s="5" t="n">
        <v>14</v>
      </c>
      <c r="C499" s="5" t="s">
        <v>42</v>
      </c>
      <c r="D499" s="5" t="s">
        <v>378</v>
      </c>
      <c r="E499" s="33" t="n">
        <v>-18.729823</v>
      </c>
      <c r="F499" s="33" t="n">
        <v>-39.749767</v>
      </c>
      <c r="G499" s="5" t="s">
        <v>713</v>
      </c>
      <c r="H499" s="5" t="s">
        <v>719</v>
      </c>
      <c r="I499" s="25" t="s">
        <v>723</v>
      </c>
      <c r="J499" s="5" t="s">
        <v>174</v>
      </c>
      <c r="K499" s="5" t="s">
        <v>722</v>
      </c>
      <c r="L499" s="21" t="n">
        <v>429.9</v>
      </c>
      <c r="M499" s="5" t="s">
        <v>218</v>
      </c>
      <c r="N499" s="9"/>
    </row>
    <row r="500" customFormat="false" ht="15" hidden="false" customHeight="false" outlineLevel="0" collapsed="false">
      <c r="A500" s="5" t="n">
        <v>496</v>
      </c>
      <c r="B500" s="5" t="n">
        <v>14</v>
      </c>
      <c r="C500" s="5" t="s">
        <v>42</v>
      </c>
      <c r="D500" s="5" t="s">
        <v>378</v>
      </c>
      <c r="E500" s="33" t="n">
        <v>-18.729676</v>
      </c>
      <c r="F500" s="33" t="n">
        <v>-39.753841</v>
      </c>
      <c r="G500" s="5" t="s">
        <v>713</v>
      </c>
      <c r="H500" s="5" t="s">
        <v>719</v>
      </c>
      <c r="I500" s="25" t="s">
        <v>723</v>
      </c>
      <c r="J500" s="5" t="s">
        <v>174</v>
      </c>
      <c r="K500" s="5" t="s">
        <v>722</v>
      </c>
      <c r="L500" s="21" t="n">
        <v>429.9</v>
      </c>
      <c r="M500" s="5" t="s">
        <v>218</v>
      </c>
      <c r="N500" s="9"/>
    </row>
    <row r="501" customFormat="false" ht="15" hidden="false" customHeight="false" outlineLevel="0" collapsed="false">
      <c r="A501" s="5" t="n">
        <v>497</v>
      </c>
      <c r="B501" s="5" t="n">
        <v>14</v>
      </c>
      <c r="C501" s="5" t="s">
        <v>42</v>
      </c>
      <c r="D501" s="5" t="s">
        <v>357</v>
      </c>
      <c r="E501" s="33" t="n">
        <v>-18.729657</v>
      </c>
      <c r="F501" s="33" t="n">
        <v>-39.768862</v>
      </c>
      <c r="G501" s="5" t="s">
        <v>713</v>
      </c>
      <c r="H501" s="5" t="s">
        <v>719</v>
      </c>
      <c r="I501" s="25" t="s">
        <v>721</v>
      </c>
      <c r="J501" s="5" t="s">
        <v>174</v>
      </c>
      <c r="K501" s="5" t="s">
        <v>720</v>
      </c>
      <c r="L501" s="21" t="n">
        <v>73.5</v>
      </c>
      <c r="M501" s="5" t="s">
        <v>218</v>
      </c>
      <c r="N501" s="9"/>
    </row>
    <row r="502" customFormat="false" ht="15" hidden="false" customHeight="false" outlineLevel="0" collapsed="false">
      <c r="A502" s="5" t="n">
        <v>498</v>
      </c>
      <c r="B502" s="5" t="n">
        <v>14</v>
      </c>
      <c r="C502" s="5" t="s">
        <v>42</v>
      </c>
      <c r="D502" s="5" t="s">
        <v>316</v>
      </c>
      <c r="E502" s="33" t="n">
        <v>-18.73221</v>
      </c>
      <c r="F502" s="33" t="n">
        <v>-39.752722</v>
      </c>
      <c r="G502" s="5" t="s">
        <v>713</v>
      </c>
      <c r="H502" s="5" t="s">
        <v>719</v>
      </c>
      <c r="I502" s="25" t="s">
        <v>723</v>
      </c>
      <c r="J502" s="5" t="s">
        <v>174</v>
      </c>
      <c r="K502" s="5" t="s">
        <v>720</v>
      </c>
      <c r="L502" s="21" t="n">
        <v>188.1</v>
      </c>
      <c r="M502" s="5" t="s">
        <v>218</v>
      </c>
      <c r="N502" s="9"/>
    </row>
    <row r="503" customFormat="false" ht="15" hidden="false" customHeight="false" outlineLevel="0" collapsed="false">
      <c r="A503" s="5" t="n">
        <v>499</v>
      </c>
      <c r="B503" s="5" t="n">
        <v>14</v>
      </c>
      <c r="C503" s="5" t="s">
        <v>42</v>
      </c>
      <c r="D503" s="5" t="s">
        <v>281</v>
      </c>
      <c r="E503" s="33" t="n">
        <v>-18.732982</v>
      </c>
      <c r="F503" s="33" t="n">
        <v>-39.752716</v>
      </c>
      <c r="G503" s="5" t="s">
        <v>713</v>
      </c>
      <c r="H503" s="5" t="s">
        <v>714</v>
      </c>
      <c r="I503" s="22" t="s">
        <v>715</v>
      </c>
      <c r="J503" s="5" t="s">
        <v>716</v>
      </c>
      <c r="K503" s="5" t="s">
        <v>720</v>
      </c>
      <c r="L503" s="21" t="n">
        <v>356</v>
      </c>
      <c r="M503" s="5" t="s">
        <v>218</v>
      </c>
      <c r="N503" s="9" t="s">
        <v>829</v>
      </c>
    </row>
    <row r="504" customFormat="false" ht="15" hidden="false" customHeight="false" outlineLevel="0" collapsed="false">
      <c r="A504" s="5" t="n">
        <v>500</v>
      </c>
      <c r="B504" s="5" t="n">
        <v>14</v>
      </c>
      <c r="C504" s="5" t="s">
        <v>42</v>
      </c>
      <c r="D504" s="5" t="s">
        <v>281</v>
      </c>
      <c r="E504" s="33" t="n">
        <v>-18.732857</v>
      </c>
      <c r="F504" s="33" t="n">
        <v>-39.75609</v>
      </c>
      <c r="G504" s="5" t="s">
        <v>713</v>
      </c>
      <c r="H504" s="5" t="s">
        <v>714</v>
      </c>
      <c r="I504" s="22" t="s">
        <v>715</v>
      </c>
      <c r="J504" s="5" t="s">
        <v>716</v>
      </c>
      <c r="K504" s="5" t="s">
        <v>720</v>
      </c>
      <c r="L504" s="21" t="n">
        <v>356</v>
      </c>
      <c r="M504" s="5" t="s">
        <v>218</v>
      </c>
      <c r="N504" s="9" t="s">
        <v>840</v>
      </c>
    </row>
    <row r="505" customFormat="false" ht="15" hidden="false" customHeight="false" outlineLevel="0" collapsed="false">
      <c r="A505" s="5" t="n">
        <v>501</v>
      </c>
      <c r="B505" s="5" t="n">
        <v>14</v>
      </c>
      <c r="C505" s="5" t="s">
        <v>42</v>
      </c>
      <c r="D505" s="5" t="s">
        <v>281</v>
      </c>
      <c r="E505" s="33" t="n">
        <v>-18.733141</v>
      </c>
      <c r="F505" s="33" t="n">
        <v>-39.749085</v>
      </c>
      <c r="G505" s="5" t="s">
        <v>713</v>
      </c>
      <c r="H505" s="5" t="s">
        <v>714</v>
      </c>
      <c r="I505" s="22" t="s">
        <v>715</v>
      </c>
      <c r="J505" s="5" t="s">
        <v>716</v>
      </c>
      <c r="K505" s="5" t="s">
        <v>720</v>
      </c>
      <c r="L505" s="21" t="n">
        <v>380.9</v>
      </c>
      <c r="M505" s="5" t="s">
        <v>218</v>
      </c>
      <c r="N505" s="9" t="s">
        <v>841</v>
      </c>
    </row>
    <row r="506" customFormat="false" ht="15" hidden="false" customHeight="false" outlineLevel="0" collapsed="false">
      <c r="A506" s="5" t="n">
        <v>502</v>
      </c>
      <c r="B506" s="5" t="n">
        <v>14</v>
      </c>
      <c r="C506" s="5" t="s">
        <v>42</v>
      </c>
      <c r="D506" s="5" t="s">
        <v>187</v>
      </c>
      <c r="E506" s="33" t="n">
        <v>-18.729373</v>
      </c>
      <c r="F506" s="33" t="n">
        <v>-39.750822</v>
      </c>
      <c r="G506" s="5" t="s">
        <v>713</v>
      </c>
      <c r="H506" s="5" t="s">
        <v>714</v>
      </c>
      <c r="I506" s="22" t="s">
        <v>715</v>
      </c>
      <c r="J506" s="5" t="s">
        <v>716</v>
      </c>
      <c r="K506" s="5" t="s">
        <v>722</v>
      </c>
      <c r="L506" s="21" t="n">
        <v>268.6</v>
      </c>
      <c r="M506" s="5" t="s">
        <v>218</v>
      </c>
      <c r="N506" s="9" t="s">
        <v>842</v>
      </c>
    </row>
    <row r="507" customFormat="false" ht="15" hidden="false" customHeight="false" outlineLevel="0" collapsed="false">
      <c r="A507" s="5" t="n">
        <v>503</v>
      </c>
      <c r="B507" s="5" t="n">
        <v>14</v>
      </c>
      <c r="C507" s="5" t="s">
        <v>42</v>
      </c>
      <c r="D507" s="5" t="s">
        <v>187</v>
      </c>
      <c r="E507" s="33" t="n">
        <v>-18.731798</v>
      </c>
      <c r="F507" s="33" t="n">
        <v>-39.750939</v>
      </c>
      <c r="G507" s="5" t="s">
        <v>713</v>
      </c>
      <c r="H507" s="5" t="s">
        <v>714</v>
      </c>
      <c r="I507" s="25" t="s">
        <v>723</v>
      </c>
      <c r="J507" s="5" t="s">
        <v>174</v>
      </c>
      <c r="K507" s="5" t="s">
        <v>720</v>
      </c>
      <c r="L507" s="21" t="n">
        <v>268.6</v>
      </c>
      <c r="M507" s="5" t="s">
        <v>218</v>
      </c>
      <c r="N507" s="9" t="s">
        <v>718</v>
      </c>
    </row>
    <row r="508" customFormat="false" ht="15" hidden="false" customHeight="false" outlineLevel="0" collapsed="false">
      <c r="A508" s="5" t="n">
        <v>504</v>
      </c>
      <c r="B508" s="5" t="n">
        <v>10</v>
      </c>
      <c r="C508" s="5" t="s">
        <v>34</v>
      </c>
      <c r="D508" s="5" t="s">
        <v>275</v>
      </c>
      <c r="E508" s="33" t="n">
        <v>-18.734702</v>
      </c>
      <c r="F508" s="33" t="n">
        <v>-39.756019</v>
      </c>
      <c r="G508" s="5" t="s">
        <v>713</v>
      </c>
      <c r="H508" s="5" t="s">
        <v>719</v>
      </c>
      <c r="I508" s="25" t="s">
        <v>723</v>
      </c>
      <c r="J508" s="5" t="s">
        <v>174</v>
      </c>
      <c r="K508" s="5" t="s">
        <v>720</v>
      </c>
      <c r="L508" s="21" t="n">
        <v>370.6</v>
      </c>
      <c r="M508" s="5" t="s">
        <v>218</v>
      </c>
      <c r="N508" s="9"/>
    </row>
    <row r="509" customFormat="false" ht="15" hidden="false" customHeight="false" outlineLevel="0" collapsed="false">
      <c r="A509" s="5" t="n">
        <v>505</v>
      </c>
      <c r="B509" s="5" t="n">
        <v>10</v>
      </c>
      <c r="C509" s="5" t="s">
        <v>34</v>
      </c>
      <c r="D509" s="5" t="s">
        <v>275</v>
      </c>
      <c r="E509" s="33" t="n">
        <v>-18.734842</v>
      </c>
      <c r="F509" s="33" t="n">
        <v>-39.752507</v>
      </c>
      <c r="G509" s="5" t="s">
        <v>713</v>
      </c>
      <c r="H509" s="5" t="s">
        <v>719</v>
      </c>
      <c r="I509" s="25" t="s">
        <v>723</v>
      </c>
      <c r="J509" s="5" t="s">
        <v>174</v>
      </c>
      <c r="K509" s="5" t="s">
        <v>722</v>
      </c>
      <c r="L509" s="21" t="n">
        <v>370.6</v>
      </c>
      <c r="M509" s="5" t="s">
        <v>218</v>
      </c>
      <c r="N509" s="9"/>
    </row>
    <row r="510" customFormat="false" ht="15" hidden="false" customHeight="false" outlineLevel="0" collapsed="false">
      <c r="A510" s="5" t="n">
        <v>506</v>
      </c>
      <c r="B510" s="5" t="n">
        <v>10</v>
      </c>
      <c r="C510" s="5" t="s">
        <v>34</v>
      </c>
      <c r="D510" s="5" t="s">
        <v>275</v>
      </c>
      <c r="E510" s="33" t="n">
        <v>-18.734988</v>
      </c>
      <c r="F510" s="33" t="n">
        <v>-39.748996</v>
      </c>
      <c r="G510" s="5" t="s">
        <v>713</v>
      </c>
      <c r="H510" s="5" t="s">
        <v>731</v>
      </c>
      <c r="I510" s="25" t="s">
        <v>723</v>
      </c>
      <c r="J510" s="5" t="s">
        <v>174</v>
      </c>
      <c r="K510" s="5" t="s">
        <v>720</v>
      </c>
      <c r="L510" s="21" t="n">
        <v>370.6</v>
      </c>
      <c r="M510" s="5" t="s">
        <v>218</v>
      </c>
      <c r="N510" s="9"/>
    </row>
    <row r="511" customFormat="false" ht="15" hidden="false" customHeight="false" outlineLevel="0" collapsed="false">
      <c r="A511" s="5" t="n">
        <v>507</v>
      </c>
      <c r="B511" s="5" t="n">
        <v>10</v>
      </c>
      <c r="C511" s="5" t="s">
        <v>34</v>
      </c>
      <c r="D511" s="5" t="s">
        <v>278</v>
      </c>
      <c r="E511" s="33" t="n">
        <v>-18.736279</v>
      </c>
      <c r="F511" s="33" t="n">
        <v>-39.758214</v>
      </c>
      <c r="G511" s="5" t="s">
        <v>713</v>
      </c>
      <c r="H511" s="5" t="s">
        <v>719</v>
      </c>
      <c r="I511" s="25" t="s">
        <v>723</v>
      </c>
      <c r="J511" s="5" t="s">
        <v>174</v>
      </c>
      <c r="K511" s="5" t="s">
        <v>722</v>
      </c>
      <c r="L511" s="21" t="n">
        <v>499.2</v>
      </c>
      <c r="M511" s="5" t="s">
        <v>218</v>
      </c>
      <c r="N511" s="9"/>
    </row>
    <row r="512" customFormat="false" ht="15" hidden="false" customHeight="false" outlineLevel="0" collapsed="false">
      <c r="A512" s="5" t="n">
        <v>508</v>
      </c>
      <c r="B512" s="5" t="n">
        <v>10</v>
      </c>
      <c r="C512" s="5" t="s">
        <v>34</v>
      </c>
      <c r="D512" s="5" t="s">
        <v>278</v>
      </c>
      <c r="E512" s="33" t="n">
        <v>-18.736424</v>
      </c>
      <c r="F512" s="33" t="n">
        <v>-39.754263</v>
      </c>
      <c r="G512" s="5" t="s">
        <v>713</v>
      </c>
      <c r="H512" s="5" t="s">
        <v>719</v>
      </c>
      <c r="I512" s="25" t="s">
        <v>723</v>
      </c>
      <c r="J512" s="5" t="s">
        <v>174</v>
      </c>
      <c r="K512" s="5" t="s">
        <v>720</v>
      </c>
      <c r="L512" s="21" t="n">
        <v>292.6</v>
      </c>
      <c r="M512" s="5" t="s">
        <v>218</v>
      </c>
      <c r="N512" s="9"/>
    </row>
    <row r="513" customFormat="false" ht="15" hidden="false" customHeight="false" outlineLevel="0" collapsed="false">
      <c r="A513" s="5" t="n">
        <v>509</v>
      </c>
      <c r="B513" s="5" t="n">
        <v>10</v>
      </c>
      <c r="C513" s="5" t="s">
        <v>34</v>
      </c>
      <c r="D513" s="5" t="s">
        <v>278</v>
      </c>
      <c r="E513" s="33" t="n">
        <v>-18.736538</v>
      </c>
      <c r="F513" s="33" t="n">
        <v>-39.75149</v>
      </c>
      <c r="G513" s="5" t="s">
        <v>713</v>
      </c>
      <c r="H513" s="5" t="s">
        <v>719</v>
      </c>
      <c r="I513" s="22" t="s">
        <v>715</v>
      </c>
      <c r="J513" s="5" t="s">
        <v>716</v>
      </c>
      <c r="K513" s="5" t="s">
        <v>720</v>
      </c>
      <c r="L513" s="21" t="n">
        <v>292.6</v>
      </c>
      <c r="M513" s="5" t="s">
        <v>218</v>
      </c>
      <c r="N513" s="9" t="s">
        <v>843</v>
      </c>
    </row>
    <row r="514" customFormat="false" ht="15" hidden="false" customHeight="false" outlineLevel="0" collapsed="false">
      <c r="A514" s="5" t="n">
        <v>510</v>
      </c>
      <c r="B514" s="5" t="n">
        <v>10</v>
      </c>
      <c r="C514" s="5" t="s">
        <v>34</v>
      </c>
      <c r="D514" s="5" t="s">
        <v>278</v>
      </c>
      <c r="E514" s="33" t="n">
        <v>-18.73664</v>
      </c>
      <c r="F514" s="33" t="n">
        <v>-39.748717</v>
      </c>
      <c r="G514" s="5" t="s">
        <v>713</v>
      </c>
      <c r="H514" s="5" t="s">
        <v>719</v>
      </c>
      <c r="I514" s="22" t="s">
        <v>715</v>
      </c>
      <c r="J514" s="5" t="s">
        <v>716</v>
      </c>
      <c r="K514" s="5" t="s">
        <v>720</v>
      </c>
      <c r="L514" s="21" t="n">
        <v>292.6</v>
      </c>
      <c r="M514" s="5" t="s">
        <v>218</v>
      </c>
      <c r="N514" s="9"/>
    </row>
    <row r="515" customFormat="false" ht="15" hidden="false" customHeight="false" outlineLevel="0" collapsed="false">
      <c r="A515" s="5" t="n">
        <v>511</v>
      </c>
      <c r="B515" s="5" t="n">
        <v>10</v>
      </c>
      <c r="C515" s="5" t="s">
        <v>34</v>
      </c>
      <c r="D515" s="5" t="s">
        <v>284</v>
      </c>
      <c r="E515" s="33" t="n">
        <v>-18.736987</v>
      </c>
      <c r="F515" s="33" t="n">
        <v>-39.757054</v>
      </c>
      <c r="G515" s="5" t="s">
        <v>713</v>
      </c>
      <c r="H515" s="5" t="s">
        <v>719</v>
      </c>
      <c r="I515" s="25" t="s">
        <v>723</v>
      </c>
      <c r="J515" s="5" t="s">
        <v>174</v>
      </c>
      <c r="K515" s="5" t="s">
        <v>720</v>
      </c>
      <c r="L515" s="21" t="n">
        <v>306.9</v>
      </c>
      <c r="M515" s="5" t="s">
        <v>218</v>
      </c>
      <c r="N515" s="9"/>
    </row>
    <row r="516" customFormat="false" ht="15" hidden="false" customHeight="false" outlineLevel="0" collapsed="false">
      <c r="A516" s="5" t="n">
        <v>512</v>
      </c>
      <c r="B516" s="5" t="n">
        <v>10</v>
      </c>
      <c r="C516" s="5" t="s">
        <v>34</v>
      </c>
      <c r="D516" s="5" t="s">
        <v>284</v>
      </c>
      <c r="E516" s="33" t="n">
        <v>-18.734216</v>
      </c>
      <c r="F516" s="33" t="n">
        <v>-39.756931</v>
      </c>
      <c r="G516" s="5" t="s">
        <v>713</v>
      </c>
      <c r="H516" s="5" t="s">
        <v>719</v>
      </c>
      <c r="I516" s="25" t="s">
        <v>723</v>
      </c>
      <c r="J516" s="5" t="s">
        <v>174</v>
      </c>
      <c r="K516" s="5" t="s">
        <v>722</v>
      </c>
      <c r="L516" s="21" t="n">
        <v>306.9</v>
      </c>
      <c r="M516" s="5" t="s">
        <v>218</v>
      </c>
      <c r="N516" s="9"/>
    </row>
    <row r="517" customFormat="false" ht="15" hidden="false" customHeight="false" outlineLevel="0" collapsed="false">
      <c r="A517" s="5" t="n">
        <v>513</v>
      </c>
      <c r="B517" s="5" t="n">
        <v>10</v>
      </c>
      <c r="C517" s="5" t="s">
        <v>34</v>
      </c>
      <c r="D517" s="5" t="s">
        <v>286</v>
      </c>
      <c r="E517" s="33" t="n">
        <v>-18.734191</v>
      </c>
      <c r="F517" s="33" t="n">
        <v>-39.75576</v>
      </c>
      <c r="G517" s="5" t="s">
        <v>713</v>
      </c>
      <c r="H517" s="5" t="s">
        <v>719</v>
      </c>
      <c r="I517" s="25" t="s">
        <v>723</v>
      </c>
      <c r="J517" s="5" t="s">
        <v>174</v>
      </c>
      <c r="K517" s="5" t="s">
        <v>722</v>
      </c>
      <c r="L517" s="21" t="n">
        <v>308.7</v>
      </c>
      <c r="M517" s="5" t="s">
        <v>218</v>
      </c>
      <c r="N517" s="9"/>
    </row>
    <row r="518" customFormat="false" ht="15" hidden="false" customHeight="false" outlineLevel="0" collapsed="false">
      <c r="A518" s="5" t="n">
        <v>514</v>
      </c>
      <c r="B518" s="5" t="n">
        <v>10</v>
      </c>
      <c r="C518" s="5" t="s">
        <v>34</v>
      </c>
      <c r="D518" s="5" t="s">
        <v>286</v>
      </c>
      <c r="E518" s="33" t="n">
        <v>-18.736978</v>
      </c>
      <c r="F518" s="33" t="n">
        <v>-39.755875</v>
      </c>
      <c r="G518" s="5" t="s">
        <v>713</v>
      </c>
      <c r="H518" s="5" t="s">
        <v>719</v>
      </c>
      <c r="I518" s="25" t="s">
        <v>723</v>
      </c>
      <c r="J518" s="5" t="s">
        <v>174</v>
      </c>
      <c r="K518" s="5" t="s">
        <v>722</v>
      </c>
      <c r="L518" s="21" t="n">
        <v>308.7</v>
      </c>
      <c r="M518" s="5" t="s">
        <v>218</v>
      </c>
      <c r="N518" s="9"/>
    </row>
    <row r="519" customFormat="false" ht="15" hidden="false" customHeight="false" outlineLevel="0" collapsed="false">
      <c r="A519" s="5" t="n">
        <v>515</v>
      </c>
      <c r="B519" s="5" t="n">
        <v>10</v>
      </c>
      <c r="C519" s="5" t="s">
        <v>34</v>
      </c>
      <c r="D519" s="5" t="s">
        <v>168</v>
      </c>
      <c r="E519" s="33" t="n">
        <v>-18.73421</v>
      </c>
      <c r="F519" s="33" t="n">
        <v>-39.757513</v>
      </c>
      <c r="G519" s="5" t="s">
        <v>713</v>
      </c>
      <c r="H519" s="5" t="s">
        <v>719</v>
      </c>
      <c r="I519" s="25" t="s">
        <v>721</v>
      </c>
      <c r="J519" s="5" t="s">
        <v>174</v>
      </c>
      <c r="K519" s="5" t="s">
        <v>720</v>
      </c>
      <c r="L519" s="21" t="n">
        <v>312.3</v>
      </c>
      <c r="M519" s="5" t="s">
        <v>218</v>
      </c>
      <c r="N519" s="9"/>
    </row>
    <row r="520" customFormat="false" ht="15" hidden="false" customHeight="false" outlineLevel="0" collapsed="false">
      <c r="A520" s="5" t="n">
        <v>516</v>
      </c>
      <c r="B520" s="5" t="n">
        <v>10</v>
      </c>
      <c r="C520" s="5" t="s">
        <v>34</v>
      </c>
      <c r="D520" s="5" t="s">
        <v>149</v>
      </c>
      <c r="E520" s="33" t="n">
        <v>-18.738236</v>
      </c>
      <c r="F520" s="33" t="n">
        <v>-39.75121</v>
      </c>
      <c r="G520" s="5" t="s">
        <v>713</v>
      </c>
      <c r="H520" s="5" t="s">
        <v>714</v>
      </c>
      <c r="I520" s="22" t="s">
        <v>725</v>
      </c>
      <c r="J520" s="5" t="s">
        <v>716</v>
      </c>
      <c r="K520" s="5" t="s">
        <v>717</v>
      </c>
      <c r="L520" s="21" t="n">
        <v>30.2</v>
      </c>
      <c r="M520" s="5" t="s">
        <v>218</v>
      </c>
      <c r="N520" s="9" t="s">
        <v>718</v>
      </c>
    </row>
    <row r="521" customFormat="false" ht="15" hidden="false" customHeight="false" outlineLevel="0" collapsed="false">
      <c r="A521" s="5" t="n">
        <v>517</v>
      </c>
      <c r="B521" s="5" t="n">
        <v>10</v>
      </c>
      <c r="C521" s="5" t="s">
        <v>34</v>
      </c>
      <c r="D521" s="5" t="s">
        <v>290</v>
      </c>
      <c r="E521" s="33" t="n">
        <v>-18.734208</v>
      </c>
      <c r="F521" s="33" t="n">
        <v>-39.75517</v>
      </c>
      <c r="G521" s="5" t="s">
        <v>713</v>
      </c>
      <c r="H521" s="5" t="s">
        <v>719</v>
      </c>
      <c r="I521" s="25" t="s">
        <v>721</v>
      </c>
      <c r="J521" s="5" t="s">
        <v>174</v>
      </c>
      <c r="K521" s="5" t="s">
        <v>720</v>
      </c>
      <c r="L521" s="21" t="n">
        <v>307.5</v>
      </c>
      <c r="M521" s="5" t="s">
        <v>218</v>
      </c>
      <c r="N521" s="9"/>
    </row>
    <row r="522" customFormat="false" ht="15" hidden="false" customHeight="false" outlineLevel="0" collapsed="false">
      <c r="A522" s="5" t="n">
        <v>518</v>
      </c>
      <c r="B522" s="5" t="n">
        <v>10</v>
      </c>
      <c r="C522" s="5" t="s">
        <v>34</v>
      </c>
      <c r="D522" s="5" t="s">
        <v>290</v>
      </c>
      <c r="E522" s="33" t="n">
        <v>-18.736984</v>
      </c>
      <c r="F522" s="33" t="n">
        <v>-39.755302</v>
      </c>
      <c r="G522" s="5" t="s">
        <v>713</v>
      </c>
      <c r="H522" s="5" t="s">
        <v>719</v>
      </c>
      <c r="I522" s="25" t="s">
        <v>721</v>
      </c>
      <c r="J522" s="5" t="s">
        <v>174</v>
      </c>
      <c r="K522" s="5" t="s">
        <v>722</v>
      </c>
      <c r="L522" s="21" t="n">
        <v>307.5</v>
      </c>
      <c r="M522" s="5" t="s">
        <v>218</v>
      </c>
      <c r="N522" s="9"/>
    </row>
    <row r="523" customFormat="false" ht="15" hidden="false" customHeight="false" outlineLevel="0" collapsed="false">
      <c r="A523" s="5" t="n">
        <v>519</v>
      </c>
      <c r="B523" s="5" t="n">
        <v>10</v>
      </c>
      <c r="C523" s="5" t="s">
        <v>34</v>
      </c>
      <c r="D523" s="5" t="s">
        <v>292</v>
      </c>
      <c r="E523" s="33" t="n">
        <v>-18.737366</v>
      </c>
      <c r="F523" s="33" t="n">
        <v>-39.756481</v>
      </c>
      <c r="G523" s="5" t="s">
        <v>713</v>
      </c>
      <c r="H523" s="5" t="s">
        <v>719</v>
      </c>
      <c r="I523" s="25" t="s">
        <v>721</v>
      </c>
      <c r="J523" s="5" t="s">
        <v>174</v>
      </c>
      <c r="K523" s="5" t="s">
        <v>722</v>
      </c>
      <c r="L523" s="21" t="n">
        <v>222.9</v>
      </c>
      <c r="M523" s="5" t="s">
        <v>218</v>
      </c>
      <c r="N523" s="9"/>
    </row>
    <row r="524" customFormat="false" ht="15" hidden="false" customHeight="false" outlineLevel="0" collapsed="false">
      <c r="A524" s="5" t="n">
        <v>520</v>
      </c>
      <c r="B524" s="5" t="n">
        <v>10</v>
      </c>
      <c r="C524" s="5" t="s">
        <v>34</v>
      </c>
      <c r="D524" s="5" t="s">
        <v>292</v>
      </c>
      <c r="E524" s="33" t="n">
        <v>-18.734422</v>
      </c>
      <c r="F524" s="33" t="n">
        <v>-39.756358</v>
      </c>
      <c r="G524" s="5" t="s">
        <v>713</v>
      </c>
      <c r="H524" s="5" t="s">
        <v>719</v>
      </c>
      <c r="I524" s="25" t="s">
        <v>721</v>
      </c>
      <c r="J524" s="5" t="s">
        <v>174</v>
      </c>
      <c r="K524" s="5" t="s">
        <v>720</v>
      </c>
      <c r="L524" s="21" t="n">
        <v>365.1</v>
      </c>
      <c r="M524" s="5" t="s">
        <v>218</v>
      </c>
      <c r="N524" s="9"/>
    </row>
    <row r="525" customFormat="false" ht="15" hidden="false" customHeight="false" outlineLevel="0" collapsed="false">
      <c r="A525" s="5" t="n">
        <v>521</v>
      </c>
      <c r="B525" s="5" t="n">
        <v>10</v>
      </c>
      <c r="C525" s="5" t="s">
        <v>34</v>
      </c>
      <c r="D525" s="5" t="s">
        <v>293</v>
      </c>
      <c r="E525" s="33" t="n">
        <v>-18.73675</v>
      </c>
      <c r="F525" s="33" t="n">
        <v>-39.758217</v>
      </c>
      <c r="G525" s="5" t="s">
        <v>713</v>
      </c>
      <c r="H525" s="5" t="s">
        <v>719</v>
      </c>
      <c r="I525" s="25" t="s">
        <v>721</v>
      </c>
      <c r="J525" s="5" t="s">
        <v>174</v>
      </c>
      <c r="K525" s="5" t="s">
        <v>717</v>
      </c>
      <c r="L525" s="21" t="n">
        <v>359.3</v>
      </c>
      <c r="M525" s="5" t="s">
        <v>218</v>
      </c>
      <c r="N525" s="9"/>
    </row>
    <row r="526" customFormat="false" ht="15" hidden="false" customHeight="false" outlineLevel="0" collapsed="false">
      <c r="A526" s="5" t="n">
        <v>522</v>
      </c>
      <c r="B526" s="5" t="n">
        <v>10</v>
      </c>
      <c r="C526" s="5" t="s">
        <v>34</v>
      </c>
      <c r="D526" s="5" t="s">
        <v>294</v>
      </c>
      <c r="E526" s="33" t="n">
        <v>-18.737571</v>
      </c>
      <c r="F526" s="33" t="n">
        <v>-39.754723</v>
      </c>
      <c r="G526" s="5" t="s">
        <v>713</v>
      </c>
      <c r="H526" s="5" t="s">
        <v>719</v>
      </c>
      <c r="I526" s="25" t="s">
        <v>721</v>
      </c>
      <c r="J526" s="5" t="s">
        <v>174</v>
      </c>
      <c r="K526" s="5" t="s">
        <v>720</v>
      </c>
      <c r="L526" s="21" t="n">
        <v>177.5</v>
      </c>
      <c r="M526" s="5" t="s">
        <v>218</v>
      </c>
      <c r="N526" s="9"/>
    </row>
    <row r="527" customFormat="false" ht="15" hidden="false" customHeight="false" outlineLevel="0" collapsed="false">
      <c r="A527" s="5" t="n">
        <v>523</v>
      </c>
      <c r="B527" s="5" t="n">
        <v>10</v>
      </c>
      <c r="C527" s="5" t="s">
        <v>34</v>
      </c>
      <c r="D527" s="5" t="s">
        <v>294</v>
      </c>
      <c r="E527" s="33" t="n">
        <v>-18.734627</v>
      </c>
      <c r="F527" s="33" t="n">
        <v>-39.754604</v>
      </c>
      <c r="G527" s="5" t="s">
        <v>713</v>
      </c>
      <c r="H527" s="5" t="s">
        <v>719</v>
      </c>
      <c r="I527" s="25" t="s">
        <v>721</v>
      </c>
      <c r="J527" s="5" t="s">
        <v>174</v>
      </c>
      <c r="K527" s="5" t="s">
        <v>720</v>
      </c>
      <c r="L527" s="21" t="n">
        <v>395</v>
      </c>
      <c r="M527" s="5" t="s">
        <v>218</v>
      </c>
      <c r="N527" s="9"/>
    </row>
    <row r="528" customFormat="false" ht="15" hidden="false" customHeight="false" outlineLevel="0" collapsed="false">
      <c r="A528" s="5" t="n">
        <v>524</v>
      </c>
      <c r="B528" s="5" t="n">
        <v>10</v>
      </c>
      <c r="C528" s="5" t="s">
        <v>34</v>
      </c>
      <c r="D528" s="5" t="s">
        <v>295</v>
      </c>
      <c r="E528" s="33" t="n">
        <v>-18.734314</v>
      </c>
      <c r="F528" s="33" t="n">
        <v>-39.751653</v>
      </c>
      <c r="G528" s="5" t="s">
        <v>713</v>
      </c>
      <c r="H528" s="5" t="s">
        <v>719</v>
      </c>
      <c r="I528" s="25" t="s">
        <v>721</v>
      </c>
      <c r="J528" s="5" t="s">
        <v>174</v>
      </c>
      <c r="K528" s="5" t="s">
        <v>720</v>
      </c>
      <c r="L528" s="21" t="n">
        <v>299.6</v>
      </c>
      <c r="M528" s="5" t="s">
        <v>218</v>
      </c>
      <c r="N528" s="9"/>
    </row>
    <row r="529" customFormat="false" ht="15" hidden="false" customHeight="false" outlineLevel="0" collapsed="false">
      <c r="A529" s="5" t="n">
        <v>525</v>
      </c>
      <c r="B529" s="5" t="n">
        <v>10</v>
      </c>
      <c r="C529" s="5" t="s">
        <v>34</v>
      </c>
      <c r="D529" s="5" t="s">
        <v>295</v>
      </c>
      <c r="E529" s="33" t="n">
        <v>-18.737019</v>
      </c>
      <c r="F529" s="33" t="n">
        <v>-39.751758</v>
      </c>
      <c r="G529" s="5" t="s">
        <v>713</v>
      </c>
      <c r="H529" s="5" t="s">
        <v>719</v>
      </c>
      <c r="I529" s="22" t="s">
        <v>715</v>
      </c>
      <c r="J529" s="5" t="s">
        <v>716</v>
      </c>
      <c r="K529" s="5" t="s">
        <v>717</v>
      </c>
      <c r="L529" s="21" t="n">
        <v>299.6</v>
      </c>
      <c r="M529" s="5" t="s">
        <v>218</v>
      </c>
      <c r="N529" s="9"/>
    </row>
    <row r="530" customFormat="false" ht="15" hidden="false" customHeight="false" outlineLevel="0" collapsed="false">
      <c r="A530" s="5" t="n">
        <v>526</v>
      </c>
      <c r="B530" s="5" t="n">
        <v>10</v>
      </c>
      <c r="C530" s="5" t="s">
        <v>34</v>
      </c>
      <c r="D530" s="5" t="s">
        <v>297</v>
      </c>
      <c r="E530" s="33" t="n">
        <v>-18.737911</v>
      </c>
      <c r="F530" s="33" t="n">
        <v>-39.752981</v>
      </c>
      <c r="G530" s="5" t="s">
        <v>713</v>
      </c>
      <c r="H530" s="5" t="s">
        <v>719</v>
      </c>
      <c r="I530" s="22" t="s">
        <v>715</v>
      </c>
      <c r="J530" s="5" t="s">
        <v>716</v>
      </c>
      <c r="K530" s="5" t="s">
        <v>720</v>
      </c>
      <c r="L530" s="21" t="n">
        <v>102.2</v>
      </c>
      <c r="M530" s="5" t="s">
        <v>218</v>
      </c>
      <c r="N530" s="9"/>
    </row>
    <row r="531" customFormat="false" ht="15" hidden="false" customHeight="false" outlineLevel="0" collapsed="false">
      <c r="A531" s="5" t="n">
        <v>527</v>
      </c>
      <c r="B531" s="5" t="n">
        <v>10</v>
      </c>
      <c r="C531" s="5" t="s">
        <v>34</v>
      </c>
      <c r="D531" s="5" t="s">
        <v>299</v>
      </c>
      <c r="E531" s="33" t="n">
        <v>-18.73675</v>
      </c>
      <c r="F531" s="33" t="n">
        <v>-39.759392</v>
      </c>
      <c r="G531" s="5" t="s">
        <v>713</v>
      </c>
      <c r="H531" s="5" t="s">
        <v>719</v>
      </c>
      <c r="I531" s="25" t="s">
        <v>721</v>
      </c>
      <c r="J531" s="5" t="s">
        <v>174</v>
      </c>
      <c r="K531" s="5" t="s">
        <v>720</v>
      </c>
      <c r="L531" s="21" t="n">
        <v>359.4</v>
      </c>
      <c r="M531" s="5" t="s">
        <v>218</v>
      </c>
      <c r="N531" s="9"/>
    </row>
    <row r="532" customFormat="false" ht="15" hidden="false" customHeight="false" outlineLevel="0" collapsed="false">
      <c r="A532" s="5" t="n">
        <v>528</v>
      </c>
      <c r="B532" s="5" t="n">
        <v>10</v>
      </c>
      <c r="C532" s="5" t="s">
        <v>34</v>
      </c>
      <c r="D532" s="5" t="s">
        <v>300</v>
      </c>
      <c r="E532" s="33" t="n">
        <v>-18.73675</v>
      </c>
      <c r="F532" s="33" t="n">
        <v>-39.75998</v>
      </c>
      <c r="G532" s="5" t="s">
        <v>713</v>
      </c>
      <c r="H532" s="5" t="s">
        <v>719</v>
      </c>
      <c r="I532" s="25" t="s">
        <v>721</v>
      </c>
      <c r="J532" s="5" t="s">
        <v>174</v>
      </c>
      <c r="K532" s="5" t="s">
        <v>720</v>
      </c>
      <c r="L532" s="21" t="n">
        <v>359.3</v>
      </c>
      <c r="M532" s="5" t="s">
        <v>218</v>
      </c>
      <c r="N532" s="9"/>
    </row>
    <row r="533" customFormat="false" ht="15" hidden="false" customHeight="false" outlineLevel="0" collapsed="false">
      <c r="A533" s="5" t="n">
        <v>529</v>
      </c>
      <c r="B533" s="5" t="n">
        <v>10</v>
      </c>
      <c r="C533" s="5" t="s">
        <v>34</v>
      </c>
      <c r="D533" s="5" t="s">
        <v>301</v>
      </c>
      <c r="E533" s="33" t="n">
        <v>-18.736771</v>
      </c>
      <c r="F533" s="33" t="n">
        <v>-39.758802</v>
      </c>
      <c r="G533" s="5" t="s">
        <v>713</v>
      </c>
      <c r="H533" s="5" t="s">
        <v>719</v>
      </c>
      <c r="I533" s="25" t="s">
        <v>721</v>
      </c>
      <c r="J533" s="5" t="s">
        <v>174</v>
      </c>
      <c r="K533" s="5" t="s">
        <v>720</v>
      </c>
      <c r="L533" s="21" t="n">
        <v>354.7</v>
      </c>
      <c r="M533" s="5" t="s">
        <v>218</v>
      </c>
      <c r="N533" s="9"/>
    </row>
    <row r="534" customFormat="false" ht="15" hidden="false" customHeight="false" outlineLevel="0" collapsed="false">
      <c r="A534" s="5" t="n">
        <v>530</v>
      </c>
      <c r="B534" s="5" t="n">
        <v>10</v>
      </c>
      <c r="C534" s="5" t="s">
        <v>34</v>
      </c>
      <c r="D534" s="5" t="s">
        <v>146</v>
      </c>
      <c r="E534" s="33" t="n">
        <v>-18.737942</v>
      </c>
      <c r="F534" s="33" t="n">
        <v>-39.751679</v>
      </c>
      <c r="G534" s="5" t="s">
        <v>713</v>
      </c>
      <c r="H534" s="5" t="s">
        <v>719</v>
      </c>
      <c r="I534" s="22" t="s">
        <v>725</v>
      </c>
      <c r="J534" s="5" t="s">
        <v>716</v>
      </c>
      <c r="K534" s="5" t="s">
        <v>717</v>
      </c>
      <c r="L534" s="21" t="n">
        <v>141.9</v>
      </c>
      <c r="M534" s="5" t="s">
        <v>218</v>
      </c>
      <c r="N534" s="9"/>
    </row>
    <row r="535" customFormat="false" ht="15" hidden="false" customHeight="false" outlineLevel="0" collapsed="false">
      <c r="A535" s="5" t="n">
        <v>531</v>
      </c>
      <c r="B535" s="5" t="n">
        <v>10</v>
      </c>
      <c r="C535" s="5" t="s">
        <v>34</v>
      </c>
      <c r="D535" s="5" t="s">
        <v>303</v>
      </c>
      <c r="E535" s="33" t="n">
        <v>-18.736996</v>
      </c>
      <c r="F535" s="33" t="n">
        <v>-39.754111</v>
      </c>
      <c r="G535" s="5" t="s">
        <v>713</v>
      </c>
      <c r="H535" s="5" t="s">
        <v>724</v>
      </c>
      <c r="I535" s="22" t="s">
        <v>725</v>
      </c>
      <c r="J535" s="5" t="s">
        <v>716</v>
      </c>
      <c r="K535" s="5" t="s">
        <v>717</v>
      </c>
      <c r="L535" s="21" t="n">
        <v>304.9</v>
      </c>
      <c r="M535" s="5" t="s">
        <v>218</v>
      </c>
      <c r="N535" s="9" t="s">
        <v>844</v>
      </c>
    </row>
    <row r="536" customFormat="false" ht="15" hidden="false" customHeight="false" outlineLevel="0" collapsed="false">
      <c r="A536" s="5" t="n">
        <v>532</v>
      </c>
      <c r="B536" s="5" t="n">
        <v>10</v>
      </c>
      <c r="C536" s="5" t="s">
        <v>34</v>
      </c>
      <c r="D536" s="5" t="s">
        <v>303</v>
      </c>
      <c r="E536" s="33" t="n">
        <v>-18.734243</v>
      </c>
      <c r="F536" s="33" t="n">
        <v>-39.754011</v>
      </c>
      <c r="G536" s="5" t="s">
        <v>713</v>
      </c>
      <c r="H536" s="5" t="s">
        <v>719</v>
      </c>
      <c r="I536" s="25" t="s">
        <v>721</v>
      </c>
      <c r="J536" s="5" t="s">
        <v>174</v>
      </c>
      <c r="K536" s="5" t="s">
        <v>720</v>
      </c>
      <c r="L536" s="21" t="n">
        <v>304.9</v>
      </c>
      <c r="M536" s="5" t="s">
        <v>218</v>
      </c>
      <c r="N536" s="9"/>
    </row>
    <row r="537" customFormat="false" ht="15" hidden="false" customHeight="false" outlineLevel="0" collapsed="false">
      <c r="A537" s="5" t="n">
        <v>533</v>
      </c>
      <c r="B537" s="5" t="n">
        <v>10</v>
      </c>
      <c r="C537" s="5" t="s">
        <v>34</v>
      </c>
      <c r="D537" s="5" t="s">
        <v>305</v>
      </c>
      <c r="E537" s="33" t="n">
        <v>-18.737235</v>
      </c>
      <c r="F537" s="33" t="n">
        <v>-39.753489</v>
      </c>
      <c r="G537" s="5" t="s">
        <v>713</v>
      </c>
      <c r="H537" s="5" t="s">
        <v>719</v>
      </c>
      <c r="I537" s="22" t="s">
        <v>725</v>
      </c>
      <c r="J537" s="5" t="s">
        <v>716</v>
      </c>
      <c r="K537" s="5" t="s">
        <v>717</v>
      </c>
      <c r="L537" s="21" t="n">
        <v>407.5</v>
      </c>
      <c r="M537" s="5" t="s">
        <v>218</v>
      </c>
      <c r="N537" s="9"/>
    </row>
    <row r="538" customFormat="false" ht="15" hidden="false" customHeight="false" outlineLevel="0" collapsed="false">
      <c r="A538" s="5" t="n">
        <v>534</v>
      </c>
      <c r="B538" s="5" t="n">
        <v>10</v>
      </c>
      <c r="C538" s="5" t="s">
        <v>34</v>
      </c>
      <c r="D538" s="5" t="s">
        <v>305</v>
      </c>
      <c r="E538" s="33" t="n">
        <v>-18.735826</v>
      </c>
      <c r="F538" s="33" t="n">
        <v>-39.75706</v>
      </c>
      <c r="G538" s="5" t="s">
        <v>713</v>
      </c>
      <c r="H538" s="5" t="s">
        <v>724</v>
      </c>
      <c r="I538" s="22" t="s">
        <v>725</v>
      </c>
      <c r="J538" s="5" t="s">
        <v>716</v>
      </c>
      <c r="K538" s="5" t="s">
        <v>722</v>
      </c>
      <c r="L538" s="21" t="n">
        <v>407.5</v>
      </c>
      <c r="M538" s="5" t="s">
        <v>218</v>
      </c>
      <c r="N538" s="9"/>
    </row>
    <row r="539" customFormat="false" ht="15" hidden="false" customHeight="false" outlineLevel="0" collapsed="false">
      <c r="A539" s="5" t="n">
        <v>535</v>
      </c>
      <c r="B539" s="5" t="n">
        <v>10</v>
      </c>
      <c r="C539" s="5" t="s">
        <v>34</v>
      </c>
      <c r="D539" s="5" t="s">
        <v>138</v>
      </c>
      <c r="E539" s="33" t="n">
        <v>-18.734418</v>
      </c>
      <c r="F539" s="33" t="n">
        <v>-39.747326</v>
      </c>
      <c r="G539" s="5" t="s">
        <v>713</v>
      </c>
      <c r="H539" s="5" t="s">
        <v>714</v>
      </c>
      <c r="I539" s="22" t="s">
        <v>715</v>
      </c>
      <c r="J539" s="5" t="s">
        <v>716</v>
      </c>
      <c r="K539" s="5" t="s">
        <v>717</v>
      </c>
      <c r="L539" s="21" t="n">
        <v>269.8</v>
      </c>
      <c r="M539" s="5" t="s">
        <v>218</v>
      </c>
      <c r="N539" s="9" t="s">
        <v>845</v>
      </c>
    </row>
    <row r="540" customFormat="false" ht="15" hidden="false" customHeight="false" outlineLevel="0" collapsed="false">
      <c r="A540" s="5" t="n">
        <v>536</v>
      </c>
      <c r="B540" s="5" t="n">
        <v>10</v>
      </c>
      <c r="C540" s="5" t="s">
        <v>34</v>
      </c>
      <c r="D540" s="5" t="s">
        <v>138</v>
      </c>
      <c r="E540" s="33" t="n">
        <v>-18.736854</v>
      </c>
      <c r="F540" s="33" t="n">
        <v>-39.747426</v>
      </c>
      <c r="G540" s="5" t="s">
        <v>713</v>
      </c>
      <c r="H540" s="5" t="s">
        <v>714</v>
      </c>
      <c r="I540" s="22" t="s">
        <v>715</v>
      </c>
      <c r="J540" s="5" t="s">
        <v>716</v>
      </c>
      <c r="K540" s="5" t="s">
        <v>717</v>
      </c>
      <c r="L540" s="21" t="n">
        <v>269.8</v>
      </c>
      <c r="M540" s="5" t="s">
        <v>218</v>
      </c>
      <c r="N540" s="9" t="s">
        <v>846</v>
      </c>
    </row>
    <row r="541" customFormat="false" ht="15" hidden="false" customHeight="false" outlineLevel="0" collapsed="false">
      <c r="A541" s="5" t="n">
        <v>537</v>
      </c>
      <c r="B541" s="5" t="n">
        <v>10</v>
      </c>
      <c r="C541" s="5" t="s">
        <v>34</v>
      </c>
      <c r="D541" s="5" t="s">
        <v>138</v>
      </c>
      <c r="E541" s="33" t="n">
        <v>-18.734426</v>
      </c>
      <c r="F541" s="33" t="n">
        <v>-39.747213</v>
      </c>
      <c r="G541" s="5" t="s">
        <v>713</v>
      </c>
      <c r="H541" s="5" t="s">
        <v>838</v>
      </c>
      <c r="I541" s="22" t="s">
        <v>715</v>
      </c>
      <c r="J541" s="5" t="s">
        <v>716</v>
      </c>
      <c r="K541" s="5" t="s">
        <v>717</v>
      </c>
      <c r="L541" s="21" t="n">
        <v>269.3</v>
      </c>
      <c r="M541" s="5" t="s">
        <v>218</v>
      </c>
      <c r="N541" s="9" t="s">
        <v>846</v>
      </c>
    </row>
    <row r="542" customFormat="false" ht="15" hidden="false" customHeight="false" outlineLevel="0" collapsed="false">
      <c r="A542" s="5" t="n">
        <v>538</v>
      </c>
      <c r="B542" s="5" t="n">
        <v>10</v>
      </c>
      <c r="C542" s="5" t="s">
        <v>34</v>
      </c>
      <c r="D542" s="5" t="s">
        <v>176</v>
      </c>
      <c r="E542" s="33" t="n">
        <v>-18.737892</v>
      </c>
      <c r="F542" s="33" t="n">
        <v>-39.759087</v>
      </c>
      <c r="G542" s="5" t="s">
        <v>713</v>
      </c>
      <c r="H542" s="5" t="s">
        <v>719</v>
      </c>
      <c r="I542" s="25" t="s">
        <v>721</v>
      </c>
      <c r="J542" s="5" t="s">
        <v>174</v>
      </c>
      <c r="K542" s="5" t="s">
        <v>720</v>
      </c>
      <c r="L542" s="21" t="n">
        <v>329.9</v>
      </c>
      <c r="M542" s="5" t="s">
        <v>218</v>
      </c>
      <c r="N542" s="9"/>
    </row>
    <row r="543" customFormat="false" ht="15" hidden="false" customHeight="false" outlineLevel="0" collapsed="false">
      <c r="A543" s="5" t="n">
        <v>539</v>
      </c>
      <c r="B543" s="5" t="n">
        <v>10</v>
      </c>
      <c r="C543" s="5" t="s">
        <v>34</v>
      </c>
      <c r="D543" s="5" t="s">
        <v>176</v>
      </c>
      <c r="E543" s="33" t="n">
        <v>-18.738018</v>
      </c>
      <c r="F543" s="33" t="n">
        <v>-39.75596</v>
      </c>
      <c r="G543" s="5" t="s">
        <v>713</v>
      </c>
      <c r="H543" s="5" t="s">
        <v>719</v>
      </c>
      <c r="I543" s="25" t="s">
        <v>721</v>
      </c>
      <c r="J543" s="5" t="s">
        <v>174</v>
      </c>
      <c r="K543" s="5" t="s">
        <v>720</v>
      </c>
      <c r="L543" s="21" t="n">
        <v>329.9</v>
      </c>
      <c r="M543" s="5" t="s">
        <v>218</v>
      </c>
      <c r="N543" s="9"/>
    </row>
    <row r="544" customFormat="false" ht="15" hidden="false" customHeight="false" outlineLevel="0" collapsed="false">
      <c r="A544" s="5" t="n">
        <v>540</v>
      </c>
      <c r="B544" s="5" t="n">
        <v>10</v>
      </c>
      <c r="C544" s="5" t="s">
        <v>34</v>
      </c>
      <c r="D544" s="5" t="s">
        <v>187</v>
      </c>
      <c r="E544" s="33" t="n">
        <v>-18.734372</v>
      </c>
      <c r="F544" s="33" t="n">
        <v>-39.751056</v>
      </c>
      <c r="G544" s="5" t="s">
        <v>713</v>
      </c>
      <c r="H544" s="5" t="s">
        <v>714</v>
      </c>
      <c r="I544" s="22" t="s">
        <v>725</v>
      </c>
      <c r="J544" s="5" t="s">
        <v>716</v>
      </c>
      <c r="K544" s="5" t="s">
        <v>717</v>
      </c>
      <c r="L544" s="21" t="n">
        <v>275.2</v>
      </c>
      <c r="M544" s="5" t="s">
        <v>218</v>
      </c>
      <c r="N544" s="9" t="s">
        <v>718</v>
      </c>
    </row>
    <row r="545" customFormat="false" ht="15" hidden="false" customHeight="false" outlineLevel="0" collapsed="false">
      <c r="A545" s="5" t="n">
        <v>541</v>
      </c>
      <c r="B545" s="5" t="n">
        <v>10</v>
      </c>
      <c r="C545" s="5" t="s">
        <v>34</v>
      </c>
      <c r="D545" s="5" t="s">
        <v>187</v>
      </c>
      <c r="E545" s="33" t="n">
        <v>-18.736857</v>
      </c>
      <c r="F545" s="33" t="n">
        <v>-39.751159</v>
      </c>
      <c r="G545" s="5" t="s">
        <v>713</v>
      </c>
      <c r="H545" s="5" t="s">
        <v>714</v>
      </c>
      <c r="I545" s="22" t="s">
        <v>725</v>
      </c>
      <c r="J545" s="5" t="s">
        <v>716</v>
      </c>
      <c r="K545" s="5" t="s">
        <v>717</v>
      </c>
      <c r="L545" s="21" t="n">
        <v>275.2</v>
      </c>
      <c r="M545" s="5" t="s">
        <v>218</v>
      </c>
      <c r="N545" s="9" t="s">
        <v>718</v>
      </c>
    </row>
    <row r="546" customFormat="false" ht="15" hidden="false" customHeight="false" outlineLevel="0" collapsed="false">
      <c r="A546" s="5" t="n">
        <v>542</v>
      </c>
      <c r="B546" s="5" t="n">
        <v>10</v>
      </c>
      <c r="C546" s="5" t="s">
        <v>34</v>
      </c>
      <c r="D546" s="5" t="s">
        <v>187</v>
      </c>
      <c r="E546" s="33" t="n">
        <v>-18.736888</v>
      </c>
      <c r="F546" s="33" t="n">
        <v>-39.751074</v>
      </c>
      <c r="G546" s="5" t="s">
        <v>713</v>
      </c>
      <c r="H546" s="5" t="s">
        <v>714</v>
      </c>
      <c r="I546" s="22" t="s">
        <v>725</v>
      </c>
      <c r="J546" s="5" t="s">
        <v>716</v>
      </c>
      <c r="K546" s="5" t="s">
        <v>717</v>
      </c>
      <c r="L546" s="21" t="n">
        <v>278.9</v>
      </c>
      <c r="M546" s="5" t="s">
        <v>218</v>
      </c>
      <c r="N546" s="9" t="s">
        <v>718</v>
      </c>
    </row>
    <row r="547" customFormat="false" ht="15" hidden="false" customHeight="false" outlineLevel="0" collapsed="false">
      <c r="A547" s="5" t="n">
        <v>543</v>
      </c>
      <c r="B547" s="5" t="n">
        <v>10</v>
      </c>
      <c r="C547" s="5" t="s">
        <v>34</v>
      </c>
      <c r="D547" s="5" t="s">
        <v>312</v>
      </c>
      <c r="E547" s="33" t="n">
        <v>-18.734296</v>
      </c>
      <c r="F547" s="33" t="n">
        <v>-39.752236</v>
      </c>
      <c r="G547" s="5" t="s">
        <v>713</v>
      </c>
      <c r="H547" s="5" t="s">
        <v>719</v>
      </c>
      <c r="I547" s="25" t="s">
        <v>721</v>
      </c>
      <c r="J547" s="5" t="s">
        <v>174</v>
      </c>
      <c r="K547" s="5" t="s">
        <v>720</v>
      </c>
      <c r="L547" s="21" t="n">
        <v>300.9</v>
      </c>
      <c r="M547" s="5" t="s">
        <v>218</v>
      </c>
      <c r="N547" s="9"/>
    </row>
    <row r="548" customFormat="false" ht="15" hidden="false" customHeight="false" outlineLevel="0" collapsed="false">
      <c r="A548" s="5" t="n">
        <v>544</v>
      </c>
      <c r="B548" s="5" t="n">
        <v>10</v>
      </c>
      <c r="C548" s="5" t="s">
        <v>34</v>
      </c>
      <c r="D548" s="5" t="s">
        <v>312</v>
      </c>
      <c r="E548" s="33" t="n">
        <v>-18.737013</v>
      </c>
      <c r="F548" s="33" t="n">
        <v>-39.752352</v>
      </c>
      <c r="G548" s="5" t="s">
        <v>713</v>
      </c>
      <c r="H548" s="5" t="s">
        <v>719</v>
      </c>
      <c r="I548" s="25" t="s">
        <v>721</v>
      </c>
      <c r="J548" s="5" t="s">
        <v>174</v>
      </c>
      <c r="K548" s="5" t="s">
        <v>720</v>
      </c>
      <c r="L548" s="21" t="n">
        <v>300.9</v>
      </c>
      <c r="M548" s="5" t="s">
        <v>218</v>
      </c>
      <c r="N548" s="9"/>
    </row>
    <row r="549" customFormat="false" ht="15" hidden="false" customHeight="false" outlineLevel="0" collapsed="false">
      <c r="A549" s="5" t="n">
        <v>545</v>
      </c>
      <c r="B549" s="5" t="n">
        <v>10</v>
      </c>
      <c r="C549" s="5" t="s">
        <v>34</v>
      </c>
      <c r="D549" s="5" t="s">
        <v>163</v>
      </c>
      <c r="E549" s="33" t="n">
        <v>-18.734348</v>
      </c>
      <c r="F549" s="33" t="n">
        <v>-39.747934</v>
      </c>
      <c r="G549" s="5" t="s">
        <v>713</v>
      </c>
      <c r="H549" s="5" t="s">
        <v>719</v>
      </c>
      <c r="I549" s="22" t="s">
        <v>715</v>
      </c>
      <c r="J549" s="5" t="s">
        <v>716</v>
      </c>
      <c r="K549" s="5" t="s">
        <v>717</v>
      </c>
      <c r="L549" s="21" t="n">
        <v>274.9</v>
      </c>
      <c r="M549" s="5" t="s">
        <v>218</v>
      </c>
      <c r="N549" s="9"/>
    </row>
    <row r="550" customFormat="false" ht="15" hidden="false" customHeight="false" outlineLevel="0" collapsed="false">
      <c r="A550" s="5" t="n">
        <v>546</v>
      </c>
      <c r="B550" s="5" t="n">
        <v>10</v>
      </c>
      <c r="C550" s="5" t="s">
        <v>34</v>
      </c>
      <c r="D550" s="5" t="s">
        <v>163</v>
      </c>
      <c r="E550" s="33" t="n">
        <v>-18.736831</v>
      </c>
      <c r="F550" s="33" t="n">
        <v>-39.748045</v>
      </c>
      <c r="G550" s="5" t="s">
        <v>713</v>
      </c>
      <c r="H550" s="5" t="s">
        <v>719</v>
      </c>
      <c r="I550" s="22" t="s">
        <v>715</v>
      </c>
      <c r="J550" s="5" t="s">
        <v>716</v>
      </c>
      <c r="K550" s="5" t="s">
        <v>722</v>
      </c>
      <c r="L550" s="21" t="n">
        <v>274.9</v>
      </c>
      <c r="M550" s="5" t="s">
        <v>218</v>
      </c>
      <c r="N550" s="9"/>
    </row>
    <row r="551" customFormat="false" ht="15" hidden="false" customHeight="false" outlineLevel="0" collapsed="false">
      <c r="A551" s="5" t="n">
        <v>547</v>
      </c>
      <c r="B551" s="5" t="n">
        <v>10</v>
      </c>
      <c r="C551" s="5" t="s">
        <v>34</v>
      </c>
      <c r="D551" s="5" t="s">
        <v>313</v>
      </c>
      <c r="E551" s="33" t="n">
        <v>-18.734261</v>
      </c>
      <c r="F551" s="33" t="n">
        <v>-39.753416</v>
      </c>
      <c r="G551" s="5" t="s">
        <v>713</v>
      </c>
      <c r="H551" s="5" t="s">
        <v>719</v>
      </c>
      <c r="I551" s="25" t="s">
        <v>721</v>
      </c>
      <c r="J551" s="5" t="s">
        <v>174</v>
      </c>
      <c r="K551" s="5" t="s">
        <v>720</v>
      </c>
      <c r="L551" s="21" t="n">
        <v>303.5</v>
      </c>
      <c r="M551" s="5" t="s">
        <v>218</v>
      </c>
      <c r="N551" s="9"/>
    </row>
    <row r="552" customFormat="false" ht="15" hidden="false" customHeight="false" outlineLevel="0" collapsed="false">
      <c r="A552" s="5" t="n">
        <v>548</v>
      </c>
      <c r="B552" s="5" t="n">
        <v>10</v>
      </c>
      <c r="C552" s="5" t="s">
        <v>34</v>
      </c>
      <c r="D552" s="5" t="s">
        <v>157</v>
      </c>
      <c r="E552" s="33" t="n">
        <v>-18.734311</v>
      </c>
      <c r="F552" s="33" t="n">
        <v>-39.749204</v>
      </c>
      <c r="G552" s="5" t="s">
        <v>713</v>
      </c>
      <c r="H552" s="5" t="s">
        <v>719</v>
      </c>
      <c r="I552" s="25" t="s">
        <v>721</v>
      </c>
      <c r="J552" s="5" t="s">
        <v>174</v>
      </c>
      <c r="K552" s="5" t="s">
        <v>720</v>
      </c>
      <c r="L552" s="21" t="n">
        <v>277.6</v>
      </c>
      <c r="M552" s="5" t="s">
        <v>218</v>
      </c>
      <c r="N552" s="9"/>
    </row>
    <row r="553" customFormat="false" ht="15" hidden="false" customHeight="false" outlineLevel="0" collapsed="false">
      <c r="A553" s="5" t="n">
        <v>549</v>
      </c>
      <c r="B553" s="5" t="n">
        <v>10</v>
      </c>
      <c r="C553" s="5" t="s">
        <v>34</v>
      </c>
      <c r="D553" s="5" t="s">
        <v>157</v>
      </c>
      <c r="E553" s="33" t="n">
        <v>-18.736819</v>
      </c>
      <c r="F553" s="33" t="n">
        <v>-39.749297</v>
      </c>
      <c r="G553" s="5" t="s">
        <v>713</v>
      </c>
      <c r="H553" s="5" t="s">
        <v>719</v>
      </c>
      <c r="I553" s="25" t="s">
        <v>721</v>
      </c>
      <c r="J553" s="5" t="s">
        <v>174</v>
      </c>
      <c r="K553" s="5" t="s">
        <v>720</v>
      </c>
      <c r="L553" s="21" t="n">
        <v>277.6</v>
      </c>
      <c r="M553" s="5" t="s">
        <v>218</v>
      </c>
      <c r="N553" s="9"/>
    </row>
    <row r="554" customFormat="false" ht="15" hidden="false" customHeight="false" outlineLevel="0" collapsed="false">
      <c r="A554" s="5" t="n">
        <v>550</v>
      </c>
      <c r="B554" s="5" t="n">
        <v>10</v>
      </c>
      <c r="C554" s="5" t="s">
        <v>34</v>
      </c>
      <c r="D554" s="5" t="s">
        <v>165</v>
      </c>
      <c r="E554" s="33" t="n">
        <v>-18.734277</v>
      </c>
      <c r="F554" s="33" t="n">
        <v>-39.750375</v>
      </c>
      <c r="G554" s="5" t="s">
        <v>713</v>
      </c>
      <c r="H554" s="5" t="s">
        <v>719</v>
      </c>
      <c r="I554" s="25" t="s">
        <v>721</v>
      </c>
      <c r="J554" s="5" t="s">
        <v>174</v>
      </c>
      <c r="K554" s="5" t="s">
        <v>720</v>
      </c>
      <c r="L554" s="21" t="n">
        <v>280.2</v>
      </c>
      <c r="M554" s="5" t="s">
        <v>218</v>
      </c>
      <c r="N554" s="9"/>
    </row>
    <row r="555" customFormat="false" ht="15" hidden="false" customHeight="false" outlineLevel="0" collapsed="false">
      <c r="A555" s="5" t="n">
        <v>551</v>
      </c>
      <c r="B555" s="5" t="n">
        <v>10</v>
      </c>
      <c r="C555" s="5" t="s">
        <v>34</v>
      </c>
      <c r="D555" s="5" t="s">
        <v>165</v>
      </c>
      <c r="E555" s="33" t="n">
        <v>-18.736808</v>
      </c>
      <c r="F555" s="33" t="n">
        <v>-39.750472</v>
      </c>
      <c r="G555" s="5" t="s">
        <v>713</v>
      </c>
      <c r="H555" s="5" t="s">
        <v>719</v>
      </c>
      <c r="I555" s="25" t="s">
        <v>721</v>
      </c>
      <c r="J555" s="5" t="s">
        <v>174</v>
      </c>
      <c r="K555" s="5" t="s">
        <v>720</v>
      </c>
      <c r="L555" s="21" t="n">
        <v>280.2</v>
      </c>
      <c r="M555" s="5" t="s">
        <v>218</v>
      </c>
      <c r="N555" s="9"/>
    </row>
    <row r="556" customFormat="false" ht="15" hidden="false" customHeight="false" outlineLevel="0" collapsed="false">
      <c r="A556" s="5" t="n">
        <v>552</v>
      </c>
      <c r="B556" s="5" t="n">
        <v>10</v>
      </c>
      <c r="C556" s="5" t="s">
        <v>34</v>
      </c>
      <c r="D556" s="5" t="s">
        <v>181</v>
      </c>
      <c r="E556" s="33" t="n">
        <v>-18.734295</v>
      </c>
      <c r="F556" s="33" t="n">
        <v>-39.749785</v>
      </c>
      <c r="G556" s="5" t="s">
        <v>713</v>
      </c>
      <c r="H556" s="5" t="s">
        <v>719</v>
      </c>
      <c r="I556" s="25" t="s">
        <v>721</v>
      </c>
      <c r="J556" s="5" t="s">
        <v>174</v>
      </c>
      <c r="K556" s="5" t="s">
        <v>717</v>
      </c>
      <c r="L556" s="21" t="n">
        <v>278.9</v>
      </c>
      <c r="M556" s="5" t="s">
        <v>218</v>
      </c>
      <c r="N556" s="9"/>
    </row>
    <row r="557" customFormat="false" ht="15" hidden="false" customHeight="false" outlineLevel="0" collapsed="false">
      <c r="A557" s="5" t="n">
        <v>553</v>
      </c>
      <c r="B557" s="5" t="n">
        <v>10</v>
      </c>
      <c r="C557" s="5" t="s">
        <v>34</v>
      </c>
      <c r="D557" s="5" t="s">
        <v>181</v>
      </c>
      <c r="E557" s="33" t="n">
        <v>-18.736813</v>
      </c>
      <c r="F557" s="33" t="n">
        <v>-39.7499</v>
      </c>
      <c r="G557" s="5" t="s">
        <v>713</v>
      </c>
      <c r="H557" s="5" t="s">
        <v>719</v>
      </c>
      <c r="I557" s="25" t="s">
        <v>721</v>
      </c>
      <c r="J557" s="5" t="s">
        <v>174</v>
      </c>
      <c r="K557" s="5" t="s">
        <v>720</v>
      </c>
      <c r="L557" s="21" t="n">
        <v>278.9</v>
      </c>
      <c r="M557" s="5" t="s">
        <v>218</v>
      </c>
      <c r="N557" s="9"/>
    </row>
    <row r="558" customFormat="false" ht="15" hidden="false" customHeight="false" outlineLevel="0" collapsed="false">
      <c r="A558" s="5" t="n">
        <v>554</v>
      </c>
      <c r="B558" s="5" t="n">
        <v>10</v>
      </c>
      <c r="C558" s="5" t="s">
        <v>34</v>
      </c>
      <c r="D558" s="5" t="s">
        <v>179</v>
      </c>
      <c r="E558" s="33" t="n">
        <v>-18.734329</v>
      </c>
      <c r="F558" s="33" t="n">
        <v>-39.748601</v>
      </c>
      <c r="G558" s="5" t="s">
        <v>713</v>
      </c>
      <c r="H558" s="5" t="s">
        <v>719</v>
      </c>
      <c r="I558" s="25" t="s">
        <v>721</v>
      </c>
      <c r="J558" s="5" t="s">
        <v>174</v>
      </c>
      <c r="K558" s="5" t="s">
        <v>720</v>
      </c>
      <c r="L558" s="21" t="n">
        <v>276.4</v>
      </c>
      <c r="M558" s="5" t="s">
        <v>218</v>
      </c>
      <c r="N558" s="9"/>
    </row>
    <row r="559" customFormat="false" ht="15" hidden="false" customHeight="false" outlineLevel="0" collapsed="false">
      <c r="A559" s="5" t="n">
        <v>555</v>
      </c>
      <c r="B559" s="5" t="n">
        <v>10</v>
      </c>
      <c r="C559" s="5" t="s">
        <v>34</v>
      </c>
      <c r="D559" s="5" t="s">
        <v>316</v>
      </c>
      <c r="E559" s="33" t="n">
        <v>-18.735182</v>
      </c>
      <c r="F559" s="33" t="n">
        <v>-39.752865</v>
      </c>
      <c r="G559" s="5" t="s">
        <v>713</v>
      </c>
      <c r="H559" s="5" t="s">
        <v>719</v>
      </c>
      <c r="I559" s="22" t="s">
        <v>715</v>
      </c>
      <c r="J559" s="5" t="s">
        <v>716</v>
      </c>
      <c r="K559" s="5" t="s">
        <v>717</v>
      </c>
      <c r="L559" s="21" t="n">
        <v>502.3</v>
      </c>
      <c r="M559" s="5" t="s">
        <v>218</v>
      </c>
      <c r="N559" s="9" t="s">
        <v>847</v>
      </c>
    </row>
    <row r="560" customFormat="false" ht="15" hidden="false" customHeight="false" outlineLevel="0" collapsed="false">
      <c r="A560" s="5" t="n">
        <v>556</v>
      </c>
      <c r="B560" s="5" t="n">
        <v>10</v>
      </c>
      <c r="C560" s="5" t="s">
        <v>34</v>
      </c>
      <c r="D560" s="5" t="s">
        <v>317</v>
      </c>
      <c r="E560" s="33" t="n">
        <v>-18.736996</v>
      </c>
      <c r="F560" s="33" t="n">
        <v>-39.757629</v>
      </c>
      <c r="G560" s="5" t="s">
        <v>713</v>
      </c>
      <c r="H560" s="5" t="s">
        <v>719</v>
      </c>
      <c r="I560" s="25" t="s">
        <v>721</v>
      </c>
      <c r="J560" s="5" t="s">
        <v>174</v>
      </c>
      <c r="K560" s="5" t="s">
        <v>720</v>
      </c>
      <c r="L560" s="21" t="n">
        <v>304.8</v>
      </c>
      <c r="M560" s="5" t="s">
        <v>218</v>
      </c>
      <c r="N560" s="9"/>
    </row>
    <row r="561" customFormat="false" ht="15" hidden="false" customHeight="false" outlineLevel="0" collapsed="false">
      <c r="A561" s="5" t="n">
        <v>557</v>
      </c>
      <c r="B561" s="5" t="n">
        <v>10</v>
      </c>
      <c r="C561" s="5" t="s">
        <v>34</v>
      </c>
      <c r="D561" s="5" t="s">
        <v>318</v>
      </c>
      <c r="E561" s="33" t="n">
        <v>-18.73673</v>
      </c>
      <c r="F561" s="33" t="n">
        <v>-39.760603</v>
      </c>
      <c r="G561" s="5" t="s">
        <v>713</v>
      </c>
      <c r="H561" s="5" t="s">
        <v>731</v>
      </c>
      <c r="I561" s="25" t="s">
        <v>721</v>
      </c>
      <c r="J561" s="5" t="s">
        <v>174</v>
      </c>
      <c r="K561" s="5" t="s">
        <v>722</v>
      </c>
      <c r="L561" s="21" t="n">
        <v>355</v>
      </c>
      <c r="M561" s="5" t="s">
        <v>218</v>
      </c>
      <c r="N561" s="9"/>
    </row>
    <row r="562" customFormat="false" ht="15" hidden="false" customHeight="false" outlineLevel="0" collapsed="false">
      <c r="A562" s="5" t="n">
        <v>558</v>
      </c>
      <c r="B562" s="5" t="n">
        <v>7</v>
      </c>
      <c r="C562" s="5" t="s">
        <v>26</v>
      </c>
      <c r="D562" s="5" t="s">
        <v>138</v>
      </c>
      <c r="E562" s="33" t="n">
        <v>-18.740666</v>
      </c>
      <c r="F562" s="33" t="n">
        <v>-39.747577</v>
      </c>
      <c r="G562" s="5" t="s">
        <v>713</v>
      </c>
      <c r="H562" s="5" t="s">
        <v>714</v>
      </c>
      <c r="I562" s="22" t="s">
        <v>715</v>
      </c>
      <c r="J562" s="5" t="s">
        <v>716</v>
      </c>
      <c r="K562" s="5" t="s">
        <v>717</v>
      </c>
      <c r="L562" s="21" t="n">
        <v>311.4</v>
      </c>
      <c r="M562" s="5" t="s">
        <v>218</v>
      </c>
      <c r="N562" s="9"/>
    </row>
    <row r="563" customFormat="false" ht="15" hidden="false" customHeight="false" outlineLevel="0" collapsed="false">
      <c r="A563" s="5" t="n">
        <v>559</v>
      </c>
      <c r="B563" s="5" t="n">
        <v>7</v>
      </c>
      <c r="C563" s="5" t="s">
        <v>26</v>
      </c>
      <c r="D563" s="5" t="s">
        <v>138</v>
      </c>
      <c r="E563" s="33" t="n">
        <v>-18.743477</v>
      </c>
      <c r="F563" s="33" t="n">
        <v>-39.747718</v>
      </c>
      <c r="G563" s="5" t="s">
        <v>713</v>
      </c>
      <c r="H563" s="5" t="s">
        <v>714</v>
      </c>
      <c r="I563" s="22" t="s">
        <v>715</v>
      </c>
      <c r="J563" s="5" t="s">
        <v>716</v>
      </c>
      <c r="K563" s="5" t="s">
        <v>720</v>
      </c>
      <c r="L563" s="21" t="n">
        <v>311.4</v>
      </c>
      <c r="M563" s="5" t="s">
        <v>218</v>
      </c>
      <c r="N563" s="9" t="s">
        <v>848</v>
      </c>
    </row>
    <row r="564" customFormat="false" ht="15" hidden="false" customHeight="false" outlineLevel="0" collapsed="false">
      <c r="A564" s="5" t="n">
        <v>560</v>
      </c>
      <c r="B564" s="5" t="n">
        <v>7</v>
      </c>
      <c r="C564" s="5" t="s">
        <v>26</v>
      </c>
      <c r="D564" s="5" t="s">
        <v>138</v>
      </c>
      <c r="E564" s="33" t="n">
        <v>-18.746289</v>
      </c>
      <c r="F564" s="33" t="n">
        <v>-39.74784</v>
      </c>
      <c r="G564" s="5" t="s">
        <v>713</v>
      </c>
      <c r="H564" s="5" t="s">
        <v>714</v>
      </c>
      <c r="I564" s="22" t="s">
        <v>715</v>
      </c>
      <c r="J564" s="5" t="s">
        <v>716</v>
      </c>
      <c r="K564" s="5" t="s">
        <v>717</v>
      </c>
      <c r="L564" s="21" t="n">
        <v>311.4</v>
      </c>
      <c r="M564" s="5" t="s">
        <v>218</v>
      </c>
      <c r="N564" s="9"/>
    </row>
    <row r="565" customFormat="false" ht="15" hidden="false" customHeight="false" outlineLevel="0" collapsed="false">
      <c r="A565" s="5" t="n">
        <v>561</v>
      </c>
      <c r="B565" s="5" t="n">
        <v>7</v>
      </c>
      <c r="C565" s="5" t="s">
        <v>26</v>
      </c>
      <c r="D565" s="5" t="s">
        <v>138</v>
      </c>
      <c r="E565" s="33" t="n">
        <v>-18.749101</v>
      </c>
      <c r="F565" s="33" t="n">
        <v>-39.747949</v>
      </c>
      <c r="G565" s="5" t="s">
        <v>713</v>
      </c>
      <c r="H565" s="5" t="s">
        <v>714</v>
      </c>
      <c r="I565" s="22" t="s">
        <v>715</v>
      </c>
      <c r="J565" s="5" t="s">
        <v>716</v>
      </c>
      <c r="K565" s="5" t="s">
        <v>717</v>
      </c>
      <c r="L565" s="21" t="n">
        <v>311.4</v>
      </c>
      <c r="M565" s="5" t="s">
        <v>218</v>
      </c>
      <c r="N565" s="9"/>
    </row>
    <row r="566" customFormat="false" ht="15" hidden="false" customHeight="false" outlineLevel="0" collapsed="false">
      <c r="A566" s="5" t="n">
        <v>562</v>
      </c>
      <c r="B566" s="5" t="n">
        <v>7</v>
      </c>
      <c r="C566" s="5" t="s">
        <v>26</v>
      </c>
      <c r="D566" s="5" t="s">
        <v>138</v>
      </c>
      <c r="E566" s="33" t="n">
        <v>-18.746277</v>
      </c>
      <c r="F566" s="33" t="n">
        <v>-39.747724</v>
      </c>
      <c r="G566" s="5" t="s">
        <v>713</v>
      </c>
      <c r="H566" s="5" t="s">
        <v>714</v>
      </c>
      <c r="I566" s="22" t="s">
        <v>715</v>
      </c>
      <c r="J566" s="5" t="s">
        <v>716</v>
      </c>
      <c r="K566" s="5" t="s">
        <v>717</v>
      </c>
      <c r="L566" s="21" t="n">
        <v>310.9</v>
      </c>
      <c r="M566" s="5" t="s">
        <v>218</v>
      </c>
      <c r="N566" s="9"/>
    </row>
    <row r="567" customFormat="false" ht="15" hidden="false" customHeight="false" outlineLevel="0" collapsed="false">
      <c r="A567" s="5" t="n">
        <v>563</v>
      </c>
      <c r="B567" s="5" t="n">
        <v>7</v>
      </c>
      <c r="C567" s="5" t="s">
        <v>26</v>
      </c>
      <c r="D567" s="5" t="s">
        <v>138</v>
      </c>
      <c r="E567" s="33" t="n">
        <v>-18.740665</v>
      </c>
      <c r="F567" s="33" t="n">
        <v>-39.747453</v>
      </c>
      <c r="G567" s="5" t="s">
        <v>713</v>
      </c>
      <c r="H567" s="5" t="s">
        <v>838</v>
      </c>
      <c r="I567" s="22" t="s">
        <v>715</v>
      </c>
      <c r="J567" s="5" t="s">
        <v>716</v>
      </c>
      <c r="K567" s="5" t="s">
        <v>717</v>
      </c>
      <c r="L567" s="21" t="n">
        <v>310.9</v>
      </c>
      <c r="M567" s="5" t="s">
        <v>218</v>
      </c>
      <c r="N567" s="9"/>
    </row>
    <row r="568" customFormat="false" ht="15" hidden="false" customHeight="false" outlineLevel="0" collapsed="false">
      <c r="A568" s="5" t="n">
        <v>564</v>
      </c>
      <c r="B568" s="5" t="n">
        <v>7</v>
      </c>
      <c r="C568" s="5" t="s">
        <v>26</v>
      </c>
      <c r="D568" s="5" t="s">
        <v>138</v>
      </c>
      <c r="E568" s="33" t="n">
        <v>-18.738509</v>
      </c>
      <c r="F568" s="33" t="n">
        <v>-39.747491</v>
      </c>
      <c r="G568" s="5" t="s">
        <v>713</v>
      </c>
      <c r="H568" s="5" t="s">
        <v>714</v>
      </c>
      <c r="I568" s="22" t="s">
        <v>715</v>
      </c>
      <c r="J568" s="5" t="s">
        <v>716</v>
      </c>
      <c r="K568" s="5" t="s">
        <v>717</v>
      </c>
      <c r="L568" s="21" t="n">
        <v>128.7</v>
      </c>
      <c r="M568" s="5" t="s">
        <v>218</v>
      </c>
      <c r="N568" s="9"/>
    </row>
    <row r="569" customFormat="false" ht="15" hidden="false" customHeight="false" outlineLevel="0" collapsed="false">
      <c r="A569" s="5" t="n">
        <v>565</v>
      </c>
      <c r="B569" s="5" t="n">
        <v>7</v>
      </c>
      <c r="C569" s="5" t="s">
        <v>26</v>
      </c>
      <c r="D569" s="5" t="s">
        <v>138</v>
      </c>
      <c r="E569" s="33" t="n">
        <v>-18.738509</v>
      </c>
      <c r="F569" s="33" t="n">
        <v>-39.747403</v>
      </c>
      <c r="G569" s="5" t="s">
        <v>713</v>
      </c>
      <c r="H569" s="5" t="s">
        <v>838</v>
      </c>
      <c r="I569" s="22" t="s">
        <v>715</v>
      </c>
      <c r="J569" s="5" t="s">
        <v>716</v>
      </c>
      <c r="K569" s="5" t="s">
        <v>717</v>
      </c>
      <c r="L569" s="21" t="n">
        <v>128.7</v>
      </c>
      <c r="M569" s="5" t="s">
        <v>218</v>
      </c>
      <c r="N569" s="9"/>
    </row>
    <row r="570" customFormat="false" ht="15" hidden="false" customHeight="false" outlineLevel="0" collapsed="false">
      <c r="A570" s="5" t="n">
        <v>566</v>
      </c>
      <c r="B570" s="5" t="n">
        <v>7</v>
      </c>
      <c r="C570" s="5" t="s">
        <v>26</v>
      </c>
      <c r="D570" s="5" t="s">
        <v>146</v>
      </c>
      <c r="E570" s="33" t="n">
        <v>-18.738803</v>
      </c>
      <c r="F570" s="33" t="n">
        <v>-39.74946</v>
      </c>
      <c r="G570" s="5" t="s">
        <v>713</v>
      </c>
      <c r="H570" s="5" t="s">
        <v>724</v>
      </c>
      <c r="I570" s="22" t="s">
        <v>715</v>
      </c>
      <c r="J570" s="5" t="s">
        <v>716</v>
      </c>
      <c r="K570" s="5" t="s">
        <v>717</v>
      </c>
      <c r="L570" s="21" t="n">
        <v>411.6</v>
      </c>
      <c r="M570" s="5" t="s">
        <v>218</v>
      </c>
      <c r="N570" s="9" t="s">
        <v>849</v>
      </c>
    </row>
    <row r="571" customFormat="false" ht="22.35" hidden="false" customHeight="false" outlineLevel="0" collapsed="false">
      <c r="A571" s="5" t="n">
        <v>567</v>
      </c>
      <c r="B571" s="5" t="n">
        <v>7</v>
      </c>
      <c r="C571" s="5" t="s">
        <v>26</v>
      </c>
      <c r="D571" s="5" t="s">
        <v>146</v>
      </c>
      <c r="E571" s="33" t="n">
        <v>-18.738685</v>
      </c>
      <c r="F571" s="33" t="n">
        <v>-39.749339</v>
      </c>
      <c r="G571" s="5" t="s">
        <v>736</v>
      </c>
      <c r="H571" s="5" t="s">
        <v>218</v>
      </c>
      <c r="I571" s="22" t="s">
        <v>725</v>
      </c>
      <c r="J571" s="5" t="s">
        <v>716</v>
      </c>
      <c r="K571" s="5" t="s">
        <v>218</v>
      </c>
      <c r="L571" s="21" t="n">
        <v>389.3</v>
      </c>
      <c r="M571" s="5" t="s">
        <v>141</v>
      </c>
      <c r="N571" s="9" t="s">
        <v>850</v>
      </c>
    </row>
    <row r="572" customFormat="false" ht="15" hidden="false" customHeight="false" outlineLevel="0" collapsed="false">
      <c r="A572" s="5" t="n">
        <v>568</v>
      </c>
      <c r="B572" s="5" t="n">
        <v>7</v>
      </c>
      <c r="C572" s="5" t="s">
        <v>26</v>
      </c>
      <c r="D572" s="5" t="s">
        <v>149</v>
      </c>
      <c r="E572" s="33" t="n">
        <v>-18.74366</v>
      </c>
      <c r="F572" s="33" t="n">
        <v>-39.751447</v>
      </c>
      <c r="G572" s="5" t="s">
        <v>713</v>
      </c>
      <c r="H572" s="5" t="s">
        <v>719</v>
      </c>
      <c r="I572" s="22" t="s">
        <v>715</v>
      </c>
      <c r="J572" s="5" t="s">
        <v>716</v>
      </c>
      <c r="K572" s="5" t="s">
        <v>720</v>
      </c>
      <c r="L572" s="21" t="n">
        <v>410.5</v>
      </c>
      <c r="M572" s="5" t="s">
        <v>218</v>
      </c>
      <c r="N572" s="9" t="s">
        <v>851</v>
      </c>
    </row>
    <row r="573" customFormat="false" ht="15" hidden="false" customHeight="false" outlineLevel="0" collapsed="false">
      <c r="A573" s="5" t="n">
        <v>569</v>
      </c>
      <c r="B573" s="5" t="n">
        <v>7</v>
      </c>
      <c r="C573" s="5" t="s">
        <v>26</v>
      </c>
      <c r="D573" s="5" t="s">
        <v>153</v>
      </c>
      <c r="E573" s="33" t="n">
        <v>-18.742779</v>
      </c>
      <c r="F573" s="33" t="n">
        <v>-39.749586</v>
      </c>
      <c r="G573" s="5" t="s">
        <v>713</v>
      </c>
      <c r="H573" s="5" t="s">
        <v>719</v>
      </c>
      <c r="I573" s="25" t="s">
        <v>721</v>
      </c>
      <c r="J573" s="5" t="s">
        <v>174</v>
      </c>
      <c r="K573" s="5" t="s">
        <v>720</v>
      </c>
      <c r="L573" s="21" t="n">
        <v>397.9</v>
      </c>
      <c r="M573" s="5" t="s">
        <v>218</v>
      </c>
      <c r="N573" s="9"/>
    </row>
    <row r="574" customFormat="false" ht="15" hidden="false" customHeight="false" outlineLevel="0" collapsed="false">
      <c r="A574" s="5" t="n">
        <v>570</v>
      </c>
      <c r="B574" s="5" t="n">
        <v>7</v>
      </c>
      <c r="C574" s="5" t="s">
        <v>26</v>
      </c>
      <c r="D574" s="5" t="s">
        <v>157</v>
      </c>
      <c r="E574" s="33" t="n">
        <v>-18.740318</v>
      </c>
      <c r="F574" s="33" t="n">
        <v>-39.749452</v>
      </c>
      <c r="G574" s="5" t="s">
        <v>713</v>
      </c>
      <c r="H574" s="5" t="s">
        <v>719</v>
      </c>
      <c r="I574" s="25" t="s">
        <v>721</v>
      </c>
      <c r="J574" s="5" t="s">
        <v>174</v>
      </c>
      <c r="K574" s="5" t="s">
        <v>720</v>
      </c>
      <c r="L574" s="21" t="n">
        <v>331.9</v>
      </c>
      <c r="M574" s="5" t="s">
        <v>218</v>
      </c>
      <c r="N574" s="9"/>
    </row>
    <row r="575" customFormat="false" ht="15" hidden="false" customHeight="false" outlineLevel="0" collapsed="false">
      <c r="A575" s="5" t="n">
        <v>571</v>
      </c>
      <c r="B575" s="5" t="n">
        <v>7</v>
      </c>
      <c r="C575" s="5" t="s">
        <v>26</v>
      </c>
      <c r="D575" s="5" t="s">
        <v>157</v>
      </c>
      <c r="E575" s="33" t="n">
        <v>-18.743315</v>
      </c>
      <c r="F575" s="33" t="n">
        <v>-39.749573</v>
      </c>
      <c r="G575" s="5" t="s">
        <v>713</v>
      </c>
      <c r="H575" s="5" t="s">
        <v>719</v>
      </c>
      <c r="I575" s="25" t="s">
        <v>721</v>
      </c>
      <c r="J575" s="5" t="s">
        <v>174</v>
      </c>
      <c r="K575" s="5" t="s">
        <v>720</v>
      </c>
      <c r="L575" s="21" t="n">
        <v>331.9</v>
      </c>
      <c r="M575" s="5" t="s">
        <v>218</v>
      </c>
      <c r="N575" s="9"/>
    </row>
    <row r="576" customFormat="false" ht="15" hidden="false" customHeight="false" outlineLevel="0" collapsed="false">
      <c r="A576" s="5" t="n">
        <v>572</v>
      </c>
      <c r="B576" s="5" t="n">
        <v>7</v>
      </c>
      <c r="C576" s="5" t="s">
        <v>26</v>
      </c>
      <c r="D576" s="5" t="s">
        <v>157</v>
      </c>
      <c r="E576" s="33" t="n">
        <v>-18.74631</v>
      </c>
      <c r="F576" s="33" t="n">
        <v>-39.749725</v>
      </c>
      <c r="G576" s="5" t="s">
        <v>713</v>
      </c>
      <c r="H576" s="5" t="s">
        <v>714</v>
      </c>
      <c r="I576" s="25" t="s">
        <v>721</v>
      </c>
      <c r="J576" s="5" t="s">
        <v>174</v>
      </c>
      <c r="K576" s="5" t="s">
        <v>720</v>
      </c>
      <c r="L576" s="21" t="n">
        <v>331.9</v>
      </c>
      <c r="M576" s="5" t="s">
        <v>218</v>
      </c>
      <c r="N576" s="9"/>
    </row>
    <row r="577" customFormat="false" ht="15" hidden="false" customHeight="false" outlineLevel="0" collapsed="false">
      <c r="A577" s="5" t="n">
        <v>573</v>
      </c>
      <c r="B577" s="5" t="n">
        <v>7</v>
      </c>
      <c r="C577" s="5" t="s">
        <v>26</v>
      </c>
      <c r="D577" s="5" t="s">
        <v>157</v>
      </c>
      <c r="E577" s="33" t="n">
        <v>-18.749307</v>
      </c>
      <c r="F577" s="33" t="n">
        <v>-39.749842</v>
      </c>
      <c r="G577" s="5" t="s">
        <v>713</v>
      </c>
      <c r="H577" s="5" t="s">
        <v>719</v>
      </c>
      <c r="I577" s="25" t="s">
        <v>721</v>
      </c>
      <c r="J577" s="5" t="s">
        <v>174</v>
      </c>
      <c r="K577" s="5" t="s">
        <v>720</v>
      </c>
      <c r="L577" s="21" t="n">
        <v>331.9</v>
      </c>
      <c r="M577" s="5" t="s">
        <v>218</v>
      </c>
      <c r="N577" s="9"/>
    </row>
    <row r="578" customFormat="false" ht="15" hidden="false" customHeight="false" outlineLevel="0" collapsed="false">
      <c r="A578" s="5" t="n">
        <v>574</v>
      </c>
      <c r="B578" s="5" t="n">
        <v>7</v>
      </c>
      <c r="C578" s="5" t="s">
        <v>26</v>
      </c>
      <c r="D578" s="5" t="s">
        <v>157</v>
      </c>
      <c r="E578" s="33" t="n">
        <v>-18.738304</v>
      </c>
      <c r="F578" s="33" t="n">
        <v>-39.749351</v>
      </c>
      <c r="G578" s="5" t="s">
        <v>713</v>
      </c>
      <c r="H578" s="5" t="s">
        <v>719</v>
      </c>
      <c r="I578" s="25" t="s">
        <v>721</v>
      </c>
      <c r="J578" s="5" t="s">
        <v>174</v>
      </c>
      <c r="K578" s="5" t="s">
        <v>720</v>
      </c>
      <c r="L578" s="21" t="n">
        <v>83.3</v>
      </c>
      <c r="M578" s="5" t="s">
        <v>218</v>
      </c>
      <c r="N578" s="9" t="s">
        <v>852</v>
      </c>
    </row>
    <row r="579" customFormat="false" ht="15" hidden="false" customHeight="false" outlineLevel="0" collapsed="false">
      <c r="A579" s="5" t="n">
        <v>575</v>
      </c>
      <c r="B579" s="5" t="n">
        <v>7</v>
      </c>
      <c r="C579" s="5" t="s">
        <v>26</v>
      </c>
      <c r="D579" s="5" t="s">
        <v>160</v>
      </c>
      <c r="E579" s="33" t="n">
        <v>-18.744313</v>
      </c>
      <c r="F579" s="33" t="n">
        <v>-39.749544</v>
      </c>
      <c r="G579" s="5" t="s">
        <v>713</v>
      </c>
      <c r="H579" s="5" t="s">
        <v>719</v>
      </c>
      <c r="I579" s="22" t="s">
        <v>715</v>
      </c>
      <c r="J579" s="5" t="s">
        <v>716</v>
      </c>
      <c r="K579" s="5" t="s">
        <v>720</v>
      </c>
      <c r="L579" s="21" t="n">
        <v>408.5</v>
      </c>
      <c r="M579" s="5" t="s">
        <v>218</v>
      </c>
      <c r="N579" s="9" t="s">
        <v>853</v>
      </c>
    </row>
    <row r="580" customFormat="false" ht="15" hidden="false" customHeight="false" outlineLevel="0" collapsed="false">
      <c r="A580" s="5" t="n">
        <v>576</v>
      </c>
      <c r="B580" s="5" t="n">
        <v>7</v>
      </c>
      <c r="C580" s="5" t="s">
        <v>26</v>
      </c>
      <c r="D580" s="5" t="s">
        <v>160</v>
      </c>
      <c r="E580" s="33" t="n">
        <v>-18.744182</v>
      </c>
      <c r="F580" s="33" t="n">
        <v>-39.74954</v>
      </c>
      <c r="G580" s="5" t="s">
        <v>713</v>
      </c>
      <c r="H580" s="5" t="s">
        <v>719</v>
      </c>
      <c r="I580" s="22" t="s">
        <v>715</v>
      </c>
      <c r="J580" s="5" t="s">
        <v>716</v>
      </c>
      <c r="K580" s="5" t="s">
        <v>720</v>
      </c>
      <c r="L580" s="21" t="n">
        <v>407.3</v>
      </c>
      <c r="M580" s="5" t="s">
        <v>218</v>
      </c>
      <c r="N580" s="9" t="s">
        <v>853</v>
      </c>
    </row>
    <row r="581" customFormat="false" ht="15" hidden="false" customHeight="false" outlineLevel="0" collapsed="false">
      <c r="A581" s="5" t="n">
        <v>577</v>
      </c>
      <c r="B581" s="5" t="n">
        <v>7</v>
      </c>
      <c r="C581" s="5" t="s">
        <v>26</v>
      </c>
      <c r="D581" s="5" t="s">
        <v>163</v>
      </c>
      <c r="E581" s="33" t="n">
        <v>-18.749168</v>
      </c>
      <c r="F581" s="33" t="n">
        <v>-39.748574</v>
      </c>
      <c r="G581" s="5" t="s">
        <v>713</v>
      </c>
      <c r="H581" s="5" t="s">
        <v>719</v>
      </c>
      <c r="I581" s="25" t="s">
        <v>721</v>
      </c>
      <c r="J581" s="5" t="s">
        <v>174</v>
      </c>
      <c r="K581" s="5" t="s">
        <v>722</v>
      </c>
      <c r="L581" s="21" t="n">
        <v>318.6</v>
      </c>
      <c r="M581" s="5" t="s">
        <v>218</v>
      </c>
      <c r="N581" s="9"/>
    </row>
    <row r="582" customFormat="false" ht="15" hidden="false" customHeight="false" outlineLevel="0" collapsed="false">
      <c r="A582" s="5" t="n">
        <v>578</v>
      </c>
      <c r="B582" s="5" t="n">
        <v>7</v>
      </c>
      <c r="C582" s="5" t="s">
        <v>26</v>
      </c>
      <c r="D582" s="5" t="s">
        <v>163</v>
      </c>
      <c r="E582" s="33" t="n">
        <v>-18.746292</v>
      </c>
      <c r="F582" s="33" t="n">
        <v>-39.748441</v>
      </c>
      <c r="G582" s="5" t="s">
        <v>713</v>
      </c>
      <c r="H582" s="5" t="s">
        <v>714</v>
      </c>
      <c r="I582" s="22" t="s">
        <v>715</v>
      </c>
      <c r="J582" s="5" t="s">
        <v>716</v>
      </c>
      <c r="K582" s="5" t="s">
        <v>720</v>
      </c>
      <c r="L582" s="21" t="n">
        <v>318.6</v>
      </c>
      <c r="M582" s="5" t="s">
        <v>218</v>
      </c>
      <c r="N582" s="9" t="s">
        <v>854</v>
      </c>
    </row>
    <row r="583" customFormat="false" ht="15" hidden="false" customHeight="false" outlineLevel="0" collapsed="false">
      <c r="A583" s="5" t="n">
        <v>579</v>
      </c>
      <c r="B583" s="5" t="n">
        <v>7</v>
      </c>
      <c r="C583" s="5" t="s">
        <v>26</v>
      </c>
      <c r="D583" s="5" t="s">
        <v>163</v>
      </c>
      <c r="E583" s="33" t="n">
        <v>-18.743415</v>
      </c>
      <c r="F583" s="33" t="n">
        <v>-39.748315</v>
      </c>
      <c r="G583" s="5" t="s">
        <v>713</v>
      </c>
      <c r="H583" s="5" t="s">
        <v>719</v>
      </c>
      <c r="I583" s="22" t="s">
        <v>715</v>
      </c>
      <c r="J583" s="5" t="s">
        <v>716</v>
      </c>
      <c r="K583" s="5" t="s">
        <v>720</v>
      </c>
      <c r="L583" s="21" t="n">
        <v>318.6</v>
      </c>
      <c r="M583" s="5" t="s">
        <v>218</v>
      </c>
      <c r="N583" s="9"/>
    </row>
    <row r="584" customFormat="false" ht="15" hidden="false" customHeight="false" outlineLevel="0" collapsed="false">
      <c r="A584" s="5" t="n">
        <v>580</v>
      </c>
      <c r="B584" s="5" t="n">
        <v>7</v>
      </c>
      <c r="C584" s="5" t="s">
        <v>26</v>
      </c>
      <c r="D584" s="5" t="s">
        <v>163</v>
      </c>
      <c r="E584" s="33" t="n">
        <v>-18.740539</v>
      </c>
      <c r="F584" s="33" t="n">
        <v>-39.748188</v>
      </c>
      <c r="G584" s="5" t="s">
        <v>713</v>
      </c>
      <c r="H584" s="5" t="s">
        <v>719</v>
      </c>
      <c r="I584" s="22" t="s">
        <v>715</v>
      </c>
      <c r="J584" s="5" t="s">
        <v>716</v>
      </c>
      <c r="K584" s="5" t="s">
        <v>717</v>
      </c>
      <c r="L584" s="21" t="n">
        <v>318.6</v>
      </c>
      <c r="M584" s="5" t="s">
        <v>218</v>
      </c>
      <c r="N584" s="9"/>
    </row>
    <row r="585" customFormat="false" ht="15" hidden="false" customHeight="false" outlineLevel="0" collapsed="false">
      <c r="A585" s="5" t="n">
        <v>581</v>
      </c>
      <c r="B585" s="5" t="n">
        <v>7</v>
      </c>
      <c r="C585" s="5" t="s">
        <v>26</v>
      </c>
      <c r="D585" s="5" t="s">
        <v>163</v>
      </c>
      <c r="E585" s="33" t="n">
        <v>-18.738454</v>
      </c>
      <c r="F585" s="33" t="n">
        <v>-39.748101</v>
      </c>
      <c r="G585" s="5" t="s">
        <v>713</v>
      </c>
      <c r="H585" s="5" t="s">
        <v>719</v>
      </c>
      <c r="I585" s="22" t="s">
        <v>715</v>
      </c>
      <c r="J585" s="5" t="s">
        <v>716</v>
      </c>
      <c r="K585" s="5" t="s">
        <v>717</v>
      </c>
      <c r="L585" s="21" t="n">
        <v>116.5</v>
      </c>
      <c r="M585" s="5" t="s">
        <v>218</v>
      </c>
      <c r="N585" s="9"/>
    </row>
    <row r="586" customFormat="false" ht="15" hidden="false" customHeight="false" outlineLevel="0" collapsed="false">
      <c r="A586" s="5" t="n">
        <v>582</v>
      </c>
      <c r="B586" s="5" t="n">
        <v>7</v>
      </c>
      <c r="C586" s="5" t="s">
        <v>26</v>
      </c>
      <c r="D586" s="5" t="s">
        <v>165</v>
      </c>
      <c r="E586" s="33" t="n">
        <v>-18.740122</v>
      </c>
      <c r="F586" s="33" t="n">
        <v>-39.750613</v>
      </c>
      <c r="G586" s="5" t="s">
        <v>713</v>
      </c>
      <c r="H586" s="5" t="s">
        <v>719</v>
      </c>
      <c r="I586" s="22" t="s">
        <v>715</v>
      </c>
      <c r="J586" s="5" t="s">
        <v>716</v>
      </c>
      <c r="K586" s="5" t="s">
        <v>720</v>
      </c>
      <c r="L586" s="21" t="n">
        <v>344</v>
      </c>
      <c r="M586" s="5" t="s">
        <v>218</v>
      </c>
      <c r="N586" s="9"/>
    </row>
    <row r="587" customFormat="false" ht="15" hidden="false" customHeight="false" outlineLevel="0" collapsed="false">
      <c r="A587" s="5" t="n">
        <v>583</v>
      </c>
      <c r="B587" s="5" t="n">
        <v>7</v>
      </c>
      <c r="C587" s="5" t="s">
        <v>26</v>
      </c>
      <c r="D587" s="5" t="s">
        <v>165</v>
      </c>
      <c r="E587" s="33" t="n">
        <v>-18.743228</v>
      </c>
      <c r="F587" s="33" t="n">
        <v>-39.750751</v>
      </c>
      <c r="G587" s="5" t="s">
        <v>713</v>
      </c>
      <c r="H587" s="5" t="s">
        <v>719</v>
      </c>
      <c r="I587" s="25" t="s">
        <v>721</v>
      </c>
      <c r="J587" s="5" t="s">
        <v>174</v>
      </c>
      <c r="K587" s="5" t="s">
        <v>720</v>
      </c>
      <c r="L587" s="21" t="n">
        <v>344</v>
      </c>
      <c r="M587" s="5" t="s">
        <v>218</v>
      </c>
      <c r="N587" s="9"/>
    </row>
    <row r="588" customFormat="false" ht="15" hidden="false" customHeight="false" outlineLevel="0" collapsed="false">
      <c r="A588" s="5" t="n">
        <v>584</v>
      </c>
      <c r="B588" s="5" t="n">
        <v>7</v>
      </c>
      <c r="C588" s="5" t="s">
        <v>26</v>
      </c>
      <c r="D588" s="5" t="s">
        <v>165</v>
      </c>
      <c r="E588" s="33" t="n">
        <v>-18.746332</v>
      </c>
      <c r="F588" s="33" t="n">
        <v>-39.750902</v>
      </c>
      <c r="G588" s="5" t="s">
        <v>713</v>
      </c>
      <c r="H588" s="5" t="s">
        <v>719</v>
      </c>
      <c r="I588" s="25" t="s">
        <v>721</v>
      </c>
      <c r="J588" s="5" t="s">
        <v>174</v>
      </c>
      <c r="K588" s="5" t="s">
        <v>717</v>
      </c>
      <c r="L588" s="21" t="n">
        <v>344</v>
      </c>
      <c r="M588" s="5" t="s">
        <v>218</v>
      </c>
      <c r="N588" s="9"/>
    </row>
    <row r="589" customFormat="false" ht="15" hidden="false" customHeight="false" outlineLevel="0" collapsed="false">
      <c r="A589" s="5" t="n">
        <v>585</v>
      </c>
      <c r="B589" s="5" t="n">
        <v>7</v>
      </c>
      <c r="C589" s="5" t="s">
        <v>26</v>
      </c>
      <c r="D589" s="5" t="s">
        <v>165</v>
      </c>
      <c r="E589" s="33" t="n">
        <v>-18.749438</v>
      </c>
      <c r="F589" s="33" t="n">
        <v>-39.75103</v>
      </c>
      <c r="G589" s="5" t="s">
        <v>713</v>
      </c>
      <c r="H589" s="5" t="s">
        <v>719</v>
      </c>
      <c r="I589" s="25" t="s">
        <v>721</v>
      </c>
      <c r="J589" s="5" t="s">
        <v>174</v>
      </c>
      <c r="K589" s="5" t="s">
        <v>720</v>
      </c>
      <c r="L589" s="21" t="n">
        <v>344</v>
      </c>
      <c r="M589" s="5" t="s">
        <v>218</v>
      </c>
      <c r="N589" s="9"/>
    </row>
    <row r="590" customFormat="false" ht="15" hidden="false" customHeight="false" outlineLevel="0" collapsed="false">
      <c r="A590" s="5" t="n">
        <v>586</v>
      </c>
      <c r="B590" s="5" t="n">
        <v>7</v>
      </c>
      <c r="C590" s="5" t="s">
        <v>26</v>
      </c>
      <c r="D590" s="5" t="s">
        <v>165</v>
      </c>
      <c r="E590" s="33" t="n">
        <v>-18.738134</v>
      </c>
      <c r="F590" s="33" t="n">
        <v>-39.750539</v>
      </c>
      <c r="G590" s="5" t="s">
        <v>713</v>
      </c>
      <c r="H590" s="5" t="s">
        <v>719</v>
      </c>
      <c r="I590" s="22" t="s">
        <v>715</v>
      </c>
      <c r="J590" s="5" t="s">
        <v>716</v>
      </c>
      <c r="K590" s="5" t="s">
        <v>717</v>
      </c>
      <c r="L590" s="21" t="n">
        <v>45.7</v>
      </c>
      <c r="M590" s="5" t="s">
        <v>218</v>
      </c>
      <c r="N590" s="9" t="s">
        <v>855</v>
      </c>
    </row>
    <row r="591" customFormat="false" ht="15" hidden="false" customHeight="false" outlineLevel="0" collapsed="false">
      <c r="A591" s="5" t="n">
        <v>587</v>
      </c>
      <c r="B591" s="5" t="n">
        <v>7</v>
      </c>
      <c r="C591" s="5" t="s">
        <v>26</v>
      </c>
      <c r="D591" s="5" t="s">
        <v>167</v>
      </c>
      <c r="E591" s="33" t="n">
        <v>-18.748551</v>
      </c>
      <c r="F591" s="33" t="n">
        <v>-39.749761</v>
      </c>
      <c r="G591" s="5" t="s">
        <v>713</v>
      </c>
      <c r="H591" s="5" t="s">
        <v>714</v>
      </c>
      <c r="I591" s="25" t="s">
        <v>721</v>
      </c>
      <c r="J591" s="5" t="s">
        <v>174</v>
      </c>
      <c r="K591" s="5" t="s">
        <v>720</v>
      </c>
      <c r="L591" s="21" t="n">
        <v>386.5</v>
      </c>
      <c r="M591" s="5" t="s">
        <v>218</v>
      </c>
      <c r="N591" s="9"/>
    </row>
    <row r="592" customFormat="false" ht="15" hidden="false" customHeight="false" outlineLevel="0" collapsed="false">
      <c r="A592" s="5" t="n">
        <v>588</v>
      </c>
      <c r="B592" s="5" t="n">
        <v>7</v>
      </c>
      <c r="C592" s="5" t="s">
        <v>26</v>
      </c>
      <c r="D592" s="5" t="s">
        <v>168</v>
      </c>
      <c r="E592" s="33" t="n">
        <v>-18.747975</v>
      </c>
      <c r="F592" s="33" t="n">
        <v>-39.751273</v>
      </c>
      <c r="G592" s="5" t="s">
        <v>713</v>
      </c>
      <c r="H592" s="5" t="s">
        <v>719</v>
      </c>
      <c r="I592" s="25" t="s">
        <v>723</v>
      </c>
      <c r="J592" s="5" t="s">
        <v>174</v>
      </c>
      <c r="K592" s="5" t="s">
        <v>720</v>
      </c>
      <c r="L592" s="21" t="n">
        <v>63.8</v>
      </c>
      <c r="M592" s="5" t="s">
        <v>218</v>
      </c>
      <c r="N592" s="9"/>
    </row>
    <row r="593" customFormat="false" ht="15" hidden="false" customHeight="false" outlineLevel="0" collapsed="false">
      <c r="A593" s="5" t="n">
        <v>589</v>
      </c>
      <c r="B593" s="5" t="n">
        <v>7</v>
      </c>
      <c r="C593" s="5" t="s">
        <v>26</v>
      </c>
      <c r="D593" s="5" t="s">
        <v>168</v>
      </c>
      <c r="E593" s="33" t="n">
        <v>-18.7385</v>
      </c>
      <c r="F593" s="33" t="n">
        <v>-39.751017</v>
      </c>
      <c r="G593" s="5" t="s">
        <v>713</v>
      </c>
      <c r="H593" s="5" t="s">
        <v>724</v>
      </c>
      <c r="I593" s="22" t="s">
        <v>725</v>
      </c>
      <c r="J593" s="5" t="s">
        <v>716</v>
      </c>
      <c r="K593" s="5" t="s">
        <v>717</v>
      </c>
      <c r="L593" s="21" t="n">
        <v>22.7</v>
      </c>
      <c r="M593" s="5" t="s">
        <v>218</v>
      </c>
      <c r="N593" s="9" t="s">
        <v>856</v>
      </c>
    </row>
    <row r="594" customFormat="false" ht="15" hidden="false" customHeight="false" outlineLevel="0" collapsed="false">
      <c r="A594" s="5" t="n">
        <v>590</v>
      </c>
      <c r="B594" s="5" t="n">
        <v>7</v>
      </c>
      <c r="C594" s="5" t="s">
        <v>26</v>
      </c>
      <c r="D594" s="5" t="s">
        <v>168</v>
      </c>
      <c r="E594" s="33" t="n">
        <v>-18.738559</v>
      </c>
      <c r="F594" s="33" t="n">
        <v>-39.750234</v>
      </c>
      <c r="G594" s="5" t="s">
        <v>713</v>
      </c>
      <c r="H594" s="5" t="s">
        <v>719</v>
      </c>
      <c r="I594" s="22" t="s">
        <v>715</v>
      </c>
      <c r="J594" s="5" t="s">
        <v>716</v>
      </c>
      <c r="K594" s="5" t="s">
        <v>717</v>
      </c>
      <c r="L594" s="21" t="n">
        <v>20.1</v>
      </c>
      <c r="M594" s="5" t="s">
        <v>218</v>
      </c>
      <c r="N594" s="9" t="s">
        <v>829</v>
      </c>
    </row>
    <row r="595" customFormat="false" ht="15" hidden="false" customHeight="false" outlineLevel="0" collapsed="false">
      <c r="A595" s="5" t="n">
        <v>591</v>
      </c>
      <c r="B595" s="5" t="n">
        <v>7</v>
      </c>
      <c r="C595" s="5" t="s">
        <v>26</v>
      </c>
      <c r="D595" s="5" t="s">
        <v>168</v>
      </c>
      <c r="E595" s="33" t="n">
        <v>-18.742325</v>
      </c>
      <c r="F595" s="33" t="n">
        <v>-39.747595</v>
      </c>
      <c r="G595" s="5" t="s">
        <v>713</v>
      </c>
      <c r="H595" s="5" t="s">
        <v>719</v>
      </c>
      <c r="I595" s="22" t="s">
        <v>715</v>
      </c>
      <c r="J595" s="5" t="s">
        <v>716</v>
      </c>
      <c r="K595" s="5" t="s">
        <v>720</v>
      </c>
      <c r="L595" s="21" t="n">
        <v>15.9</v>
      </c>
      <c r="M595" s="5" t="s">
        <v>218</v>
      </c>
      <c r="N595" s="9" t="s">
        <v>857</v>
      </c>
    </row>
    <row r="596" customFormat="false" ht="15" hidden="false" customHeight="false" outlineLevel="0" collapsed="false">
      <c r="A596" s="5" t="n">
        <v>592</v>
      </c>
      <c r="B596" s="5" t="n">
        <v>7</v>
      </c>
      <c r="C596" s="5" t="s">
        <v>26</v>
      </c>
      <c r="D596" s="5" t="s">
        <v>168</v>
      </c>
      <c r="E596" s="33" t="n">
        <v>-18.739258</v>
      </c>
      <c r="F596" s="33" t="n">
        <v>-39.747425</v>
      </c>
      <c r="G596" s="5" t="s">
        <v>713</v>
      </c>
      <c r="H596" s="5" t="s">
        <v>838</v>
      </c>
      <c r="I596" s="22" t="s">
        <v>715</v>
      </c>
      <c r="J596" s="5" t="s">
        <v>716</v>
      </c>
      <c r="K596" s="5" t="s">
        <v>717</v>
      </c>
      <c r="L596" s="21" t="n">
        <v>66.6</v>
      </c>
      <c r="M596" s="5" t="s">
        <v>218</v>
      </c>
      <c r="N596" s="9"/>
    </row>
    <row r="597" customFormat="false" ht="15" hidden="false" customHeight="false" outlineLevel="0" collapsed="false">
      <c r="A597" s="5" t="n">
        <v>593</v>
      </c>
      <c r="B597" s="5" t="n">
        <v>7</v>
      </c>
      <c r="C597" s="5" t="s">
        <v>26</v>
      </c>
      <c r="D597" s="5" t="s">
        <v>171</v>
      </c>
      <c r="E597" s="33" t="n">
        <v>-18.746029</v>
      </c>
      <c r="F597" s="33" t="n">
        <v>-39.751467</v>
      </c>
      <c r="G597" s="5" t="s">
        <v>713</v>
      </c>
      <c r="H597" s="5" t="s">
        <v>714</v>
      </c>
      <c r="I597" s="22" t="s">
        <v>715</v>
      </c>
      <c r="J597" s="5" t="s">
        <v>716</v>
      </c>
      <c r="K597" s="5" t="s">
        <v>722</v>
      </c>
      <c r="L597" s="21" t="n">
        <v>339.5</v>
      </c>
      <c r="M597" s="5" t="s">
        <v>218</v>
      </c>
      <c r="N597" s="9"/>
    </row>
    <row r="598" customFormat="false" ht="15" hidden="false" customHeight="false" outlineLevel="0" collapsed="false">
      <c r="A598" s="5" t="n">
        <v>594</v>
      </c>
      <c r="B598" s="5" t="n">
        <v>7</v>
      </c>
      <c r="C598" s="5" t="s">
        <v>26</v>
      </c>
      <c r="D598" s="5" t="s">
        <v>171</v>
      </c>
      <c r="E598" s="33" t="n">
        <v>-18.742964</v>
      </c>
      <c r="F598" s="33" t="n">
        <v>-39.751332</v>
      </c>
      <c r="G598" s="5" t="s">
        <v>713</v>
      </c>
      <c r="H598" s="5" t="s">
        <v>724</v>
      </c>
      <c r="I598" s="22" t="s">
        <v>715</v>
      </c>
      <c r="J598" s="5" t="s">
        <v>716</v>
      </c>
      <c r="K598" s="5" t="s">
        <v>717</v>
      </c>
      <c r="L598" s="21" t="n">
        <v>339.5</v>
      </c>
      <c r="M598" s="5" t="s">
        <v>218</v>
      </c>
      <c r="N598" s="9"/>
    </row>
    <row r="599" customFormat="false" ht="15" hidden="false" customHeight="false" outlineLevel="0" collapsed="false">
      <c r="A599" s="5" t="n">
        <v>595</v>
      </c>
      <c r="B599" s="5" t="n">
        <v>7</v>
      </c>
      <c r="C599" s="5" t="s">
        <v>26</v>
      </c>
      <c r="D599" s="5" t="s">
        <v>173</v>
      </c>
      <c r="E599" s="33" t="n">
        <v>-18.741731</v>
      </c>
      <c r="F599" s="33" t="n">
        <v>-39.749504</v>
      </c>
      <c r="G599" s="5" t="s">
        <v>713</v>
      </c>
      <c r="H599" s="5" t="s">
        <v>719</v>
      </c>
      <c r="I599" s="25" t="s">
        <v>723</v>
      </c>
      <c r="J599" s="5" t="s">
        <v>174</v>
      </c>
      <c r="K599" s="5" t="s">
        <v>722</v>
      </c>
      <c r="L599" s="21" t="n">
        <v>393.7</v>
      </c>
      <c r="M599" s="5" t="s">
        <v>218</v>
      </c>
      <c r="N599" s="9"/>
    </row>
    <row r="600" customFormat="false" ht="15" hidden="false" customHeight="false" outlineLevel="0" collapsed="false">
      <c r="A600" s="5" t="n">
        <v>596</v>
      </c>
      <c r="B600" s="5" t="n">
        <v>7</v>
      </c>
      <c r="C600" s="5" t="s">
        <v>26</v>
      </c>
      <c r="D600" s="5" t="s">
        <v>176</v>
      </c>
      <c r="E600" s="33" t="n">
        <v>-18.738233</v>
      </c>
      <c r="F600" s="33" t="n">
        <v>-39.748896</v>
      </c>
      <c r="G600" s="5" t="s">
        <v>713</v>
      </c>
      <c r="H600" s="5" t="s">
        <v>719</v>
      </c>
      <c r="I600" s="22" t="s">
        <v>715</v>
      </c>
      <c r="J600" s="5" t="s">
        <v>716</v>
      </c>
      <c r="K600" s="5" t="s">
        <v>717</v>
      </c>
      <c r="L600" s="21" t="n">
        <v>321.4</v>
      </c>
      <c r="M600" s="5" t="s">
        <v>218</v>
      </c>
      <c r="N600" s="9"/>
    </row>
    <row r="601" customFormat="false" ht="15" hidden="false" customHeight="false" outlineLevel="0" collapsed="false">
      <c r="A601" s="5" t="n">
        <v>597</v>
      </c>
      <c r="B601" s="5" t="n">
        <v>7</v>
      </c>
      <c r="C601" s="5" t="s">
        <v>26</v>
      </c>
      <c r="D601" s="5" t="s">
        <v>179</v>
      </c>
      <c r="E601" s="33" t="n">
        <v>-18.749243</v>
      </c>
      <c r="F601" s="33" t="n">
        <v>-39.749248</v>
      </c>
      <c r="G601" s="5" t="s">
        <v>713</v>
      </c>
      <c r="H601" s="5" t="s">
        <v>719</v>
      </c>
      <c r="I601" s="25" t="s">
        <v>721</v>
      </c>
      <c r="J601" s="5" t="s">
        <v>174</v>
      </c>
      <c r="K601" s="5" t="s">
        <v>722</v>
      </c>
      <c r="L601" s="21" t="n">
        <v>325.7</v>
      </c>
      <c r="M601" s="5" t="s">
        <v>218</v>
      </c>
      <c r="N601" s="9"/>
    </row>
    <row r="602" customFormat="false" ht="15" hidden="false" customHeight="false" outlineLevel="0" collapsed="false">
      <c r="A602" s="5" t="n">
        <v>598</v>
      </c>
      <c r="B602" s="5" t="n">
        <v>7</v>
      </c>
      <c r="C602" s="5" t="s">
        <v>26</v>
      </c>
      <c r="D602" s="5" t="s">
        <v>179</v>
      </c>
      <c r="E602" s="33" t="n">
        <v>-18.746302</v>
      </c>
      <c r="F602" s="33" t="n">
        <v>-39.749123</v>
      </c>
      <c r="G602" s="5" t="s">
        <v>713</v>
      </c>
      <c r="H602" s="5" t="s">
        <v>719</v>
      </c>
      <c r="I602" s="25" t="s">
        <v>723</v>
      </c>
      <c r="J602" s="5" t="s">
        <v>174</v>
      </c>
      <c r="K602" s="5" t="s">
        <v>717</v>
      </c>
      <c r="L602" s="21" t="n">
        <v>325.7</v>
      </c>
      <c r="M602" s="5" t="s">
        <v>218</v>
      </c>
      <c r="N602" s="9"/>
    </row>
    <row r="603" customFormat="false" ht="15" hidden="false" customHeight="false" outlineLevel="0" collapsed="false">
      <c r="A603" s="5" t="n">
        <v>599</v>
      </c>
      <c r="B603" s="5" t="n">
        <v>7</v>
      </c>
      <c r="C603" s="5" t="s">
        <v>26</v>
      </c>
      <c r="D603" s="5" t="s">
        <v>179</v>
      </c>
      <c r="E603" s="33" t="n">
        <v>-18.743362</v>
      </c>
      <c r="F603" s="33" t="n">
        <v>-39.748992</v>
      </c>
      <c r="G603" s="5" t="s">
        <v>713</v>
      </c>
      <c r="H603" s="5" t="s">
        <v>731</v>
      </c>
      <c r="I603" s="25" t="s">
        <v>723</v>
      </c>
      <c r="J603" s="5" t="s">
        <v>174</v>
      </c>
      <c r="K603" s="5" t="s">
        <v>722</v>
      </c>
      <c r="L603" s="21" t="n">
        <v>325.7</v>
      </c>
      <c r="M603" s="5" t="s">
        <v>218</v>
      </c>
      <c r="N603" s="9"/>
    </row>
    <row r="604" customFormat="false" ht="15" hidden="false" customHeight="false" outlineLevel="0" collapsed="false">
      <c r="A604" s="5" t="n">
        <v>600</v>
      </c>
      <c r="B604" s="5" t="n">
        <v>7</v>
      </c>
      <c r="C604" s="5" t="s">
        <v>26</v>
      </c>
      <c r="D604" s="5" t="s">
        <v>179</v>
      </c>
      <c r="E604" s="33" t="n">
        <v>-18.740421</v>
      </c>
      <c r="F604" s="33" t="n">
        <v>-39.748883</v>
      </c>
      <c r="G604" s="5" t="s">
        <v>713</v>
      </c>
      <c r="H604" s="5" t="s">
        <v>719</v>
      </c>
      <c r="I604" s="22" t="s">
        <v>715</v>
      </c>
      <c r="J604" s="5" t="s">
        <v>716</v>
      </c>
      <c r="K604" s="5" t="s">
        <v>720</v>
      </c>
      <c r="L604" s="21" t="n">
        <v>325.7</v>
      </c>
      <c r="M604" s="5" t="s">
        <v>218</v>
      </c>
      <c r="N604" s="9"/>
    </row>
    <row r="605" customFormat="false" ht="15" hidden="false" customHeight="false" outlineLevel="0" collapsed="false">
      <c r="A605" s="5" t="n">
        <v>601</v>
      </c>
      <c r="B605" s="5" t="n">
        <v>7</v>
      </c>
      <c r="C605" s="5" t="s">
        <v>26</v>
      </c>
      <c r="D605" s="5" t="s">
        <v>179</v>
      </c>
      <c r="E605" s="33" t="n">
        <v>-18.738374</v>
      </c>
      <c r="F605" s="33" t="n">
        <v>-39.748773</v>
      </c>
      <c r="G605" s="5" t="s">
        <v>713</v>
      </c>
      <c r="H605" s="5" t="s">
        <v>719</v>
      </c>
      <c r="I605" s="22" t="s">
        <v>715</v>
      </c>
      <c r="J605" s="5" t="s">
        <v>716</v>
      </c>
      <c r="K605" s="5" t="s">
        <v>717</v>
      </c>
      <c r="L605" s="21" t="n">
        <v>98.8</v>
      </c>
      <c r="M605" s="5" t="s">
        <v>218</v>
      </c>
      <c r="N605" s="9"/>
    </row>
    <row r="606" customFormat="false" ht="15" hidden="false" customHeight="false" outlineLevel="0" collapsed="false">
      <c r="A606" s="5" t="n">
        <v>602</v>
      </c>
      <c r="B606" s="5" t="n">
        <v>7</v>
      </c>
      <c r="C606" s="5" t="s">
        <v>26</v>
      </c>
      <c r="D606" s="5" t="s">
        <v>181</v>
      </c>
      <c r="E606" s="33" t="n">
        <v>-18.749375</v>
      </c>
      <c r="F606" s="33" t="n">
        <v>-39.75043</v>
      </c>
      <c r="G606" s="5" t="s">
        <v>713</v>
      </c>
      <c r="H606" s="5" t="s">
        <v>719</v>
      </c>
      <c r="I606" s="25" t="s">
        <v>723</v>
      </c>
      <c r="J606" s="5" t="s">
        <v>174</v>
      </c>
      <c r="K606" s="5" t="s">
        <v>722</v>
      </c>
      <c r="L606" s="21" t="n">
        <v>337.8</v>
      </c>
      <c r="M606" s="5" t="s">
        <v>218</v>
      </c>
      <c r="N606" s="9"/>
    </row>
    <row r="607" customFormat="false" ht="15" hidden="false" customHeight="false" outlineLevel="0" collapsed="false">
      <c r="A607" s="5" t="n">
        <v>603</v>
      </c>
      <c r="B607" s="5" t="n">
        <v>7</v>
      </c>
      <c r="C607" s="5" t="s">
        <v>26</v>
      </c>
      <c r="D607" s="5" t="s">
        <v>181</v>
      </c>
      <c r="E607" s="33" t="n">
        <v>-18.746325</v>
      </c>
      <c r="F607" s="33" t="n">
        <v>-39.750295</v>
      </c>
      <c r="G607" s="5" t="s">
        <v>713</v>
      </c>
      <c r="H607" s="5" t="s">
        <v>714</v>
      </c>
      <c r="I607" s="22" t="s">
        <v>715</v>
      </c>
      <c r="J607" s="5" t="s">
        <v>716</v>
      </c>
      <c r="K607" s="5" t="s">
        <v>720</v>
      </c>
      <c r="L607" s="21" t="n">
        <v>337.8</v>
      </c>
      <c r="M607" s="5" t="s">
        <v>218</v>
      </c>
      <c r="N607" s="9"/>
    </row>
    <row r="608" customFormat="false" ht="15" hidden="false" customHeight="false" outlineLevel="0" collapsed="false">
      <c r="A608" s="5" t="n">
        <v>604</v>
      </c>
      <c r="B608" s="5" t="n">
        <v>7</v>
      </c>
      <c r="C608" s="5" t="s">
        <v>26</v>
      </c>
      <c r="D608" s="5" t="s">
        <v>181</v>
      </c>
      <c r="E608" s="33" t="n">
        <v>-18.743274</v>
      </c>
      <c r="F608" s="33" t="n">
        <v>-39.750168</v>
      </c>
      <c r="G608" s="5" t="s">
        <v>713</v>
      </c>
      <c r="H608" s="5" t="s">
        <v>719</v>
      </c>
      <c r="I608" s="22" t="s">
        <v>715</v>
      </c>
      <c r="J608" s="5" t="s">
        <v>716</v>
      </c>
      <c r="K608" s="5" t="s">
        <v>717</v>
      </c>
      <c r="L608" s="21" t="n">
        <v>337.8</v>
      </c>
      <c r="M608" s="5" t="s">
        <v>218</v>
      </c>
      <c r="N608" s="9"/>
    </row>
    <row r="609" customFormat="false" ht="15" hidden="false" customHeight="false" outlineLevel="0" collapsed="false">
      <c r="A609" s="5" t="n">
        <v>605</v>
      </c>
      <c r="B609" s="5" t="n">
        <v>7</v>
      </c>
      <c r="C609" s="5" t="s">
        <v>26</v>
      </c>
      <c r="D609" s="5" t="s">
        <v>181</v>
      </c>
      <c r="E609" s="33" t="n">
        <v>-18.740224</v>
      </c>
      <c r="F609" s="33" t="n">
        <v>-39.750029</v>
      </c>
      <c r="G609" s="5" t="s">
        <v>713</v>
      </c>
      <c r="H609" s="5" t="s">
        <v>719</v>
      </c>
      <c r="I609" s="22" t="s">
        <v>715</v>
      </c>
      <c r="J609" s="5" t="s">
        <v>716</v>
      </c>
      <c r="K609" s="5" t="s">
        <v>717</v>
      </c>
      <c r="L609" s="21" t="n">
        <v>337.8</v>
      </c>
      <c r="M609" s="5" t="s">
        <v>218</v>
      </c>
      <c r="N609" s="9"/>
    </row>
    <row r="610" customFormat="false" ht="15" hidden="false" customHeight="false" outlineLevel="0" collapsed="false">
      <c r="A610" s="5" t="n">
        <v>606</v>
      </c>
      <c r="B610" s="5" t="n">
        <v>7</v>
      </c>
      <c r="C610" s="5" t="s">
        <v>26</v>
      </c>
      <c r="D610" s="5" t="s">
        <v>181</v>
      </c>
      <c r="E610" s="33" t="n">
        <v>-18.738139</v>
      </c>
      <c r="F610" s="33" t="n">
        <v>-39.74996</v>
      </c>
      <c r="G610" s="5" t="s">
        <v>713</v>
      </c>
      <c r="H610" s="5" t="s">
        <v>719</v>
      </c>
      <c r="I610" s="22" t="s">
        <v>715</v>
      </c>
      <c r="J610" s="5" t="s">
        <v>716</v>
      </c>
      <c r="K610" s="5" t="s">
        <v>717</v>
      </c>
      <c r="L610" s="21" t="n">
        <v>46.8</v>
      </c>
      <c r="M610" s="5" t="s">
        <v>218</v>
      </c>
      <c r="N610" s="9" t="s">
        <v>858</v>
      </c>
    </row>
    <row r="611" customFormat="false" ht="15" hidden="false" customHeight="false" outlineLevel="0" collapsed="false">
      <c r="A611" s="5" t="n">
        <v>607</v>
      </c>
      <c r="B611" s="5" t="n">
        <v>7</v>
      </c>
      <c r="C611" s="5" t="s">
        <v>26</v>
      </c>
      <c r="D611" s="5" t="s">
        <v>184</v>
      </c>
      <c r="E611" s="33" t="n">
        <v>-18.747152</v>
      </c>
      <c r="F611" s="33" t="n">
        <v>-39.749722</v>
      </c>
      <c r="G611" s="5" t="s">
        <v>713</v>
      </c>
      <c r="H611" s="5" t="s">
        <v>719</v>
      </c>
      <c r="I611" s="22" t="s">
        <v>715</v>
      </c>
      <c r="J611" s="5" t="s">
        <v>716</v>
      </c>
      <c r="K611" s="5" t="s">
        <v>717</v>
      </c>
      <c r="L611" s="21" t="n">
        <v>388.7</v>
      </c>
      <c r="M611" s="5" t="s">
        <v>218</v>
      </c>
      <c r="N611" s="9" t="s">
        <v>859</v>
      </c>
    </row>
    <row r="612" customFormat="false" ht="15" hidden="false" customHeight="false" outlineLevel="0" collapsed="false">
      <c r="A612" s="5" t="n">
        <v>608</v>
      </c>
      <c r="B612" s="5" t="n">
        <v>7</v>
      </c>
      <c r="C612" s="5" t="s">
        <v>26</v>
      </c>
      <c r="D612" s="5" t="s">
        <v>185</v>
      </c>
      <c r="E612" s="33" t="n">
        <v>-18.740281</v>
      </c>
      <c r="F612" s="33" t="n">
        <v>-39.749435</v>
      </c>
      <c r="G612" s="5" t="s">
        <v>713</v>
      </c>
      <c r="H612" s="5" t="s">
        <v>719</v>
      </c>
      <c r="I612" s="25" t="s">
        <v>723</v>
      </c>
      <c r="J612" s="5" t="s">
        <v>174</v>
      </c>
      <c r="K612" s="5" t="s">
        <v>722</v>
      </c>
      <c r="L612" s="21" t="n">
        <v>395.9</v>
      </c>
      <c r="M612" s="5" t="s">
        <v>218</v>
      </c>
      <c r="N612" s="9"/>
    </row>
    <row r="613" customFormat="false" ht="15" hidden="false" customHeight="false" outlineLevel="0" collapsed="false">
      <c r="A613" s="5" t="n">
        <v>609</v>
      </c>
      <c r="B613" s="5" t="n">
        <v>7</v>
      </c>
      <c r="C613" s="5" t="s">
        <v>26</v>
      </c>
      <c r="D613" s="5" t="s">
        <v>186</v>
      </c>
      <c r="E613" s="33" t="n">
        <v>-18.749963</v>
      </c>
      <c r="F613" s="33" t="n">
        <v>-39.749815</v>
      </c>
      <c r="G613" s="5" t="s">
        <v>713</v>
      </c>
      <c r="H613" s="5" t="s">
        <v>719</v>
      </c>
      <c r="I613" s="25" t="s">
        <v>721</v>
      </c>
      <c r="J613" s="5" t="s">
        <v>174</v>
      </c>
      <c r="K613" s="5" t="s">
        <v>720</v>
      </c>
      <c r="L613" s="21" t="n">
        <v>385</v>
      </c>
      <c r="M613" s="5" t="s">
        <v>218</v>
      </c>
      <c r="N613" s="9"/>
    </row>
    <row r="614" customFormat="false" ht="15" hidden="false" customHeight="false" outlineLevel="0" collapsed="false">
      <c r="A614" s="5" t="n">
        <v>610</v>
      </c>
      <c r="B614" s="5" t="n">
        <v>7</v>
      </c>
      <c r="C614" s="5" t="s">
        <v>26</v>
      </c>
      <c r="D614" s="5" t="s">
        <v>178</v>
      </c>
      <c r="E614" s="33" t="n">
        <v>-18.745733</v>
      </c>
      <c r="F614" s="33" t="n">
        <v>-39.749635</v>
      </c>
      <c r="G614" s="5" t="s">
        <v>713</v>
      </c>
      <c r="H614" s="5" t="s">
        <v>714</v>
      </c>
      <c r="I614" s="25" t="s">
        <v>723</v>
      </c>
      <c r="J614" s="5" t="s">
        <v>174</v>
      </c>
      <c r="K614" s="5" t="s">
        <v>720</v>
      </c>
      <c r="L614" s="21" t="n">
        <v>383</v>
      </c>
      <c r="M614" s="5" t="s">
        <v>218</v>
      </c>
      <c r="N614" s="9"/>
    </row>
    <row r="615" customFormat="false" ht="15" hidden="false" customHeight="false" outlineLevel="0" collapsed="false">
      <c r="A615" s="5" t="n">
        <v>611</v>
      </c>
      <c r="B615" s="5" t="n">
        <v>7</v>
      </c>
      <c r="C615" s="5" t="s">
        <v>26</v>
      </c>
      <c r="D615" s="5" t="s">
        <v>187</v>
      </c>
      <c r="E615" s="33" t="n">
        <v>-18.738039</v>
      </c>
      <c r="F615" s="33" t="n">
        <v>-39.751126</v>
      </c>
      <c r="G615" s="5" t="s">
        <v>713</v>
      </c>
      <c r="H615" s="5" t="s">
        <v>714</v>
      </c>
      <c r="I615" s="22" t="s">
        <v>715</v>
      </c>
      <c r="J615" s="5" t="s">
        <v>716</v>
      </c>
      <c r="K615" s="5" t="s">
        <v>717</v>
      </c>
      <c r="L615" s="21" t="n">
        <v>23.7</v>
      </c>
      <c r="M615" s="5" t="s">
        <v>218</v>
      </c>
      <c r="N615" s="9" t="s">
        <v>718</v>
      </c>
    </row>
    <row r="616" customFormat="false" ht="15" hidden="false" customHeight="false" outlineLevel="0" collapsed="false">
      <c r="A616" s="5" t="n">
        <v>612</v>
      </c>
      <c r="B616" s="5" t="n">
        <v>7</v>
      </c>
      <c r="C616" s="5" t="s">
        <v>26</v>
      </c>
      <c r="D616" s="10" t="s">
        <v>860</v>
      </c>
      <c r="E616" s="33" t="n">
        <v>-18.749013</v>
      </c>
      <c r="F616" s="33" t="n">
        <v>-39.747757</v>
      </c>
      <c r="G616" s="5" t="s">
        <v>713</v>
      </c>
      <c r="H616" s="5" t="s">
        <v>714</v>
      </c>
      <c r="I616" s="22" t="s">
        <v>715</v>
      </c>
      <c r="J616" s="5" t="s">
        <v>716</v>
      </c>
      <c r="K616" s="5" t="s">
        <v>217</v>
      </c>
      <c r="L616" s="21" t="n">
        <v>324</v>
      </c>
      <c r="M616" s="5" t="s">
        <v>218</v>
      </c>
      <c r="N616" s="9" t="s">
        <v>861</v>
      </c>
    </row>
    <row r="617" customFormat="false" ht="15" hidden="false" customHeight="false" outlineLevel="0" collapsed="false">
      <c r="A617" s="5" t="n">
        <v>613</v>
      </c>
      <c r="B617" s="5" t="n">
        <v>7</v>
      </c>
      <c r="C617" s="5" t="s">
        <v>26</v>
      </c>
      <c r="D617" s="10" t="s">
        <v>860</v>
      </c>
      <c r="E617" s="33" t="n">
        <v>-18.746087</v>
      </c>
      <c r="F617" s="33" t="n">
        <v>-39.747631</v>
      </c>
      <c r="G617" s="5" t="s">
        <v>713</v>
      </c>
      <c r="H617" s="5" t="s">
        <v>714</v>
      </c>
      <c r="I617" s="22" t="s">
        <v>715</v>
      </c>
      <c r="J617" s="5" t="s">
        <v>716</v>
      </c>
      <c r="K617" s="5" t="s">
        <v>217</v>
      </c>
      <c r="L617" s="21" t="n">
        <v>324</v>
      </c>
      <c r="M617" s="5" t="s">
        <v>218</v>
      </c>
      <c r="N617" s="9" t="s">
        <v>862</v>
      </c>
    </row>
    <row r="618" customFormat="false" ht="15" hidden="false" customHeight="false" outlineLevel="0" collapsed="false">
      <c r="A618" s="5" t="n">
        <v>614</v>
      </c>
      <c r="B618" s="5" t="n">
        <v>7</v>
      </c>
      <c r="C618" s="5" t="s">
        <v>26</v>
      </c>
      <c r="D618" s="10" t="s">
        <v>860</v>
      </c>
      <c r="E618" s="33" t="n">
        <v>-18.743161</v>
      </c>
      <c r="F618" s="33" t="n">
        <v>-39.747505</v>
      </c>
      <c r="G618" s="5" t="s">
        <v>713</v>
      </c>
      <c r="H618" s="5" t="s">
        <v>714</v>
      </c>
      <c r="I618" s="22" t="s">
        <v>715</v>
      </c>
      <c r="J618" s="5" t="s">
        <v>716</v>
      </c>
      <c r="K618" s="5" t="s">
        <v>217</v>
      </c>
      <c r="L618" s="21" t="n">
        <v>324</v>
      </c>
      <c r="M618" s="5" t="s">
        <v>218</v>
      </c>
      <c r="N618" s="9" t="s">
        <v>862</v>
      </c>
    </row>
    <row r="619" customFormat="false" ht="15" hidden="false" customHeight="false" outlineLevel="0" collapsed="false">
      <c r="A619" s="5" t="n">
        <v>615</v>
      </c>
      <c r="B619" s="5" t="n">
        <v>7</v>
      </c>
      <c r="C619" s="5" t="s">
        <v>26</v>
      </c>
      <c r="D619" s="10" t="s">
        <v>860</v>
      </c>
      <c r="E619" s="33" t="n">
        <v>-18.740235</v>
      </c>
      <c r="F619" s="33" t="n">
        <v>-39.747378</v>
      </c>
      <c r="G619" s="5" t="s">
        <v>713</v>
      </c>
      <c r="H619" s="5" t="s">
        <v>838</v>
      </c>
      <c r="I619" s="22" t="s">
        <v>715</v>
      </c>
      <c r="J619" s="5" t="s">
        <v>716</v>
      </c>
      <c r="K619" s="5" t="s">
        <v>217</v>
      </c>
      <c r="L619" s="21" t="n">
        <v>324</v>
      </c>
      <c r="M619" s="5" t="s">
        <v>218</v>
      </c>
      <c r="N619" s="9" t="s">
        <v>861</v>
      </c>
    </row>
    <row r="620" customFormat="false" ht="15" hidden="false" customHeight="false" outlineLevel="0" collapsed="false">
      <c r="A620" s="5" t="n">
        <v>616</v>
      </c>
      <c r="B620" s="5" t="n">
        <v>36</v>
      </c>
      <c r="C620" s="5" t="s">
        <v>66</v>
      </c>
      <c r="D620" s="5" t="s">
        <v>210</v>
      </c>
      <c r="E620" s="33" t="n">
        <v>-18.738983</v>
      </c>
      <c r="F620" s="33" t="n">
        <v>-39.768618</v>
      </c>
      <c r="G620" s="5" t="s">
        <v>713</v>
      </c>
      <c r="H620" s="5" t="s">
        <v>719</v>
      </c>
      <c r="I620" s="25" t="s">
        <v>721</v>
      </c>
      <c r="J620" s="5" t="s">
        <v>174</v>
      </c>
      <c r="K620" s="5" t="s">
        <v>722</v>
      </c>
      <c r="L620" s="21" t="n">
        <v>197.2</v>
      </c>
      <c r="M620" s="5" t="s">
        <v>218</v>
      </c>
      <c r="N620" s="9"/>
    </row>
    <row r="621" customFormat="false" ht="15" hidden="false" customHeight="false" outlineLevel="0" collapsed="false">
      <c r="A621" s="5" t="n">
        <v>617</v>
      </c>
      <c r="B621" s="5" t="n">
        <v>36</v>
      </c>
      <c r="C621" s="5" t="s">
        <v>66</v>
      </c>
      <c r="D621" s="5" t="s">
        <v>527</v>
      </c>
      <c r="E621" s="33" t="n">
        <v>-18.734954</v>
      </c>
      <c r="F621" s="33" t="n">
        <v>-39.767919</v>
      </c>
      <c r="G621" s="5" t="s">
        <v>713</v>
      </c>
      <c r="H621" s="5" t="s">
        <v>719</v>
      </c>
      <c r="I621" s="25" t="s">
        <v>721</v>
      </c>
      <c r="J621" s="5" t="s">
        <v>174</v>
      </c>
      <c r="K621" s="5" t="s">
        <v>717</v>
      </c>
      <c r="L621" s="21" t="n">
        <v>50.1</v>
      </c>
      <c r="M621" s="5" t="s">
        <v>218</v>
      </c>
      <c r="N621" s="9" t="s">
        <v>863</v>
      </c>
    </row>
    <row r="622" customFormat="false" ht="15" hidden="false" customHeight="false" outlineLevel="0" collapsed="false">
      <c r="A622" s="5" t="n">
        <v>618</v>
      </c>
      <c r="B622" s="5" t="n">
        <v>36</v>
      </c>
      <c r="C622" s="5" t="s">
        <v>66</v>
      </c>
      <c r="D622" s="5" t="s">
        <v>529</v>
      </c>
      <c r="E622" s="33" t="n">
        <v>-18.735164</v>
      </c>
      <c r="F622" s="33" t="n">
        <v>-39.767748</v>
      </c>
      <c r="G622" s="5" t="s">
        <v>713</v>
      </c>
      <c r="H622" s="5" t="s">
        <v>719</v>
      </c>
      <c r="I622" s="25" t="s">
        <v>721</v>
      </c>
      <c r="J622" s="5" t="s">
        <v>174</v>
      </c>
      <c r="K622" s="5" t="s">
        <v>720</v>
      </c>
      <c r="L622" s="21" t="n">
        <v>159</v>
      </c>
      <c r="M622" s="5" t="s">
        <v>218</v>
      </c>
      <c r="N622" s="9"/>
    </row>
    <row r="623" customFormat="false" ht="15" hidden="false" customHeight="false" outlineLevel="0" collapsed="false">
      <c r="A623" s="5" t="n">
        <v>619</v>
      </c>
      <c r="B623" s="5" t="n">
        <v>36</v>
      </c>
      <c r="C623" s="5" t="s">
        <v>66</v>
      </c>
      <c r="D623" s="5" t="s">
        <v>332</v>
      </c>
      <c r="E623" s="33" t="n">
        <v>-18.735574</v>
      </c>
      <c r="F623" s="33" t="n">
        <v>-39.767338</v>
      </c>
      <c r="G623" s="5" t="s">
        <v>713</v>
      </c>
      <c r="H623" s="5" t="s">
        <v>719</v>
      </c>
      <c r="I623" s="25" t="s">
        <v>721</v>
      </c>
      <c r="J623" s="5" t="s">
        <v>174</v>
      </c>
      <c r="K623" s="5" t="s">
        <v>217</v>
      </c>
      <c r="L623" s="21" t="n">
        <v>187.7</v>
      </c>
      <c r="M623" s="5" t="s">
        <v>218</v>
      </c>
      <c r="N623" s="9" t="s">
        <v>864</v>
      </c>
    </row>
    <row r="624" customFormat="false" ht="15" hidden="false" customHeight="false" outlineLevel="0" collapsed="false">
      <c r="A624" s="5" t="n">
        <v>620</v>
      </c>
      <c r="B624" s="5" t="n">
        <v>36</v>
      </c>
      <c r="C624" s="5" t="s">
        <v>66</v>
      </c>
      <c r="D624" s="5" t="s">
        <v>530</v>
      </c>
      <c r="E624" s="33" t="n">
        <v>-18.736752</v>
      </c>
      <c r="F624" s="33" t="n">
        <v>-39.767678</v>
      </c>
      <c r="G624" s="5" t="s">
        <v>713</v>
      </c>
      <c r="H624" s="5" t="s">
        <v>791</v>
      </c>
      <c r="I624" s="25" t="s">
        <v>721</v>
      </c>
      <c r="J624" s="5" t="s">
        <v>174</v>
      </c>
      <c r="K624" s="5" t="s">
        <v>722</v>
      </c>
      <c r="L624" s="21" t="n">
        <v>350.9</v>
      </c>
      <c r="M624" s="5" t="s">
        <v>218</v>
      </c>
      <c r="N624" s="9" t="s">
        <v>802</v>
      </c>
    </row>
    <row r="625" customFormat="false" ht="15" hidden="false" customHeight="false" outlineLevel="0" collapsed="false">
      <c r="A625" s="5" t="n">
        <v>621</v>
      </c>
      <c r="B625" s="5" t="n">
        <v>36</v>
      </c>
      <c r="C625" s="5" t="s">
        <v>66</v>
      </c>
      <c r="D625" s="5" t="s">
        <v>532</v>
      </c>
      <c r="E625" s="33" t="n">
        <v>-18.738568</v>
      </c>
      <c r="F625" s="33" t="n">
        <v>-39.76853</v>
      </c>
      <c r="G625" s="5" t="s">
        <v>713</v>
      </c>
      <c r="H625" s="5" t="s">
        <v>719</v>
      </c>
      <c r="I625" s="25" t="s">
        <v>721</v>
      </c>
      <c r="J625" s="5" t="s">
        <v>174</v>
      </c>
      <c r="K625" s="5" t="s">
        <v>722</v>
      </c>
      <c r="L625" s="21" t="n">
        <v>289.3</v>
      </c>
      <c r="M625" s="5" t="s">
        <v>218</v>
      </c>
      <c r="N625" s="9"/>
    </row>
    <row r="626" customFormat="false" ht="15" hidden="false" customHeight="false" outlineLevel="0" collapsed="false">
      <c r="A626" s="5" t="n">
        <v>622</v>
      </c>
      <c r="B626" s="5" t="n">
        <v>36</v>
      </c>
      <c r="C626" s="5" t="s">
        <v>66</v>
      </c>
      <c r="D626" s="5" t="s">
        <v>534</v>
      </c>
      <c r="E626" s="33" t="n">
        <v>-18.737535</v>
      </c>
      <c r="F626" s="33" t="n">
        <v>-39.768111</v>
      </c>
      <c r="G626" s="5" t="s">
        <v>713</v>
      </c>
      <c r="H626" s="5" t="s">
        <v>731</v>
      </c>
      <c r="I626" s="25" t="s">
        <v>723</v>
      </c>
      <c r="J626" s="5" t="s">
        <v>174</v>
      </c>
      <c r="K626" s="5" t="s">
        <v>720</v>
      </c>
      <c r="L626" s="21" t="n">
        <v>518.2</v>
      </c>
      <c r="M626" s="5" t="s">
        <v>218</v>
      </c>
      <c r="N626" s="9"/>
    </row>
    <row r="627" customFormat="false" ht="15" hidden="false" customHeight="false" outlineLevel="0" collapsed="false">
      <c r="A627" s="5" t="n">
        <v>623</v>
      </c>
      <c r="B627" s="5" t="n">
        <v>36</v>
      </c>
      <c r="C627" s="5" t="s">
        <v>66</v>
      </c>
      <c r="D627" s="5" t="s">
        <v>168</v>
      </c>
      <c r="E627" s="33" t="n">
        <v>-18.738363</v>
      </c>
      <c r="F627" s="33" t="n">
        <v>-39.768086</v>
      </c>
      <c r="G627" s="5" t="s">
        <v>713</v>
      </c>
      <c r="H627" s="5" t="s">
        <v>791</v>
      </c>
      <c r="I627" s="25" t="s">
        <v>723</v>
      </c>
      <c r="J627" s="5" t="s">
        <v>174</v>
      </c>
      <c r="K627" s="5" t="s">
        <v>722</v>
      </c>
      <c r="L627" s="21" t="n">
        <v>96.6</v>
      </c>
      <c r="M627" s="5" t="s">
        <v>218</v>
      </c>
      <c r="N627" s="9"/>
    </row>
    <row r="628" customFormat="false" ht="15" hidden="false" customHeight="false" outlineLevel="0" collapsed="false">
      <c r="A628" s="5" t="n">
        <v>624</v>
      </c>
      <c r="B628" s="5" t="n">
        <v>36</v>
      </c>
      <c r="C628" s="5" t="s">
        <v>66</v>
      </c>
      <c r="D628" s="5" t="s">
        <v>536</v>
      </c>
      <c r="E628" s="33" t="n">
        <v>-18.736729</v>
      </c>
      <c r="F628" s="33" t="n">
        <v>-39.768137</v>
      </c>
      <c r="G628" s="5" t="s">
        <v>713</v>
      </c>
      <c r="H628" s="5" t="s">
        <v>719</v>
      </c>
      <c r="I628" s="25" t="s">
        <v>723</v>
      </c>
      <c r="J628" s="5" t="s">
        <v>174</v>
      </c>
      <c r="K628" s="5" t="s">
        <v>722</v>
      </c>
      <c r="L628" s="21" t="n">
        <v>96.6</v>
      </c>
      <c r="M628" s="5" t="s">
        <v>218</v>
      </c>
      <c r="N628" s="9"/>
    </row>
    <row r="629" customFormat="false" ht="15" hidden="false" customHeight="false" outlineLevel="0" collapsed="false">
      <c r="A629" s="5" t="n">
        <v>625</v>
      </c>
      <c r="B629" s="5" t="n">
        <v>49</v>
      </c>
      <c r="C629" s="5" t="s">
        <v>79</v>
      </c>
      <c r="D629" s="5" t="s">
        <v>176</v>
      </c>
      <c r="E629" s="33" t="n">
        <v>-18.737981</v>
      </c>
      <c r="F629" s="33" t="n">
        <v>-39.762497</v>
      </c>
      <c r="G629" s="5" t="s">
        <v>713</v>
      </c>
      <c r="H629" s="5" t="s">
        <v>731</v>
      </c>
      <c r="I629" s="25" t="s">
        <v>723</v>
      </c>
      <c r="J629" s="5" t="s">
        <v>174</v>
      </c>
      <c r="K629" s="5" t="s">
        <v>722</v>
      </c>
      <c r="L629" s="21" t="n">
        <v>121.2</v>
      </c>
      <c r="M629" s="5" t="s">
        <v>218</v>
      </c>
      <c r="N629" s="9"/>
    </row>
    <row r="630" customFormat="false" ht="15" hidden="false" customHeight="false" outlineLevel="0" collapsed="false">
      <c r="A630" s="5" t="n">
        <v>626</v>
      </c>
      <c r="B630" s="5" t="n">
        <v>49</v>
      </c>
      <c r="C630" s="5" t="s">
        <v>79</v>
      </c>
      <c r="D630" s="5" t="s">
        <v>278</v>
      </c>
      <c r="E630" s="33" t="n">
        <v>-18.736359</v>
      </c>
      <c r="F630" s="33" t="n">
        <v>-39.762516</v>
      </c>
      <c r="G630" s="5" t="s">
        <v>713</v>
      </c>
      <c r="H630" s="5" t="s">
        <v>731</v>
      </c>
      <c r="I630" s="25" t="s">
        <v>723</v>
      </c>
      <c r="J630" s="5" t="s">
        <v>174</v>
      </c>
      <c r="K630" s="5" t="s">
        <v>722</v>
      </c>
      <c r="L630" s="21" t="n">
        <v>125.3</v>
      </c>
      <c r="M630" s="5" t="s">
        <v>218</v>
      </c>
      <c r="N630" s="9"/>
    </row>
    <row r="631" customFormat="false" ht="15" hidden="false" customHeight="false" outlineLevel="0" collapsed="false">
      <c r="A631" s="5" t="n">
        <v>627</v>
      </c>
      <c r="B631" s="5" t="n">
        <v>49</v>
      </c>
      <c r="C631" s="5" t="s">
        <v>79</v>
      </c>
      <c r="D631" s="5" t="s">
        <v>616</v>
      </c>
      <c r="E631" s="33" t="n">
        <v>-18.73725</v>
      </c>
      <c r="F631" s="33" t="n">
        <v>-39.762503</v>
      </c>
      <c r="G631" s="5" t="s">
        <v>713</v>
      </c>
      <c r="H631" s="5" t="s">
        <v>731</v>
      </c>
      <c r="I631" s="25" t="s">
        <v>723</v>
      </c>
      <c r="J631" s="5" t="s">
        <v>174</v>
      </c>
      <c r="K631" s="5" t="s">
        <v>722</v>
      </c>
      <c r="L631" s="21" t="n">
        <v>469.8</v>
      </c>
      <c r="M631" s="5" t="s">
        <v>218</v>
      </c>
      <c r="N631" s="9"/>
    </row>
    <row r="632" customFormat="false" ht="15" hidden="false" customHeight="false" outlineLevel="0" collapsed="false">
      <c r="A632" s="5" t="n">
        <v>628</v>
      </c>
      <c r="B632" s="5" t="n">
        <v>49</v>
      </c>
      <c r="C632" s="5" t="s">
        <v>79</v>
      </c>
      <c r="D632" s="5" t="s">
        <v>618</v>
      </c>
      <c r="E632" s="33" t="n">
        <v>-18.73725</v>
      </c>
      <c r="F632" s="33" t="n">
        <v>-39.763089</v>
      </c>
      <c r="G632" s="5" t="s">
        <v>713</v>
      </c>
      <c r="H632" s="5" t="s">
        <v>791</v>
      </c>
      <c r="I632" s="25" t="s">
        <v>723</v>
      </c>
      <c r="J632" s="5" t="s">
        <v>174</v>
      </c>
      <c r="K632" s="5" t="s">
        <v>722</v>
      </c>
      <c r="L632" s="21" t="n">
        <v>469.8</v>
      </c>
      <c r="M632" s="5" t="s">
        <v>218</v>
      </c>
      <c r="N632" s="9"/>
    </row>
    <row r="633" customFormat="false" ht="15" hidden="false" customHeight="false" outlineLevel="0" collapsed="false">
      <c r="A633" s="5" t="n">
        <v>629</v>
      </c>
      <c r="B633" s="5" t="n">
        <v>50</v>
      </c>
      <c r="C633" s="5" t="s">
        <v>83</v>
      </c>
      <c r="D633" s="5" t="s">
        <v>176</v>
      </c>
      <c r="E633" s="33" t="n">
        <v>-18.737878</v>
      </c>
      <c r="F633" s="33" t="n">
        <v>-39.761364</v>
      </c>
      <c r="G633" s="5" t="s">
        <v>713</v>
      </c>
      <c r="H633" s="5" t="s">
        <v>731</v>
      </c>
      <c r="I633" s="25" t="s">
        <v>723</v>
      </c>
      <c r="J633" s="5" t="s">
        <v>174</v>
      </c>
      <c r="K633" s="5" t="s">
        <v>722</v>
      </c>
      <c r="L633" s="21" t="n">
        <v>150.9</v>
      </c>
      <c r="M633" s="5" t="s">
        <v>218</v>
      </c>
      <c r="N633" s="9"/>
    </row>
    <row r="634" customFormat="false" ht="15" hidden="false" customHeight="false" outlineLevel="0" collapsed="false">
      <c r="A634" s="5" t="n">
        <v>630</v>
      </c>
      <c r="B634" s="5" t="n">
        <v>50</v>
      </c>
      <c r="C634" s="5" t="s">
        <v>83</v>
      </c>
      <c r="D634" s="5" t="s">
        <v>278</v>
      </c>
      <c r="E634" s="33" t="n">
        <v>-18.736243</v>
      </c>
      <c r="F634" s="33" t="n">
        <v>-39.76133</v>
      </c>
      <c r="G634" s="5" t="s">
        <v>713</v>
      </c>
      <c r="H634" s="5" t="s">
        <v>719</v>
      </c>
      <c r="I634" s="25" t="s">
        <v>723</v>
      </c>
      <c r="J634" s="5" t="s">
        <v>174</v>
      </c>
      <c r="K634" s="5" t="s">
        <v>717</v>
      </c>
      <c r="L634" s="21" t="n">
        <v>158.4</v>
      </c>
      <c r="M634" s="5" t="s">
        <v>218</v>
      </c>
      <c r="N634" s="9"/>
    </row>
    <row r="635" customFormat="false" ht="15" hidden="false" customHeight="false" outlineLevel="0" collapsed="false">
      <c r="A635" s="5" t="n">
        <v>631</v>
      </c>
      <c r="B635" s="5" t="n">
        <v>50</v>
      </c>
      <c r="C635" s="5" t="s">
        <v>83</v>
      </c>
      <c r="D635" s="5" t="s">
        <v>352</v>
      </c>
      <c r="E635" s="33" t="n">
        <v>-18.738561</v>
      </c>
      <c r="F635" s="33" t="n">
        <v>-39.761896</v>
      </c>
      <c r="G635" s="5" t="s">
        <v>713</v>
      </c>
      <c r="H635" s="5" t="s">
        <v>719</v>
      </c>
      <c r="I635" s="25" t="s">
        <v>723</v>
      </c>
      <c r="J635" s="5" t="s">
        <v>174</v>
      </c>
      <c r="K635" s="5" t="s">
        <v>720</v>
      </c>
      <c r="L635" s="21" t="n">
        <v>268.3</v>
      </c>
      <c r="M635" s="5" t="s">
        <v>218</v>
      </c>
      <c r="N635" s="9"/>
    </row>
    <row r="636" customFormat="false" ht="15" hidden="false" customHeight="false" outlineLevel="0" collapsed="false">
      <c r="A636" s="5" t="n">
        <v>632</v>
      </c>
      <c r="B636" s="5" t="n">
        <v>50</v>
      </c>
      <c r="C636" s="5" t="s">
        <v>83</v>
      </c>
      <c r="D636" s="5" t="s">
        <v>352</v>
      </c>
      <c r="E636" s="33" t="n">
        <v>-18.736138</v>
      </c>
      <c r="F636" s="33" t="n">
        <v>-39.761791</v>
      </c>
      <c r="G636" s="5" t="s">
        <v>713</v>
      </c>
      <c r="H636" s="5" t="s">
        <v>719</v>
      </c>
      <c r="I636" s="25" t="s">
        <v>723</v>
      </c>
      <c r="J636" s="5" t="s">
        <v>174</v>
      </c>
      <c r="K636" s="5" t="s">
        <v>722</v>
      </c>
      <c r="L636" s="21" t="n">
        <v>268.3</v>
      </c>
      <c r="M636" s="5" t="s">
        <v>218</v>
      </c>
      <c r="N636" s="9"/>
    </row>
    <row r="637" customFormat="false" ht="15" hidden="false" customHeight="false" outlineLevel="0" collapsed="false">
      <c r="A637" s="5" t="n">
        <v>633</v>
      </c>
      <c r="B637" s="5" t="n">
        <v>50</v>
      </c>
      <c r="C637" s="5" t="s">
        <v>83</v>
      </c>
      <c r="D637" s="5" t="s">
        <v>168</v>
      </c>
      <c r="E637" s="33" t="n">
        <v>-18.739514</v>
      </c>
      <c r="F637" s="33" t="n">
        <v>-39.761693</v>
      </c>
      <c r="G637" s="5" t="s">
        <v>713</v>
      </c>
      <c r="H637" s="5" t="s">
        <v>731</v>
      </c>
      <c r="I637" s="25" t="s">
        <v>723</v>
      </c>
      <c r="J637" s="5" t="s">
        <v>174</v>
      </c>
      <c r="K637" s="5" t="s">
        <v>722</v>
      </c>
      <c r="L637" s="21" t="n">
        <v>81.1</v>
      </c>
      <c r="M637" s="5" t="s">
        <v>218</v>
      </c>
      <c r="N637" s="9" t="s">
        <v>865</v>
      </c>
    </row>
    <row r="638" customFormat="false" ht="15" hidden="false" customHeight="false" outlineLevel="0" collapsed="false">
      <c r="A638" s="5" t="n">
        <v>634</v>
      </c>
      <c r="B638" s="5" t="n">
        <v>50</v>
      </c>
      <c r="C638" s="5" t="s">
        <v>83</v>
      </c>
      <c r="D638" s="5" t="s">
        <v>168</v>
      </c>
      <c r="E638" s="33" t="n">
        <v>-18.735014</v>
      </c>
      <c r="F638" s="33" t="n">
        <v>-39.760714</v>
      </c>
      <c r="G638" s="5" t="s">
        <v>713</v>
      </c>
      <c r="H638" s="5" t="s">
        <v>731</v>
      </c>
      <c r="I638" s="25" t="s">
        <v>723</v>
      </c>
      <c r="J638" s="5" t="s">
        <v>174</v>
      </c>
      <c r="K638" s="5" t="s">
        <v>722</v>
      </c>
      <c r="L638" s="21" t="n">
        <v>19.1</v>
      </c>
      <c r="M638" s="5" t="s">
        <v>218</v>
      </c>
      <c r="N638" s="9"/>
    </row>
    <row r="639" customFormat="false" ht="15" hidden="false" customHeight="false" outlineLevel="0" collapsed="false">
      <c r="A639" s="5" t="n">
        <v>635</v>
      </c>
      <c r="B639" s="5" t="n">
        <v>50</v>
      </c>
      <c r="C639" s="5" t="s">
        <v>83</v>
      </c>
      <c r="D639" s="5" t="s">
        <v>623</v>
      </c>
      <c r="E639" s="33" t="n">
        <v>-18.739626</v>
      </c>
      <c r="F639" s="33" t="n">
        <v>-39.761315</v>
      </c>
      <c r="G639" s="5" t="s">
        <v>713</v>
      </c>
      <c r="H639" s="5" t="s">
        <v>731</v>
      </c>
      <c r="I639" s="25" t="s">
        <v>723</v>
      </c>
      <c r="J639" s="5" t="s">
        <v>174</v>
      </c>
      <c r="K639" s="5" t="s">
        <v>722</v>
      </c>
      <c r="L639" s="21" t="n">
        <v>32.4</v>
      </c>
      <c r="M639" s="5" t="s">
        <v>218</v>
      </c>
      <c r="N639" s="9"/>
    </row>
    <row r="640" customFormat="false" ht="15" hidden="false" customHeight="false" outlineLevel="0" collapsed="false">
      <c r="A640" s="5" t="n">
        <v>636</v>
      </c>
      <c r="B640" s="5" t="n">
        <v>50</v>
      </c>
      <c r="C640" s="5" t="s">
        <v>83</v>
      </c>
      <c r="D640" s="5" t="s">
        <v>345</v>
      </c>
      <c r="E640" s="33" t="n">
        <v>-18.737203</v>
      </c>
      <c r="F640" s="33" t="n">
        <v>-39.761262</v>
      </c>
      <c r="G640" s="5" t="s">
        <v>713</v>
      </c>
      <c r="H640" s="5" t="s">
        <v>731</v>
      </c>
      <c r="I640" s="25" t="s">
        <v>723</v>
      </c>
      <c r="J640" s="5" t="s">
        <v>174</v>
      </c>
      <c r="K640" s="5" t="s">
        <v>720</v>
      </c>
      <c r="L640" s="21" t="n">
        <v>504.1</v>
      </c>
      <c r="M640" s="5" t="s">
        <v>218</v>
      </c>
      <c r="N640" s="9"/>
    </row>
    <row r="641" customFormat="false" ht="15" hidden="false" customHeight="false" outlineLevel="0" collapsed="false">
      <c r="A641" s="5" t="n">
        <v>637</v>
      </c>
      <c r="B641" s="5" t="n">
        <v>50</v>
      </c>
      <c r="C641" s="5" t="s">
        <v>83</v>
      </c>
      <c r="D641" s="5" t="s">
        <v>318</v>
      </c>
      <c r="E641" s="33" t="n">
        <v>-18.737458</v>
      </c>
      <c r="F641" s="33" t="n">
        <v>-39.760634</v>
      </c>
      <c r="G641" s="5" t="s">
        <v>713</v>
      </c>
      <c r="H641" s="5" t="s">
        <v>731</v>
      </c>
      <c r="I641" s="25" t="s">
        <v>723</v>
      </c>
      <c r="J641" s="5" t="s">
        <v>174</v>
      </c>
      <c r="K641" s="5" t="s">
        <v>722</v>
      </c>
      <c r="L641" s="21" t="n">
        <v>512.5</v>
      </c>
      <c r="M641" s="5" t="s">
        <v>218</v>
      </c>
      <c r="N641" s="9"/>
    </row>
    <row r="642" customFormat="false" ht="15" hidden="false" customHeight="false" outlineLevel="0" collapsed="false">
      <c r="A642" s="12" t="s">
        <v>189</v>
      </c>
      <c r="B642" s="12" t="n">
        <f aca="false">COUNTA(A5:A641)</f>
        <v>637</v>
      </c>
      <c r="C642" s="12" t="s">
        <v>866</v>
      </c>
      <c r="D642" s="34"/>
      <c r="E642" s="34"/>
      <c r="F642" s="34"/>
      <c r="G642" s="34"/>
      <c r="H642" s="34"/>
      <c r="I642" s="34"/>
      <c r="J642" s="12" t="n">
        <f aca="false">COUNTIF(J5:J641,"Sim")</f>
        <v>188</v>
      </c>
      <c r="K642" s="34"/>
      <c r="L642" s="34"/>
      <c r="M642" s="34"/>
      <c r="N642" s="34"/>
    </row>
  </sheetData>
  <autoFilter ref="A4:N641"/>
  <mergeCells count="1">
    <mergeCell ref="A2:N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2026-08-19T15:20:54Z</dcterms:created>
  <dc:creator>openpyxl</dc:creator>
  <dc:description/>
  <dc:language>en-US</dc:language>
  <cp:lastModifiedBy/>
  <dcterms:modified xsi:type="dcterms:W3CDTF">2026-08-19T15:20:55Z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